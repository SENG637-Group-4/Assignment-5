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codeName="{F4499BBC-C50B-8ECA-441A-04C5B9BE7170}"/>
  <workbookPr codeName="ThisWorkbook" defaultThemeVersion="166925"/>
  <mc:AlternateContent xmlns:mc="http://schemas.openxmlformats.org/markup-compatibility/2006">
    <mc:Choice Requires="x15">
      <x15ac:absPath xmlns:x15ac="http://schemas.microsoft.com/office/spreadsheetml/2010/11/ac" url="/Users/minhle/Documents/UCalgary/Courses/SENG 637/Assignment-5/"/>
    </mc:Choice>
  </mc:AlternateContent>
  <xr:revisionPtr revIDLastSave="0" documentId="13_ncr:1_{C9B1A99A-4D17-C84A-BD40-7FD41AF8C055}" xr6:coauthVersionLast="47" xr6:coauthVersionMax="47" xr10:uidLastSave="{00000000-0000-0000-0000-000000000000}"/>
  <bookViews>
    <workbookView xWindow="0" yWindow="600" windowWidth="38400" windowHeight="19720" tabRatio="838" activeTab="3"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Data'!$O$701</definedName>
    <definedName name="AcceptYint">'Plot Data'!$Q$699</definedName>
    <definedName name="FCmax">'Risk Trade-Off Parameters'!$C$13</definedName>
    <definedName name="FTmax">'Risk Trade-Off Parameters'!$C$14</definedName>
    <definedName name="RejectSlope">'Plot Data'!$O$694</definedName>
    <definedName name="RejectYint">'Plot Data'!$Q$692</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31" i="11" l="1"/>
  <c r="F1631" i="11" s="1"/>
  <c r="D1631" i="11"/>
  <c r="G1631" i="11"/>
  <c r="H1631" i="11"/>
  <c r="B1632" i="11"/>
  <c r="D1632" i="11"/>
  <c r="F1632" i="11"/>
  <c r="G1632" i="11"/>
  <c r="H1632" i="11"/>
  <c r="B1633" i="11"/>
  <c r="F1633" i="11" s="1"/>
  <c r="D1633" i="11"/>
  <c r="G1633" i="11"/>
  <c r="H1633" i="11"/>
  <c r="B1634" i="11"/>
  <c r="D1634" i="11"/>
  <c r="F1634" i="11"/>
  <c r="G1634" i="11"/>
  <c r="H1634" i="11"/>
  <c r="B1635" i="11"/>
  <c r="F1635" i="11" s="1"/>
  <c r="D1635" i="11"/>
  <c r="G1635" i="11"/>
  <c r="H1635" i="11"/>
  <c r="B1636" i="11"/>
  <c r="D1636" i="11"/>
  <c r="F1636" i="11"/>
  <c r="G1636" i="11"/>
  <c r="H1636" i="11"/>
  <c r="B1637" i="11"/>
  <c r="F1637" i="11" s="1"/>
  <c r="D1637" i="11"/>
  <c r="G1637" i="11"/>
  <c r="H1637" i="11"/>
  <c r="B1638" i="11"/>
  <c r="D1638" i="11"/>
  <c r="F1638" i="11"/>
  <c r="G1638" i="11"/>
  <c r="H1638" i="11"/>
  <c r="B1639" i="11"/>
  <c r="F1639" i="11" s="1"/>
  <c r="D1639" i="11"/>
  <c r="G1639" i="11"/>
  <c r="H1639" i="11"/>
  <c r="B1640" i="11"/>
  <c r="D1640" i="11"/>
  <c r="F1640" i="11"/>
  <c r="G1640" i="11"/>
  <c r="H1640" i="11"/>
  <c r="B1641" i="11"/>
  <c r="F1641" i="11" s="1"/>
  <c r="D1641" i="11"/>
  <c r="G1641" i="11"/>
  <c r="H1641" i="11"/>
  <c r="B1642" i="11"/>
  <c r="F1642" i="11" s="1"/>
  <c r="D1642" i="11"/>
  <c r="H1642" i="11"/>
  <c r="B1643" i="11"/>
  <c r="F1643" i="11" s="1"/>
  <c r="D1643" i="11"/>
  <c r="G1643" i="11"/>
  <c r="H1643" i="11"/>
  <c r="B1644" i="11"/>
  <c r="D1644" i="11"/>
  <c r="H1644" i="11" s="1"/>
  <c r="B1645" i="11"/>
  <c r="F1645" i="11" s="1"/>
  <c r="D1645" i="11"/>
  <c r="G1645" i="11"/>
  <c r="H1645" i="11"/>
  <c r="B1646" i="11"/>
  <c r="D1646" i="11"/>
  <c r="H1646" i="11" s="1"/>
  <c r="B1647" i="11"/>
  <c r="F1647" i="11" s="1"/>
  <c r="D1647" i="11"/>
  <c r="G1647" i="11"/>
  <c r="H1647" i="11"/>
  <c r="B1648" i="11"/>
  <c r="D1648" i="11"/>
  <c r="H1648" i="11" s="1"/>
  <c r="B1649" i="11"/>
  <c r="F1649" i="11" s="1"/>
  <c r="D1649" i="11"/>
  <c r="G1649" i="11"/>
  <c r="H1649" i="11"/>
  <c r="B1650" i="11"/>
  <c r="D1650" i="11"/>
  <c r="H1650" i="11" s="1"/>
  <c r="F1650" i="11"/>
  <c r="G1650" i="11"/>
  <c r="B1651" i="11"/>
  <c r="F1651" i="11" s="1"/>
  <c r="D1651" i="11"/>
  <c r="G1651" i="11"/>
  <c r="H1651" i="11"/>
  <c r="B1652" i="11"/>
  <c r="D1652" i="11"/>
  <c r="F1652" i="11"/>
  <c r="G1652" i="11"/>
  <c r="H1652" i="11"/>
  <c r="B1653" i="11"/>
  <c r="F1653" i="11" s="1"/>
  <c r="D1653" i="11"/>
  <c r="G1653" i="11"/>
  <c r="H1653" i="11"/>
  <c r="B1654" i="11"/>
  <c r="D1654" i="11"/>
  <c r="F1654" i="11"/>
  <c r="G1654" i="11"/>
  <c r="H1654" i="11"/>
  <c r="B1655" i="11"/>
  <c r="F1655" i="11" s="1"/>
  <c r="D1655" i="11"/>
  <c r="G1655" i="11"/>
  <c r="H1655" i="11"/>
  <c r="B1656" i="11"/>
  <c r="D1656" i="11"/>
  <c r="F1656" i="11"/>
  <c r="G1656" i="11"/>
  <c r="H1656" i="11"/>
  <c r="B1657" i="11"/>
  <c r="F1657" i="11" s="1"/>
  <c r="D1657" i="11"/>
  <c r="G1657" i="11"/>
  <c r="H1657" i="11"/>
  <c r="B1658" i="11"/>
  <c r="D1658" i="11"/>
  <c r="F1658" i="11"/>
  <c r="G1658" i="11"/>
  <c r="H1658" i="11"/>
  <c r="B1659" i="11"/>
  <c r="F1659" i="11" s="1"/>
  <c r="D1659" i="11"/>
  <c r="G1659" i="11"/>
  <c r="H1659" i="11"/>
  <c r="B1660" i="11"/>
  <c r="D1660" i="11"/>
  <c r="F1660" i="11"/>
  <c r="G1660" i="11"/>
  <c r="H1660" i="11"/>
  <c r="B1661" i="11"/>
  <c r="F1661" i="11" s="1"/>
  <c r="D1661" i="11"/>
  <c r="G1661" i="11"/>
  <c r="H1661" i="11"/>
  <c r="B1662" i="11"/>
  <c r="F1662" i="11" s="1"/>
  <c r="D1662" i="11"/>
  <c r="H1662" i="11"/>
  <c r="B1663" i="11"/>
  <c r="F1663" i="11" s="1"/>
  <c r="D1663" i="11"/>
  <c r="G1663" i="11"/>
  <c r="H1663" i="11"/>
  <c r="B1664" i="11"/>
  <c r="D1664" i="11"/>
  <c r="H1664" i="11" s="1"/>
  <c r="B1665" i="11"/>
  <c r="F1665" i="11" s="1"/>
  <c r="D1665" i="11"/>
  <c r="G1665" i="11"/>
  <c r="H1665" i="11"/>
  <c r="B1666" i="11"/>
  <c r="D1666" i="11"/>
  <c r="H1666" i="11" s="1"/>
  <c r="B1667" i="11"/>
  <c r="F1667" i="11" s="1"/>
  <c r="D1667" i="11"/>
  <c r="G1667" i="11"/>
  <c r="H1667" i="11"/>
  <c r="B1668" i="11"/>
  <c r="D1668" i="11"/>
  <c r="H1668" i="11" s="1"/>
  <c r="B1669" i="11"/>
  <c r="F1669" i="11" s="1"/>
  <c r="D1669" i="11"/>
  <c r="G1669" i="11"/>
  <c r="H1669" i="11"/>
  <c r="B1670" i="11"/>
  <c r="D1670" i="11"/>
  <c r="H1670" i="11" s="1"/>
  <c r="F1670" i="11"/>
  <c r="G1670" i="11"/>
  <c r="B1671" i="11"/>
  <c r="F1671" i="11" s="1"/>
  <c r="D1671" i="11"/>
  <c r="G1671" i="11"/>
  <c r="H1671" i="11"/>
  <c r="B1672" i="11"/>
  <c r="D1672" i="11"/>
  <c r="F1672" i="11"/>
  <c r="G1672" i="11"/>
  <c r="H1672" i="11"/>
  <c r="B1673" i="11"/>
  <c r="F1673" i="11" s="1"/>
  <c r="D1673" i="11"/>
  <c r="G1673" i="11"/>
  <c r="H1673" i="11"/>
  <c r="B1674" i="11"/>
  <c r="D1674" i="11"/>
  <c r="F1674" i="11"/>
  <c r="G1674" i="11"/>
  <c r="H1674" i="11"/>
  <c r="B1675" i="11"/>
  <c r="F1675" i="11" s="1"/>
  <c r="D1675" i="11"/>
  <c r="G1675" i="11"/>
  <c r="H1675" i="11"/>
  <c r="B1676" i="11"/>
  <c r="D1676" i="11"/>
  <c r="F1676" i="11"/>
  <c r="G1676" i="11"/>
  <c r="H1676" i="11"/>
  <c r="B1677" i="11"/>
  <c r="F1677" i="11" s="1"/>
  <c r="D1677" i="11"/>
  <c r="G1677" i="11"/>
  <c r="H1677" i="11"/>
  <c r="B1678" i="11"/>
  <c r="D1678" i="11"/>
  <c r="F1678" i="11"/>
  <c r="G1678" i="11"/>
  <c r="H1678" i="11"/>
  <c r="B1679" i="11"/>
  <c r="F1679" i="11" s="1"/>
  <c r="D1679" i="11"/>
  <c r="G1679" i="11"/>
  <c r="H1679" i="11"/>
  <c r="B1680" i="11"/>
  <c r="D1680" i="11"/>
  <c r="F1680" i="11"/>
  <c r="G1680" i="11"/>
  <c r="H1680" i="11"/>
  <c r="B1681" i="11"/>
  <c r="F1681" i="11" s="1"/>
  <c r="D1681" i="11"/>
  <c r="G1681" i="11"/>
  <c r="H1681" i="11"/>
  <c r="B1682" i="11"/>
  <c r="F1682" i="11" s="1"/>
  <c r="D1682" i="11"/>
  <c r="H1682" i="11"/>
  <c r="B1683" i="11"/>
  <c r="F1683" i="11" s="1"/>
  <c r="D1683" i="11"/>
  <c r="G1683" i="11"/>
  <c r="H1683" i="11"/>
  <c r="B1684" i="11"/>
  <c r="D1684" i="11"/>
  <c r="H1684" i="11" s="1"/>
  <c r="B1685" i="11"/>
  <c r="F1685" i="11" s="1"/>
  <c r="D1685" i="11"/>
  <c r="G1685" i="11"/>
  <c r="H1685" i="11"/>
  <c r="B1686" i="11"/>
  <c r="D1686" i="11"/>
  <c r="H1686" i="11" s="1"/>
  <c r="B1687" i="11"/>
  <c r="F1687" i="11" s="1"/>
  <c r="D1687" i="11"/>
  <c r="G1687" i="11"/>
  <c r="H1687" i="11"/>
  <c r="B1688" i="11"/>
  <c r="D1688" i="11"/>
  <c r="H1688" i="11" s="1"/>
  <c r="F1688" i="11"/>
  <c r="B1689" i="11"/>
  <c r="F1689" i="11" s="1"/>
  <c r="D1689" i="11"/>
  <c r="G1689" i="11"/>
  <c r="H1689" i="11"/>
  <c r="B1690" i="11"/>
  <c r="D1690" i="11"/>
  <c r="H1690" i="11" s="1"/>
  <c r="F1690" i="11"/>
  <c r="G1690" i="11"/>
  <c r="B1691" i="11"/>
  <c r="F1691" i="11" s="1"/>
  <c r="D1691" i="11"/>
  <c r="G1691" i="11"/>
  <c r="H1691" i="11"/>
  <c r="B1692" i="11"/>
  <c r="D1692" i="11"/>
  <c r="F1692" i="11"/>
  <c r="G1692" i="11"/>
  <c r="H1692" i="11"/>
  <c r="B1693" i="11"/>
  <c r="F1693" i="11" s="1"/>
  <c r="D1693" i="11"/>
  <c r="G1693" i="11"/>
  <c r="H1693" i="11"/>
  <c r="B1694" i="11"/>
  <c r="D1694" i="11"/>
  <c r="F1694" i="11"/>
  <c r="G1694" i="11"/>
  <c r="H1694" i="11"/>
  <c r="B1695" i="11"/>
  <c r="F1695" i="11" s="1"/>
  <c r="D1695" i="11"/>
  <c r="G1695" i="11"/>
  <c r="H1695" i="11"/>
  <c r="B1696" i="11"/>
  <c r="D1696" i="11"/>
  <c r="F1696" i="11"/>
  <c r="G1696" i="11"/>
  <c r="H1696" i="11"/>
  <c r="B1697" i="11"/>
  <c r="F1697" i="11" s="1"/>
  <c r="D1697" i="11"/>
  <c r="G1697" i="11"/>
  <c r="H1697" i="11"/>
  <c r="B1698" i="11"/>
  <c r="D1698" i="11"/>
  <c r="F1698" i="11"/>
  <c r="G1698" i="11"/>
  <c r="H1698" i="11"/>
  <c r="B1699" i="11"/>
  <c r="F1699" i="11" s="1"/>
  <c r="D1699" i="11"/>
  <c r="G1699" i="11"/>
  <c r="H1699" i="11"/>
  <c r="B1700" i="11"/>
  <c r="D1700" i="11"/>
  <c r="F1700" i="11"/>
  <c r="G1700" i="11"/>
  <c r="H1700" i="11"/>
  <c r="B1701" i="11"/>
  <c r="F1701" i="11" s="1"/>
  <c r="D1701" i="11"/>
  <c r="G1701" i="11"/>
  <c r="H1701" i="11"/>
  <c r="B1702" i="11"/>
  <c r="F1702" i="11" s="1"/>
  <c r="D1702" i="11"/>
  <c r="H1702" i="11"/>
  <c r="B1703" i="11"/>
  <c r="F1703" i="11" s="1"/>
  <c r="D1703" i="11"/>
  <c r="G1703" i="11"/>
  <c r="H1703" i="11"/>
  <c r="B1704" i="11"/>
  <c r="D1704" i="11"/>
  <c r="H1704" i="11" s="1"/>
  <c r="B1705" i="11"/>
  <c r="F1705" i="11" s="1"/>
  <c r="D1705" i="11"/>
  <c r="G1705" i="11"/>
  <c r="H1705" i="11"/>
  <c r="B1706" i="11"/>
  <c r="D1706" i="11"/>
  <c r="H1706" i="11" s="1"/>
  <c r="B1707" i="11"/>
  <c r="F1707" i="11" s="1"/>
  <c r="D1707" i="11"/>
  <c r="G1707" i="11"/>
  <c r="H1707" i="11"/>
  <c r="B1708" i="11"/>
  <c r="D1708" i="11"/>
  <c r="H1708" i="11" s="1"/>
  <c r="F1708" i="11"/>
  <c r="B1709" i="11"/>
  <c r="F1709" i="11" s="1"/>
  <c r="D1709" i="11"/>
  <c r="G1709" i="11"/>
  <c r="H1709" i="11"/>
  <c r="B1710" i="11"/>
  <c r="D1710" i="11"/>
  <c r="H1710" i="11" s="1"/>
  <c r="F1710" i="11"/>
  <c r="G1710" i="11"/>
  <c r="B1711" i="11"/>
  <c r="F1711" i="11" s="1"/>
  <c r="D1711" i="11"/>
  <c r="G1711" i="11"/>
  <c r="H1711" i="11"/>
  <c r="B1712" i="11"/>
  <c r="D1712" i="11"/>
  <c r="F1712" i="11"/>
  <c r="G1712" i="11"/>
  <c r="H1712" i="11"/>
  <c r="B1713" i="11"/>
  <c r="F1713" i="11" s="1"/>
  <c r="D1713" i="11"/>
  <c r="G1713" i="11"/>
  <c r="H1713" i="11"/>
  <c r="B1714" i="11"/>
  <c r="F1714" i="11" s="1"/>
  <c r="D1714" i="11"/>
  <c r="H1714" i="11"/>
  <c r="B1715" i="11"/>
  <c r="F1715" i="11" s="1"/>
  <c r="D1715" i="11"/>
  <c r="G1715" i="11"/>
  <c r="H1715" i="11"/>
  <c r="B1716" i="11"/>
  <c r="D1716" i="11"/>
  <c r="G1716" i="11" s="1"/>
  <c r="F1716" i="11"/>
  <c r="B1717" i="11"/>
  <c r="F1717" i="11" s="1"/>
  <c r="D1717" i="11"/>
  <c r="G1717" i="11"/>
  <c r="H1717" i="11"/>
  <c r="B1718" i="11"/>
  <c r="D1718" i="11"/>
  <c r="F1718" i="11"/>
  <c r="G1718" i="11"/>
  <c r="H1718" i="11"/>
  <c r="B1719" i="11"/>
  <c r="F1719" i="11" s="1"/>
  <c r="D1719" i="11"/>
  <c r="G1719" i="11"/>
  <c r="H1719" i="11"/>
  <c r="B1720" i="11"/>
  <c r="D1720" i="11"/>
  <c r="F1720" i="11"/>
  <c r="G1720" i="11"/>
  <c r="H1720" i="11"/>
  <c r="B1721" i="11"/>
  <c r="F1721" i="11" s="1"/>
  <c r="D1721" i="11"/>
  <c r="G1721" i="11"/>
  <c r="H1721" i="11"/>
  <c r="B1722" i="11"/>
  <c r="F1722" i="11" s="1"/>
  <c r="D1722" i="11"/>
  <c r="H1722" i="11"/>
  <c r="B1723" i="11"/>
  <c r="F1723" i="11" s="1"/>
  <c r="D1723" i="11"/>
  <c r="G1723" i="11"/>
  <c r="H1723" i="11"/>
  <c r="B1724" i="11"/>
  <c r="D1724" i="11"/>
  <c r="H1724" i="11" s="1"/>
  <c r="B1725" i="11"/>
  <c r="F1725" i="11" s="1"/>
  <c r="D1725" i="11"/>
  <c r="G1725" i="11"/>
  <c r="H1725" i="11"/>
  <c r="B1726" i="11"/>
  <c r="D1726" i="11"/>
  <c r="H1726" i="11" s="1"/>
  <c r="B1727" i="11"/>
  <c r="F1727" i="11" s="1"/>
  <c r="D1727" i="11"/>
  <c r="G1727" i="11"/>
  <c r="H1727" i="11"/>
  <c r="B1728" i="11"/>
  <c r="D1728" i="11"/>
  <c r="H1728" i="11" s="1"/>
  <c r="B1729" i="11"/>
  <c r="F1729" i="11" s="1"/>
  <c r="D1729" i="11"/>
  <c r="G1729" i="11"/>
  <c r="H1729" i="11"/>
  <c r="B1730" i="11"/>
  <c r="D1730" i="11"/>
  <c r="H1730" i="11" s="1"/>
  <c r="F1730" i="11"/>
  <c r="G1730" i="11"/>
  <c r="B1731" i="11"/>
  <c r="F1731" i="11" s="1"/>
  <c r="D1731" i="11"/>
  <c r="G1731" i="11"/>
  <c r="H1731" i="11"/>
  <c r="B1732" i="11"/>
  <c r="F1732" i="11" s="1"/>
  <c r="D1732" i="11"/>
  <c r="H1732" i="11"/>
  <c r="B1733" i="11"/>
  <c r="F1733" i="11" s="1"/>
  <c r="D1733" i="11"/>
  <c r="G1733" i="11"/>
  <c r="H1733" i="11"/>
  <c r="B1734" i="11"/>
  <c r="D1734" i="11"/>
  <c r="H1734" i="11" s="1"/>
  <c r="B1735" i="11"/>
  <c r="F1735" i="11" s="1"/>
  <c r="D1735" i="11"/>
  <c r="G1735" i="11"/>
  <c r="H1735" i="11"/>
  <c r="B1736" i="11"/>
  <c r="D1736" i="11"/>
  <c r="F1736" i="11"/>
  <c r="B1737" i="11"/>
  <c r="F1737" i="11" s="1"/>
  <c r="D1737" i="11"/>
  <c r="G1737" i="11"/>
  <c r="H1737" i="11"/>
  <c r="B1738" i="11"/>
  <c r="D1738" i="11"/>
  <c r="F1738" i="11"/>
  <c r="G1738" i="11"/>
  <c r="H1738" i="11"/>
  <c r="B1739" i="11"/>
  <c r="F1739" i="11" s="1"/>
  <c r="D1739" i="11"/>
  <c r="G1739" i="11"/>
  <c r="H1739" i="11"/>
  <c r="B1740" i="11"/>
  <c r="D1740" i="11"/>
  <c r="F1740" i="11"/>
  <c r="G1740" i="11"/>
  <c r="H1740" i="11"/>
  <c r="B1741" i="11"/>
  <c r="F1741" i="11" s="1"/>
  <c r="D1741" i="11"/>
  <c r="G1741" i="11"/>
  <c r="H1741" i="11"/>
  <c r="B1742" i="11"/>
  <c r="F1742" i="11" s="1"/>
  <c r="D1742" i="11"/>
  <c r="H1742" i="11"/>
  <c r="B1743" i="11"/>
  <c r="F1743" i="11" s="1"/>
  <c r="D1743" i="11"/>
  <c r="B1744" i="11"/>
  <c r="D1744" i="11"/>
  <c r="H1744" i="11" s="1"/>
  <c r="B1745" i="11"/>
  <c r="F1745" i="11" s="1"/>
  <c r="D1745" i="11"/>
  <c r="G1745" i="11" s="1"/>
  <c r="B1746" i="11"/>
  <c r="D1746" i="11"/>
  <c r="H1746" i="11" s="1"/>
  <c r="B1747" i="11"/>
  <c r="F1747" i="11" s="1"/>
  <c r="D1747" i="11"/>
  <c r="G1747" i="11"/>
  <c r="H1747" i="11"/>
  <c r="B1748" i="11"/>
  <c r="D1748" i="11"/>
  <c r="H1748" i="11" s="1"/>
  <c r="B1749" i="11"/>
  <c r="F1749" i="11" s="1"/>
  <c r="D1749" i="11"/>
  <c r="G1749" i="11"/>
  <c r="H1749" i="11"/>
  <c r="B1750" i="11"/>
  <c r="D1750" i="11"/>
  <c r="H1750" i="11" s="1"/>
  <c r="F1750" i="11"/>
  <c r="G1750" i="11"/>
  <c r="B1751" i="11"/>
  <c r="F1751" i="11" s="1"/>
  <c r="D1751" i="11"/>
  <c r="G1751" i="11"/>
  <c r="H1751" i="11"/>
  <c r="B1752" i="11"/>
  <c r="D1752" i="11"/>
  <c r="H1752" i="11" s="1"/>
  <c r="B1753" i="11"/>
  <c r="F1753" i="11" s="1"/>
  <c r="D1753" i="11"/>
  <c r="G1753" i="11"/>
  <c r="H1753" i="11"/>
  <c r="B1754" i="11"/>
  <c r="D1754" i="11"/>
  <c r="H1754" i="11" s="1"/>
  <c r="B1755" i="11"/>
  <c r="F1755" i="11" s="1"/>
  <c r="D1755" i="11"/>
  <c r="G1755" i="11" s="1"/>
  <c r="B1756" i="11"/>
  <c r="D1756" i="11"/>
  <c r="F1756" i="11"/>
  <c r="G1756" i="11"/>
  <c r="H1756" i="11"/>
  <c r="B1757" i="11"/>
  <c r="F1757" i="11" s="1"/>
  <c r="D1757" i="11"/>
  <c r="B1758" i="11"/>
  <c r="D1758" i="11"/>
  <c r="F1758" i="11"/>
  <c r="G1758" i="11"/>
  <c r="H1758" i="11"/>
  <c r="B1759" i="11"/>
  <c r="F1759" i="11" s="1"/>
  <c r="D1759" i="11"/>
  <c r="H1759" i="11" s="1"/>
  <c r="G1759" i="11"/>
  <c r="B1760" i="11"/>
  <c r="D1760" i="11"/>
  <c r="F1760" i="11"/>
  <c r="G1760" i="11"/>
  <c r="H1760" i="11"/>
  <c r="B1761" i="11"/>
  <c r="F1761" i="11" s="1"/>
  <c r="D1761" i="11"/>
  <c r="H1761" i="11"/>
  <c r="B1762" i="11"/>
  <c r="F1762" i="11" s="1"/>
  <c r="D1762" i="11"/>
  <c r="H1762" i="11"/>
  <c r="B1763" i="11"/>
  <c r="F1763" i="11" s="1"/>
  <c r="D1763" i="11"/>
  <c r="G1763" i="11"/>
  <c r="H1763" i="11"/>
  <c r="B1764" i="11"/>
  <c r="D1764" i="11"/>
  <c r="H1764" i="11" s="1"/>
  <c r="B1765" i="11"/>
  <c r="D1765" i="11"/>
  <c r="H1765" i="11" s="1"/>
  <c r="B1766" i="11"/>
  <c r="D1766" i="11"/>
  <c r="H1766" i="11" s="1"/>
  <c r="B1767" i="11"/>
  <c r="F1767" i="11" s="1"/>
  <c r="D1767" i="11"/>
  <c r="G1767" i="11"/>
  <c r="H1767" i="11"/>
  <c r="B1768" i="11"/>
  <c r="D1768" i="11"/>
  <c r="H1768" i="11" s="1"/>
  <c r="B1769" i="11"/>
  <c r="F1769" i="11" s="1"/>
  <c r="D1769" i="11"/>
  <c r="G1769" i="11"/>
  <c r="H1769" i="11"/>
  <c r="B1770" i="11"/>
  <c r="D1770" i="11"/>
  <c r="H1770" i="11" s="1"/>
  <c r="F1770" i="11"/>
  <c r="G1770" i="11"/>
  <c r="B1771" i="11"/>
  <c r="F1771" i="11" s="1"/>
  <c r="D1771" i="11"/>
  <c r="G1771" i="11"/>
  <c r="H1771" i="11"/>
  <c r="B1772" i="11"/>
  <c r="D1772" i="11"/>
  <c r="G1772" i="11" s="1"/>
  <c r="F1772" i="11"/>
  <c r="B1773" i="11"/>
  <c r="F1773" i="11" s="1"/>
  <c r="D1773" i="11"/>
  <c r="H1773" i="11"/>
  <c r="B1774" i="11"/>
  <c r="D1774" i="11"/>
  <c r="F1774" i="11"/>
  <c r="G1774" i="11"/>
  <c r="H1774" i="11"/>
  <c r="B1775" i="11"/>
  <c r="D1775" i="11"/>
  <c r="H1775" i="11" s="1"/>
  <c r="B1776" i="11"/>
  <c r="D1776" i="11"/>
  <c r="F1776" i="11"/>
  <c r="B1777" i="11"/>
  <c r="D1777" i="11"/>
  <c r="H1777" i="11" s="1"/>
  <c r="B1778" i="11"/>
  <c r="D1778" i="11"/>
  <c r="F1778" i="11"/>
  <c r="G1778" i="11"/>
  <c r="H1778" i="11"/>
  <c r="B1779" i="11"/>
  <c r="F1779" i="11" s="1"/>
  <c r="D1779" i="11"/>
  <c r="H1779" i="11" s="1"/>
  <c r="B1780" i="11"/>
  <c r="D1780" i="11"/>
  <c r="F1780" i="11"/>
  <c r="G1780" i="11"/>
  <c r="H1780" i="11"/>
  <c r="B1781" i="11"/>
  <c r="D1781" i="11"/>
  <c r="H1781" i="11" s="1"/>
  <c r="B1782" i="11"/>
  <c r="F1782" i="11" s="1"/>
  <c r="D1782" i="11"/>
  <c r="H1782" i="11"/>
  <c r="B1783" i="11"/>
  <c r="F1783" i="11" s="1"/>
  <c r="D1783" i="11"/>
  <c r="H1783" i="11"/>
  <c r="B1784" i="11"/>
  <c r="D1784" i="11"/>
  <c r="H1784" i="11" s="1"/>
  <c r="B1785" i="11"/>
  <c r="F1785" i="11" s="1"/>
  <c r="D1785" i="11"/>
  <c r="G1785" i="11"/>
  <c r="H1785" i="11"/>
  <c r="B1786" i="11"/>
  <c r="D1786" i="11"/>
  <c r="H1786" i="11" s="1"/>
  <c r="B1787" i="11"/>
  <c r="F1787" i="11" s="1"/>
  <c r="D1787" i="11"/>
  <c r="B1788" i="11"/>
  <c r="D1788" i="11"/>
  <c r="H1788" i="11" s="1"/>
  <c r="F1788" i="11"/>
  <c r="B1789" i="11"/>
  <c r="F1789" i="11" s="1"/>
  <c r="D1789" i="11"/>
  <c r="G1789" i="11"/>
  <c r="H1789" i="11"/>
  <c r="B1790" i="11"/>
  <c r="D1790" i="11"/>
  <c r="H1790" i="11" s="1"/>
  <c r="B1791" i="11"/>
  <c r="F1791" i="11" s="1"/>
  <c r="D1791" i="11"/>
  <c r="G1791" i="11"/>
  <c r="H1791" i="11"/>
  <c r="B1792" i="11"/>
  <c r="D1792" i="11"/>
  <c r="H1792" i="11" s="1"/>
  <c r="F1792" i="11"/>
  <c r="B1793" i="11"/>
  <c r="F1793" i="11" s="1"/>
  <c r="D1793" i="11"/>
  <c r="H1793" i="11"/>
  <c r="B1794" i="11"/>
  <c r="D1794" i="11"/>
  <c r="F1794" i="11"/>
  <c r="G1794" i="11"/>
  <c r="H1794" i="11"/>
  <c r="B1795" i="11"/>
  <c r="D1795" i="11"/>
  <c r="H1795" i="11" s="1"/>
  <c r="B1796" i="11"/>
  <c r="D1796" i="11"/>
  <c r="F1796" i="11"/>
  <c r="G1796" i="11"/>
  <c r="H1796" i="11"/>
  <c r="B1797" i="11"/>
  <c r="D1797" i="11"/>
  <c r="H1797" i="11" s="1"/>
  <c r="B1798" i="11"/>
  <c r="D1798" i="11"/>
  <c r="F1798" i="11"/>
  <c r="G1798" i="11"/>
  <c r="H1798" i="11"/>
  <c r="B1799" i="11"/>
  <c r="F1799" i="11" s="1"/>
  <c r="D1799" i="11"/>
  <c r="H1799" i="11" s="1"/>
  <c r="G1799" i="11"/>
  <c r="B1800" i="11"/>
  <c r="D1800" i="11"/>
  <c r="F1800" i="11"/>
  <c r="G1800" i="11"/>
  <c r="H1800" i="11"/>
  <c r="B1801" i="11"/>
  <c r="D1801" i="11"/>
  <c r="H1801" i="11" s="1"/>
  <c r="F1801" i="11"/>
  <c r="G1801" i="11"/>
  <c r="B1802" i="11"/>
  <c r="D1802" i="11"/>
  <c r="F1802" i="11"/>
  <c r="G1802" i="11"/>
  <c r="H1802" i="11"/>
  <c r="B1803" i="11"/>
  <c r="F1803" i="11" s="1"/>
  <c r="D1803" i="11"/>
  <c r="H1803" i="11" s="1"/>
  <c r="B1804" i="11"/>
  <c r="D1804" i="11"/>
  <c r="F1804" i="11"/>
  <c r="G1804" i="11"/>
  <c r="H1804" i="11"/>
  <c r="B1805" i="11"/>
  <c r="D1805" i="11"/>
  <c r="H1805" i="11" s="1"/>
  <c r="B1806" i="11"/>
  <c r="D1806" i="11"/>
  <c r="F1806" i="11"/>
  <c r="G1806" i="11"/>
  <c r="H1806" i="11"/>
  <c r="B1807" i="11"/>
  <c r="D1807" i="11"/>
  <c r="H1807" i="11" s="1"/>
  <c r="B1808" i="11"/>
  <c r="D1808" i="11"/>
  <c r="F1808" i="11"/>
  <c r="G1808" i="11"/>
  <c r="H1808" i="11"/>
  <c r="B1809" i="11"/>
  <c r="D1809" i="11"/>
  <c r="H1809" i="11" s="1"/>
  <c r="B1810" i="11"/>
  <c r="D1810" i="11"/>
  <c r="F1810" i="11"/>
  <c r="G1810" i="11"/>
  <c r="H1810" i="11"/>
  <c r="B1811" i="11"/>
  <c r="D1811" i="11"/>
  <c r="H1811" i="11" s="1"/>
  <c r="B1812" i="11"/>
  <c r="D1812" i="11"/>
  <c r="F1812" i="11"/>
  <c r="G1812" i="11"/>
  <c r="H1812" i="11"/>
  <c r="B1813" i="11"/>
  <c r="D1813" i="11"/>
  <c r="H1813" i="11" s="1"/>
  <c r="F1813" i="11"/>
  <c r="B1814" i="11"/>
  <c r="D1814" i="11"/>
  <c r="F1814" i="11"/>
  <c r="G1814" i="11"/>
  <c r="H1814" i="11"/>
  <c r="B1815" i="11"/>
  <c r="F1815" i="11" s="1"/>
  <c r="D1815" i="11"/>
  <c r="H1815" i="11" s="1"/>
  <c r="B1816" i="11"/>
  <c r="D1816" i="11"/>
  <c r="F1816" i="11"/>
  <c r="G1816" i="11"/>
  <c r="H1816" i="11"/>
  <c r="B1817" i="11"/>
  <c r="D1817" i="11"/>
  <c r="H1817" i="11" s="1"/>
  <c r="F1817" i="11"/>
  <c r="B1818" i="11"/>
  <c r="D1818" i="11"/>
  <c r="F1818" i="11"/>
  <c r="G1818" i="11"/>
  <c r="H1818" i="11"/>
  <c r="B1819" i="11"/>
  <c r="D1819" i="11"/>
  <c r="H1819" i="11" s="1"/>
  <c r="F1819" i="11"/>
  <c r="G1819" i="11"/>
  <c r="B1820" i="11"/>
  <c r="D1820" i="11"/>
  <c r="F1820" i="11"/>
  <c r="G1820" i="11"/>
  <c r="H1820" i="11"/>
  <c r="B1821" i="11"/>
  <c r="D1821" i="11"/>
  <c r="H1821" i="11" s="1"/>
  <c r="F1821" i="11"/>
  <c r="G1821" i="11"/>
  <c r="B1822" i="11"/>
  <c r="D1822" i="11"/>
  <c r="F1822" i="11"/>
  <c r="G1822" i="11"/>
  <c r="H1822" i="11"/>
  <c r="B1823" i="11"/>
  <c r="F1823" i="11" s="1"/>
  <c r="D1823" i="11"/>
  <c r="H1823" i="11" s="1"/>
  <c r="B1824" i="11"/>
  <c r="D1824" i="11"/>
  <c r="F1824" i="11"/>
  <c r="G1824" i="11"/>
  <c r="H1824" i="11"/>
  <c r="B1825" i="11"/>
  <c r="D1825" i="11"/>
  <c r="H1825" i="11" s="1"/>
  <c r="B1826" i="11"/>
  <c r="D1826" i="11"/>
  <c r="F1826" i="11"/>
  <c r="G1826" i="11"/>
  <c r="H1826" i="11"/>
  <c r="B1827" i="11"/>
  <c r="D1827" i="11"/>
  <c r="H1827" i="11" s="1"/>
  <c r="B1828" i="11"/>
  <c r="D1828" i="11"/>
  <c r="F1828" i="11"/>
  <c r="G1828" i="11"/>
  <c r="H1828" i="11"/>
  <c r="B1829" i="11"/>
  <c r="D1829" i="11"/>
  <c r="H1829" i="11" s="1"/>
  <c r="F1829" i="11"/>
  <c r="B1830" i="11"/>
  <c r="D1830" i="11"/>
  <c r="F1830" i="11"/>
  <c r="G1830" i="11"/>
  <c r="H1830" i="11"/>
  <c r="B1831" i="11"/>
  <c r="D1831" i="11"/>
  <c r="H1831" i="11" s="1"/>
  <c r="B1832" i="11"/>
  <c r="D1832" i="11"/>
  <c r="F1832" i="11"/>
  <c r="G1832" i="11"/>
  <c r="H1832" i="11"/>
  <c r="B1833" i="11"/>
  <c r="D1833" i="11"/>
  <c r="H1833" i="11" s="1"/>
  <c r="B1834" i="11"/>
  <c r="D1834" i="11"/>
  <c r="F1834" i="11"/>
  <c r="G1834" i="11"/>
  <c r="H1834" i="11"/>
  <c r="B1835" i="11"/>
  <c r="G1835" i="11" s="1"/>
  <c r="D1835" i="11"/>
  <c r="H1835" i="11" s="1"/>
  <c r="B1836" i="11"/>
  <c r="D1836" i="11"/>
  <c r="F1836" i="11"/>
  <c r="G1836" i="11"/>
  <c r="H1836" i="11"/>
  <c r="B1837" i="11"/>
  <c r="D1837" i="11"/>
  <c r="H1837" i="11" s="1"/>
  <c r="F1837" i="11"/>
  <c r="G1837" i="11"/>
  <c r="B1838" i="11"/>
  <c r="D1838" i="11"/>
  <c r="F1838" i="11"/>
  <c r="G1838" i="11"/>
  <c r="H1838" i="11"/>
  <c r="B1839" i="11"/>
  <c r="D1839" i="11"/>
  <c r="H1839" i="11" s="1"/>
  <c r="F1839" i="11"/>
  <c r="G1839" i="11"/>
  <c r="B1840" i="11"/>
  <c r="D1840" i="11"/>
  <c r="F1840" i="11"/>
  <c r="G1840" i="11"/>
  <c r="H1840" i="11"/>
  <c r="B1841" i="11"/>
  <c r="D1841" i="11"/>
  <c r="H1841" i="11" s="1"/>
  <c r="F1841" i="11"/>
  <c r="G1841" i="11"/>
  <c r="B1842" i="11"/>
  <c r="D1842" i="11"/>
  <c r="F1842" i="11"/>
  <c r="G1842" i="11"/>
  <c r="H1842" i="11"/>
  <c r="B1843" i="11"/>
  <c r="F1843" i="11" s="1"/>
  <c r="D1843" i="11"/>
  <c r="H1843" i="11" s="1"/>
  <c r="B1844" i="11"/>
  <c r="D1844" i="11"/>
  <c r="F1844" i="11"/>
  <c r="G1844" i="11"/>
  <c r="H1844" i="11"/>
  <c r="B1845" i="11"/>
  <c r="D1845" i="11"/>
  <c r="H1845" i="11" s="1"/>
  <c r="B1846" i="11"/>
  <c r="D1846" i="11"/>
  <c r="F1846" i="11"/>
  <c r="G1846" i="11"/>
  <c r="H1846" i="11"/>
  <c r="B1847" i="11"/>
  <c r="D1847" i="11"/>
  <c r="H1847" i="11" s="1"/>
  <c r="B1848" i="11"/>
  <c r="D1848" i="11"/>
  <c r="F1848" i="11"/>
  <c r="G1848" i="11"/>
  <c r="H1848" i="11"/>
  <c r="B1849" i="11"/>
  <c r="D1849" i="11"/>
  <c r="H1849" i="11" s="1"/>
  <c r="F1849" i="11"/>
  <c r="B1850" i="11"/>
  <c r="D1850" i="11"/>
  <c r="F1850" i="11"/>
  <c r="G1850" i="11"/>
  <c r="H1850" i="11"/>
  <c r="B1851" i="11"/>
  <c r="D1851" i="11"/>
  <c r="H1851" i="11" s="1"/>
  <c r="F1851" i="11"/>
  <c r="G1851" i="11"/>
  <c r="B1852" i="11"/>
  <c r="D1852" i="11"/>
  <c r="F1852" i="11"/>
  <c r="G1852" i="11"/>
  <c r="H1852" i="11"/>
  <c r="B1853" i="11"/>
  <c r="D1853" i="11"/>
  <c r="H1853" i="11" s="1"/>
  <c r="F1853" i="11"/>
  <c r="G1853" i="11"/>
  <c r="B1854" i="11"/>
  <c r="D1854" i="11"/>
  <c r="F1854" i="11"/>
  <c r="G1854" i="11"/>
  <c r="H1854" i="11"/>
  <c r="B1855" i="11"/>
  <c r="F1855" i="11" s="1"/>
  <c r="D1855" i="11"/>
  <c r="H1855" i="11" s="1"/>
  <c r="B1856" i="11"/>
  <c r="D1856" i="11"/>
  <c r="F1856" i="11"/>
  <c r="G1856" i="11"/>
  <c r="H1856" i="11"/>
  <c r="B1857" i="11"/>
  <c r="D1857" i="11"/>
  <c r="H1857" i="11" s="1"/>
  <c r="F1857" i="11"/>
  <c r="B1858" i="11"/>
  <c r="D1858" i="11"/>
  <c r="F1858" i="11"/>
  <c r="G1858" i="11"/>
  <c r="H1858" i="11"/>
  <c r="B1859" i="11"/>
  <c r="D1859" i="11"/>
  <c r="H1859" i="11" s="1"/>
  <c r="F1859" i="11"/>
  <c r="G1859" i="11"/>
  <c r="B1860" i="11"/>
  <c r="D1860" i="11"/>
  <c r="F1860" i="11"/>
  <c r="G1860" i="11"/>
  <c r="H1860" i="11"/>
  <c r="B1861" i="11"/>
  <c r="D1861" i="11"/>
  <c r="H1861" i="11" s="1"/>
  <c r="F1861" i="11"/>
  <c r="G1861" i="11"/>
  <c r="B1862" i="11"/>
  <c r="D1862" i="11"/>
  <c r="F1862" i="11"/>
  <c r="G1862" i="11"/>
  <c r="H1862" i="11"/>
  <c r="B1863" i="11"/>
  <c r="F1863" i="11" s="1"/>
  <c r="D1863" i="11"/>
  <c r="H1863" i="11" s="1"/>
  <c r="B1864" i="11"/>
  <c r="D1864" i="11"/>
  <c r="F1864" i="11"/>
  <c r="G1864" i="11"/>
  <c r="H1864" i="11"/>
  <c r="B1865" i="11"/>
  <c r="D1865" i="11"/>
  <c r="H1865" i="11" s="1"/>
  <c r="B1866" i="11"/>
  <c r="D1866" i="11"/>
  <c r="F1866" i="11"/>
  <c r="G1866" i="11"/>
  <c r="H1866" i="11"/>
  <c r="B1867" i="11"/>
  <c r="D1867" i="11"/>
  <c r="H1867" i="11" s="1"/>
  <c r="B1868" i="11"/>
  <c r="D1868" i="11"/>
  <c r="F1868" i="11"/>
  <c r="G1868" i="11"/>
  <c r="H1868" i="11"/>
  <c r="B1869" i="11"/>
  <c r="D1869" i="11"/>
  <c r="H1869" i="11" s="1"/>
  <c r="F1869" i="11"/>
  <c r="B1870" i="11"/>
  <c r="D1870" i="11"/>
  <c r="F1870" i="11"/>
  <c r="G1870" i="11"/>
  <c r="H1870" i="11"/>
  <c r="B1871" i="11"/>
  <c r="D1871" i="11"/>
  <c r="H1871" i="11" s="1"/>
  <c r="B1872" i="11"/>
  <c r="D1872" i="11"/>
  <c r="F1872" i="11"/>
  <c r="G1872" i="11"/>
  <c r="H1872" i="11"/>
  <c r="B1873" i="11"/>
  <c r="D1873" i="11"/>
  <c r="H1873" i="11" s="1"/>
  <c r="B1874" i="11"/>
  <c r="D1874" i="11"/>
  <c r="F1874" i="11"/>
  <c r="G1874" i="11"/>
  <c r="H1874" i="11"/>
  <c r="B1875" i="11"/>
  <c r="D1875" i="11"/>
  <c r="F1875" i="11"/>
  <c r="B1876" i="11"/>
  <c r="D1876" i="11"/>
  <c r="F1876" i="11"/>
  <c r="G1876" i="11"/>
  <c r="H1876" i="11"/>
  <c r="B1877" i="11"/>
  <c r="D1877" i="11"/>
  <c r="H1877" i="11" s="1"/>
  <c r="F1877" i="11"/>
  <c r="G1877" i="11"/>
  <c r="B1878" i="11"/>
  <c r="D1878" i="11"/>
  <c r="F1878" i="11"/>
  <c r="G1878" i="11"/>
  <c r="H1878" i="11"/>
  <c r="B1879" i="11"/>
  <c r="D1879" i="11"/>
  <c r="H1879" i="11" s="1"/>
  <c r="F1879" i="11"/>
  <c r="G1879" i="11"/>
  <c r="B1880" i="11"/>
  <c r="D1880" i="11"/>
  <c r="F1880" i="11"/>
  <c r="G1880" i="11"/>
  <c r="H1880" i="11"/>
  <c r="B1881" i="11"/>
  <c r="D1881" i="11"/>
  <c r="H1881" i="11" s="1"/>
  <c r="F1881" i="11"/>
  <c r="G1881" i="11"/>
  <c r="B1882" i="11"/>
  <c r="D1882" i="11"/>
  <c r="F1882" i="11"/>
  <c r="G1882" i="11"/>
  <c r="H1882" i="11"/>
  <c r="B1883" i="11"/>
  <c r="F1883" i="11" s="1"/>
  <c r="D1883" i="11"/>
  <c r="H1883" i="11" s="1"/>
  <c r="B1884" i="11"/>
  <c r="D1884" i="11"/>
  <c r="F1884" i="11"/>
  <c r="G1884" i="11"/>
  <c r="H1884" i="11"/>
  <c r="B1885" i="11"/>
  <c r="D1885" i="11"/>
  <c r="H1885" i="11" s="1"/>
  <c r="B1886" i="11"/>
  <c r="D1886" i="11"/>
  <c r="F1886" i="11"/>
  <c r="G1886" i="11"/>
  <c r="H1886" i="11"/>
  <c r="B1887" i="11"/>
  <c r="D1887" i="11"/>
  <c r="H1887" i="11" s="1"/>
  <c r="B1888" i="11"/>
  <c r="D1888" i="11"/>
  <c r="F1888" i="11"/>
  <c r="G1888" i="11"/>
  <c r="H1888" i="11"/>
  <c r="B1889" i="11"/>
  <c r="G1889" i="11" s="1"/>
  <c r="D1889" i="11"/>
  <c r="H1889" i="11" s="1"/>
  <c r="B1890" i="11"/>
  <c r="D1890" i="11"/>
  <c r="F1890" i="11"/>
  <c r="G1890" i="11"/>
  <c r="H1890" i="11"/>
  <c r="B1891" i="11"/>
  <c r="D1891" i="11"/>
  <c r="H1891" i="11" s="1"/>
  <c r="B1892" i="11"/>
  <c r="D1892" i="11"/>
  <c r="F1892" i="11"/>
  <c r="G1892" i="11"/>
  <c r="H1892" i="11"/>
  <c r="B1893" i="11"/>
  <c r="D1893" i="11"/>
  <c r="H1893" i="11" s="1"/>
  <c r="B1894" i="11"/>
  <c r="D1894" i="11"/>
  <c r="F1894" i="11"/>
  <c r="G1894" i="11"/>
  <c r="H1894" i="11"/>
  <c r="B1895" i="11"/>
  <c r="D1895" i="11"/>
  <c r="H1895" i="11" s="1"/>
  <c r="F1895" i="11"/>
  <c r="G1895" i="11"/>
  <c r="B1896" i="11"/>
  <c r="D1896" i="11"/>
  <c r="F1896" i="11"/>
  <c r="G1896" i="11"/>
  <c r="H1896" i="11"/>
  <c r="B1897" i="11"/>
  <c r="D1897" i="11"/>
  <c r="H1897" i="11" s="1"/>
  <c r="F1897" i="11"/>
  <c r="G1897" i="11"/>
  <c r="B1898" i="11"/>
  <c r="F1898" i="11" s="1"/>
  <c r="D1898" i="11"/>
  <c r="G1898" i="11"/>
  <c r="H1898" i="11"/>
  <c r="B1899" i="11"/>
  <c r="D1899" i="11"/>
  <c r="H1899" i="11" s="1"/>
  <c r="F1899" i="11"/>
  <c r="G1899" i="11"/>
  <c r="B1900" i="11"/>
  <c r="F1900" i="11" s="1"/>
  <c r="D1900" i="11"/>
  <c r="G1900" i="11"/>
  <c r="H1900" i="11"/>
  <c r="B1901" i="11"/>
  <c r="D1901" i="11"/>
  <c r="H1901" i="11" s="1"/>
  <c r="B1902" i="11"/>
  <c r="F1902" i="11" s="1"/>
  <c r="D1902" i="11"/>
  <c r="G1902" i="11"/>
  <c r="H1902" i="11"/>
  <c r="B1903" i="11"/>
  <c r="D1903" i="11"/>
  <c r="H1903" i="11" s="1"/>
  <c r="F1903" i="11"/>
  <c r="B1904" i="11"/>
  <c r="F1904" i="11" s="1"/>
  <c r="D1904" i="11"/>
  <c r="G1904" i="11"/>
  <c r="H1904" i="11"/>
  <c r="B1905" i="11"/>
  <c r="D1905" i="11"/>
  <c r="H1905" i="11" s="1"/>
  <c r="F1905" i="11"/>
  <c r="G1905" i="11"/>
  <c r="B1906" i="11"/>
  <c r="F1906" i="11" s="1"/>
  <c r="D1906" i="11"/>
  <c r="G1906" i="11"/>
  <c r="H1906" i="11"/>
  <c r="B1907" i="11"/>
  <c r="D1907" i="11"/>
  <c r="H1907" i="11" s="1"/>
  <c r="F1907" i="11"/>
  <c r="G1907" i="11"/>
  <c r="B1908" i="11"/>
  <c r="F1908" i="11" s="1"/>
  <c r="D1908" i="11"/>
  <c r="G1908" i="11"/>
  <c r="H1908" i="11"/>
  <c r="B1909" i="11"/>
  <c r="D1909" i="11"/>
  <c r="H1909" i="11" s="1"/>
  <c r="F1909" i="11"/>
  <c r="G1909" i="11"/>
  <c r="B1910" i="11"/>
  <c r="F1910" i="11" s="1"/>
  <c r="D1910" i="11"/>
  <c r="G1910" i="11"/>
  <c r="H1910" i="11"/>
  <c r="B1911" i="11"/>
  <c r="D1911" i="11"/>
  <c r="H1911" i="11" s="1"/>
  <c r="B1912" i="11"/>
  <c r="D1912" i="11"/>
  <c r="F1912" i="11"/>
  <c r="G1912" i="11"/>
  <c r="H1912" i="11"/>
  <c r="B1913" i="11"/>
  <c r="D1913" i="11"/>
  <c r="H1913" i="11" s="1"/>
  <c r="B1914" i="11"/>
  <c r="D1914" i="11"/>
  <c r="F1914" i="11"/>
  <c r="G1914" i="11"/>
  <c r="H1914" i="11"/>
  <c r="B1915" i="11"/>
  <c r="D1915" i="11"/>
  <c r="H1915" i="11" s="1"/>
  <c r="B1916" i="11"/>
  <c r="D1916" i="11"/>
  <c r="F1916" i="11"/>
  <c r="G1916" i="11"/>
  <c r="H1916" i="11"/>
  <c r="B1917" i="11"/>
  <c r="D1917" i="11"/>
  <c r="H1917" i="11" s="1"/>
  <c r="B1918" i="11"/>
  <c r="D1918" i="11"/>
  <c r="F1918" i="11"/>
  <c r="G1918" i="11"/>
  <c r="H1918" i="11"/>
  <c r="B1919" i="11"/>
  <c r="D1919" i="11"/>
  <c r="H1919" i="11" s="1"/>
  <c r="B1920" i="11"/>
  <c r="F1920" i="11" s="1"/>
  <c r="D1920" i="11"/>
  <c r="G1920" i="11"/>
  <c r="H1920" i="11"/>
  <c r="B1921" i="11"/>
  <c r="D1921" i="11"/>
  <c r="H1921" i="11" s="1"/>
  <c r="B1922" i="11"/>
  <c r="D1922" i="11"/>
  <c r="F1922" i="11"/>
  <c r="G1922" i="11"/>
  <c r="H1922" i="11"/>
  <c r="B1923" i="11"/>
  <c r="D1923" i="11"/>
  <c r="H1923" i="11" s="1"/>
  <c r="B1924" i="11"/>
  <c r="D1924" i="11"/>
  <c r="F1924" i="11"/>
  <c r="G1924" i="11"/>
  <c r="H1924" i="11"/>
  <c r="B1925" i="11"/>
  <c r="D1925" i="11"/>
  <c r="H1925" i="11" s="1"/>
  <c r="B1926" i="11"/>
  <c r="D1926" i="11"/>
  <c r="F1926" i="11"/>
  <c r="G1926" i="11"/>
  <c r="H1926" i="11"/>
  <c r="B1927" i="11"/>
  <c r="D1927" i="11"/>
  <c r="H1927" i="11" s="1"/>
  <c r="B1928" i="11"/>
  <c r="D1928" i="11"/>
  <c r="F1928" i="11"/>
  <c r="G1928" i="11"/>
  <c r="H1928" i="11"/>
  <c r="B1929" i="11"/>
  <c r="D1929" i="11"/>
  <c r="H1929" i="11" s="1"/>
  <c r="B1930" i="11"/>
  <c r="F1930" i="11" s="1"/>
  <c r="D1930" i="11"/>
  <c r="G1930" i="11"/>
  <c r="H1930" i="11"/>
  <c r="B1931" i="11"/>
  <c r="D1931" i="11"/>
  <c r="H1931" i="11" s="1"/>
  <c r="F1931" i="11"/>
  <c r="B1932" i="11"/>
  <c r="F1932" i="11" s="1"/>
  <c r="D1932" i="11"/>
  <c r="G1932" i="11"/>
  <c r="H1932" i="11"/>
  <c r="B1933" i="11"/>
  <c r="D1933" i="11"/>
  <c r="H1933" i="11" s="1"/>
  <c r="F1933" i="11"/>
  <c r="G1933" i="11"/>
  <c r="B1934" i="11"/>
  <c r="D1934" i="11"/>
  <c r="F1934" i="11"/>
  <c r="G1934" i="11"/>
  <c r="H1934" i="11"/>
  <c r="B1935" i="11"/>
  <c r="D1935" i="11"/>
  <c r="H1935" i="11" s="1"/>
  <c r="F1935" i="11"/>
  <c r="G1935" i="11"/>
  <c r="B1936" i="11"/>
  <c r="D1936" i="11"/>
  <c r="F1936" i="11"/>
  <c r="G1936" i="11"/>
  <c r="H1936" i="11"/>
  <c r="B1937" i="11"/>
  <c r="D1937" i="11"/>
  <c r="H1937" i="11" s="1"/>
  <c r="F1937" i="11"/>
  <c r="G1937" i="11"/>
  <c r="B1938" i="11"/>
  <c r="F1938" i="11" s="1"/>
  <c r="D1938" i="11"/>
  <c r="G1938" i="11"/>
  <c r="H1938" i="11"/>
  <c r="B1939" i="11"/>
  <c r="D1939" i="11"/>
  <c r="H1939" i="11" s="1"/>
  <c r="B1940" i="11"/>
  <c r="F1940" i="11" s="1"/>
  <c r="D1940" i="11"/>
  <c r="G1940" i="11"/>
  <c r="H1940" i="11"/>
  <c r="B1941" i="11"/>
  <c r="D1941" i="11"/>
  <c r="H1941" i="11" s="1"/>
  <c r="B1942" i="11"/>
  <c r="F1942" i="11" s="1"/>
  <c r="D1942" i="11"/>
  <c r="G1942" i="11"/>
  <c r="H1942" i="11"/>
  <c r="B1943" i="11"/>
  <c r="D1943" i="11"/>
  <c r="F1943" i="11"/>
  <c r="B1944" i="11"/>
  <c r="F1944" i="11" s="1"/>
  <c r="D1944" i="11"/>
  <c r="G1944" i="11"/>
  <c r="H1944" i="11"/>
  <c r="B1945" i="11"/>
  <c r="D1945" i="11"/>
  <c r="F1945" i="11"/>
  <c r="G1945" i="11"/>
  <c r="H1945" i="11"/>
  <c r="B1946" i="11"/>
  <c r="F1946" i="11" s="1"/>
  <c r="D1946" i="11"/>
  <c r="G1946" i="11"/>
  <c r="H1946" i="11"/>
  <c r="B1947" i="11"/>
  <c r="D1947" i="11"/>
  <c r="F1947" i="11"/>
  <c r="G1947" i="11"/>
  <c r="H1947" i="11"/>
  <c r="B1948" i="11"/>
  <c r="F1948" i="11" s="1"/>
  <c r="D1948" i="11"/>
  <c r="H1948" i="11"/>
  <c r="B1949" i="11"/>
  <c r="D1949" i="11"/>
  <c r="F1949" i="11"/>
  <c r="G1949" i="11"/>
  <c r="H1949" i="11"/>
  <c r="B1950" i="11"/>
  <c r="F1950" i="11" s="1"/>
  <c r="D1950" i="11"/>
  <c r="H1950" i="11" s="1"/>
  <c r="B1951" i="11"/>
  <c r="D1951" i="11"/>
  <c r="F1951" i="11"/>
  <c r="G1951" i="11"/>
  <c r="H1951" i="11"/>
  <c r="B1952" i="11"/>
  <c r="D1952" i="11"/>
  <c r="H1952" i="11" s="1"/>
  <c r="B1953" i="11"/>
  <c r="D1953" i="11"/>
  <c r="F1953" i="11"/>
  <c r="G1953" i="11"/>
  <c r="H1953" i="11"/>
  <c r="B1954" i="11"/>
  <c r="D1954" i="11"/>
  <c r="H1954" i="11" s="1"/>
  <c r="B1955" i="11"/>
  <c r="D1955" i="11"/>
  <c r="F1955" i="11"/>
  <c r="G1955" i="11"/>
  <c r="H1955" i="11"/>
  <c r="B1956" i="11"/>
  <c r="D1956" i="11"/>
  <c r="H1956" i="11" s="1"/>
  <c r="F1956" i="11"/>
  <c r="B1957" i="11"/>
  <c r="D1957" i="11"/>
  <c r="F1957" i="11"/>
  <c r="G1957" i="11"/>
  <c r="H1957" i="11"/>
  <c r="B1958" i="11"/>
  <c r="D1958" i="11"/>
  <c r="H1958" i="11" s="1"/>
  <c r="B1959" i="11"/>
  <c r="D1959" i="11"/>
  <c r="F1959" i="11"/>
  <c r="G1959" i="11"/>
  <c r="H1959" i="11"/>
  <c r="B1960" i="11"/>
  <c r="D1960" i="11"/>
  <c r="H1960" i="11" s="1"/>
  <c r="B1961" i="11"/>
  <c r="D1961" i="11"/>
  <c r="F1961" i="11"/>
  <c r="G1961" i="11"/>
  <c r="H1961" i="11"/>
  <c r="B1962" i="11"/>
  <c r="D1962" i="11"/>
  <c r="H1962" i="11" s="1"/>
  <c r="F1962" i="11"/>
  <c r="B1963" i="11"/>
  <c r="D1963" i="11"/>
  <c r="F1963" i="11"/>
  <c r="G1963" i="11"/>
  <c r="H1963" i="11"/>
  <c r="B1964" i="11"/>
  <c r="D1964" i="11"/>
  <c r="H1964" i="11" s="1"/>
  <c r="F1964" i="11"/>
  <c r="B1965" i="11"/>
  <c r="D1965" i="11"/>
  <c r="F1965" i="11"/>
  <c r="G1965" i="11"/>
  <c r="H1965" i="11"/>
  <c r="B1966" i="11"/>
  <c r="D1966" i="11"/>
  <c r="H1966" i="11" s="1"/>
  <c r="F1966" i="11"/>
  <c r="G1966" i="11"/>
  <c r="B1967" i="11"/>
  <c r="D1967" i="11"/>
  <c r="F1967" i="11"/>
  <c r="G1967" i="11"/>
  <c r="H1967" i="11"/>
  <c r="B1968" i="11"/>
  <c r="D1968" i="11"/>
  <c r="H1968" i="11" s="1"/>
  <c r="F1968" i="11"/>
  <c r="G1968" i="11"/>
  <c r="B1969" i="11"/>
  <c r="D1969" i="11"/>
  <c r="F1969" i="11"/>
  <c r="G1969" i="11"/>
  <c r="H1969" i="11"/>
  <c r="B1970" i="11"/>
  <c r="F1970" i="11" s="1"/>
  <c r="D1970" i="11"/>
  <c r="H1970" i="11" s="1"/>
  <c r="B1971" i="11"/>
  <c r="D1971" i="11"/>
  <c r="F1971" i="11"/>
  <c r="G1971" i="11"/>
  <c r="H1971" i="11"/>
  <c r="B1972" i="11"/>
  <c r="D1972" i="11"/>
  <c r="H1972" i="11" s="1"/>
  <c r="B1973" i="11"/>
  <c r="D1973" i="11"/>
  <c r="F1973" i="11"/>
  <c r="G1973" i="11"/>
  <c r="H1973" i="11"/>
  <c r="B1974" i="11"/>
  <c r="D1974" i="11"/>
  <c r="H1974" i="11" s="1"/>
  <c r="B1975" i="11"/>
  <c r="D1975" i="11"/>
  <c r="F1975" i="11"/>
  <c r="G1975" i="11"/>
  <c r="H1975" i="11"/>
  <c r="B1976" i="11"/>
  <c r="D1976" i="11"/>
  <c r="H1976" i="11" s="1"/>
  <c r="F1976" i="11"/>
  <c r="B1977" i="11"/>
  <c r="D1977" i="11"/>
  <c r="F1977" i="11"/>
  <c r="G1977" i="11"/>
  <c r="H1977" i="11"/>
  <c r="B1978" i="11"/>
  <c r="D1978" i="11"/>
  <c r="H1978" i="11" s="1"/>
  <c r="F1978" i="11"/>
  <c r="G1978" i="11"/>
  <c r="B1979" i="11"/>
  <c r="D1979" i="11"/>
  <c r="F1979" i="11"/>
  <c r="G1979" i="11"/>
  <c r="H1979" i="11"/>
  <c r="B1980" i="11"/>
  <c r="D1980" i="11"/>
  <c r="H1980" i="11" s="1"/>
  <c r="F1980" i="11"/>
  <c r="G1980" i="11"/>
  <c r="B1981" i="11"/>
  <c r="D1981" i="11"/>
  <c r="F1981" i="11"/>
  <c r="G1981" i="11"/>
  <c r="H1981" i="11"/>
  <c r="B1982" i="11"/>
  <c r="F1982" i="11" s="1"/>
  <c r="D1982" i="11"/>
  <c r="H1982" i="11" s="1"/>
  <c r="B1983" i="11"/>
  <c r="D1983" i="11"/>
  <c r="F1983" i="11"/>
  <c r="G1983" i="11"/>
  <c r="H1983" i="11"/>
  <c r="B1984" i="11"/>
  <c r="D1984" i="11"/>
  <c r="H1984" i="11" s="1"/>
  <c r="F1984" i="11"/>
  <c r="B1985" i="11"/>
  <c r="D1985" i="11"/>
  <c r="F1985" i="11"/>
  <c r="G1985" i="11"/>
  <c r="H1985" i="11"/>
  <c r="B1986" i="11"/>
  <c r="D1986" i="11"/>
  <c r="H1986" i="11" s="1"/>
  <c r="F1986" i="11"/>
  <c r="G1986" i="11"/>
  <c r="B1987" i="11"/>
  <c r="D1987" i="11"/>
  <c r="F1987" i="11"/>
  <c r="G1987" i="11"/>
  <c r="H1987" i="11"/>
  <c r="B1988" i="11"/>
  <c r="D1988" i="11"/>
  <c r="H1988" i="11" s="1"/>
  <c r="F1988" i="11"/>
  <c r="G1988" i="11"/>
  <c r="B1989" i="11"/>
  <c r="D1989" i="11"/>
  <c r="F1989" i="11"/>
  <c r="G1989" i="11"/>
  <c r="H1989" i="11"/>
  <c r="B1990" i="11"/>
  <c r="F1990" i="11" s="1"/>
  <c r="D1990" i="11"/>
  <c r="H1990" i="11" s="1"/>
  <c r="B1991" i="11"/>
  <c r="D1991" i="11"/>
  <c r="F1991" i="11"/>
  <c r="G1991" i="11"/>
  <c r="H1991" i="11"/>
  <c r="B1992" i="11"/>
  <c r="D1992" i="11"/>
  <c r="H1992" i="11" s="1"/>
  <c r="B1993" i="11"/>
  <c r="D1993" i="11"/>
  <c r="F1993" i="11"/>
  <c r="G1993" i="11"/>
  <c r="H1993" i="11"/>
  <c r="B1994" i="11"/>
  <c r="D1994" i="11"/>
  <c r="H1994" i="11" s="1"/>
  <c r="B1995" i="11"/>
  <c r="D1995" i="11"/>
  <c r="F1995" i="11"/>
  <c r="G1995" i="11"/>
  <c r="H1995" i="11"/>
  <c r="B1996" i="11"/>
  <c r="D1996" i="11"/>
  <c r="H1996" i="11" s="1"/>
  <c r="F1996" i="11"/>
  <c r="B1997" i="11"/>
  <c r="D1997" i="11"/>
  <c r="F1997" i="11"/>
  <c r="G1997" i="11"/>
  <c r="H1997" i="11"/>
  <c r="B1998" i="11"/>
  <c r="D1998" i="11"/>
  <c r="H1998" i="11" s="1"/>
  <c r="F1998" i="11"/>
  <c r="G1998" i="11"/>
  <c r="B1999" i="11"/>
  <c r="D1999" i="11"/>
  <c r="F1999" i="11"/>
  <c r="G1999" i="11"/>
  <c r="H1999" i="11"/>
  <c r="B2000" i="11"/>
  <c r="D2000" i="11"/>
  <c r="H2000" i="11" s="1"/>
  <c r="F2000" i="11"/>
  <c r="G2000" i="11"/>
  <c r="B2001" i="11"/>
  <c r="D2001" i="11"/>
  <c r="F2001" i="11"/>
  <c r="G2001" i="11"/>
  <c r="H2001" i="11"/>
  <c r="B2002" i="11"/>
  <c r="D2002" i="11"/>
  <c r="H2002" i="11" s="1"/>
  <c r="F2002" i="11"/>
  <c r="G2002" i="11"/>
  <c r="B2003" i="11"/>
  <c r="D2003" i="11"/>
  <c r="F2003" i="11"/>
  <c r="G2003" i="11"/>
  <c r="H2003" i="11"/>
  <c r="B2004" i="11"/>
  <c r="D2004" i="11"/>
  <c r="H2004" i="11" s="1"/>
  <c r="F2004" i="11"/>
  <c r="G2004" i="11"/>
  <c r="B2005" i="11"/>
  <c r="D2005" i="11"/>
  <c r="F2005" i="11"/>
  <c r="G2005" i="11"/>
  <c r="H2005" i="11"/>
  <c r="B2006" i="11"/>
  <c r="D2006" i="11"/>
  <c r="H2006" i="11" s="1"/>
  <c r="F2006" i="11"/>
  <c r="G2006" i="11"/>
  <c r="B2007" i="11"/>
  <c r="D2007" i="11"/>
  <c r="F2007" i="11"/>
  <c r="G2007" i="11"/>
  <c r="H2007" i="11"/>
  <c r="B2008" i="11"/>
  <c r="D2008" i="11"/>
  <c r="H2008" i="11" s="1"/>
  <c r="F2008" i="11"/>
  <c r="G2008" i="11"/>
  <c r="B2009" i="11"/>
  <c r="D2009" i="11"/>
  <c r="F2009" i="11"/>
  <c r="G2009" i="11"/>
  <c r="H2009" i="11"/>
  <c r="B2010" i="11"/>
  <c r="F2010" i="11" s="1"/>
  <c r="D2010" i="11"/>
  <c r="H2010" i="11" s="1"/>
  <c r="B2011" i="11"/>
  <c r="D2011" i="11"/>
  <c r="F2011" i="11"/>
  <c r="G2011" i="11"/>
  <c r="H2011" i="11"/>
  <c r="B2012" i="11"/>
  <c r="D2012" i="11"/>
  <c r="H2012" i="11" s="1"/>
  <c r="B2013" i="11"/>
  <c r="D2013" i="11"/>
  <c r="F2013" i="11"/>
  <c r="G2013" i="11"/>
  <c r="H2013" i="11"/>
  <c r="B2014" i="11"/>
  <c r="D2014" i="11"/>
  <c r="H2014" i="11" s="1"/>
  <c r="B2015" i="11"/>
  <c r="D2015" i="11"/>
  <c r="F2015" i="11"/>
  <c r="G2015" i="11"/>
  <c r="H2015" i="11"/>
  <c r="B2016" i="11"/>
  <c r="G2016" i="11" s="1"/>
  <c r="D2016" i="11"/>
  <c r="H2016" i="11" s="1"/>
  <c r="B2017" i="11"/>
  <c r="D2017" i="11"/>
  <c r="F2017" i="11"/>
  <c r="G2017" i="11"/>
  <c r="H2017" i="11"/>
  <c r="B2018" i="11"/>
  <c r="D2018" i="11"/>
  <c r="H2018" i="11" s="1"/>
  <c r="B2019" i="11"/>
  <c r="D2019" i="11"/>
  <c r="F2019" i="11"/>
  <c r="G2019" i="11"/>
  <c r="H2019" i="11"/>
  <c r="B2020" i="11"/>
  <c r="D2020" i="11"/>
  <c r="H2020" i="11" s="1"/>
  <c r="F2020" i="11"/>
  <c r="B2021" i="11"/>
  <c r="D2021" i="11"/>
  <c r="F2021" i="11"/>
  <c r="G2021" i="11"/>
  <c r="H2021" i="11"/>
  <c r="B2022" i="11"/>
  <c r="D2022" i="11"/>
  <c r="H2022" i="11" s="1"/>
  <c r="F2022" i="11"/>
  <c r="G2022" i="11"/>
  <c r="B2023" i="11"/>
  <c r="D2023" i="11"/>
  <c r="F2023" i="11"/>
  <c r="G2023" i="11"/>
  <c r="H2023" i="11"/>
  <c r="B2024" i="11"/>
  <c r="D2024" i="11"/>
  <c r="H2024" i="11" s="1"/>
  <c r="F2024" i="11"/>
  <c r="G2024" i="11"/>
  <c r="B2025" i="11"/>
  <c r="D2025" i="11"/>
  <c r="F2025" i="11"/>
  <c r="G2025" i="11"/>
  <c r="H2025" i="11"/>
  <c r="B2026" i="11"/>
  <c r="D2026" i="11"/>
  <c r="H2026" i="11" s="1"/>
  <c r="F2026" i="11"/>
  <c r="G2026" i="11"/>
  <c r="B2027" i="11"/>
  <c r="D2027" i="11"/>
  <c r="F2027" i="11"/>
  <c r="G2027" i="11"/>
  <c r="H2027" i="11"/>
  <c r="B2028" i="11"/>
  <c r="D2028" i="11"/>
  <c r="H2028" i="11" s="1"/>
  <c r="F2028" i="11"/>
  <c r="G2028" i="11"/>
  <c r="B2029" i="11"/>
  <c r="D2029" i="11"/>
  <c r="F2029" i="11"/>
  <c r="G2029" i="11"/>
  <c r="H2029" i="11"/>
  <c r="B2030" i="11"/>
  <c r="F2030" i="11" s="1"/>
  <c r="D2030" i="11"/>
  <c r="H2030" i="11" s="1"/>
  <c r="B2031" i="11"/>
  <c r="D2031" i="11"/>
  <c r="F2031" i="11"/>
  <c r="G2031" i="11"/>
  <c r="H2031" i="11"/>
  <c r="B2032" i="11"/>
  <c r="D2032" i="11"/>
  <c r="H2032" i="11" s="1"/>
  <c r="B2033" i="11"/>
  <c r="D2033" i="11"/>
  <c r="F2033" i="11"/>
  <c r="G2033" i="11"/>
  <c r="H2033" i="11"/>
  <c r="B2034" i="11"/>
  <c r="D2034" i="11"/>
  <c r="H2034" i="11" s="1"/>
  <c r="B2035" i="11"/>
  <c r="D2035" i="11"/>
  <c r="F2035" i="11"/>
  <c r="G2035" i="11"/>
  <c r="H2035" i="11"/>
  <c r="B2036" i="11"/>
  <c r="D2036" i="11"/>
  <c r="H2036" i="11" s="1"/>
  <c r="F2036" i="11"/>
  <c r="B2037" i="11"/>
  <c r="D2037" i="11"/>
  <c r="F2037" i="11"/>
  <c r="G2037" i="11"/>
  <c r="H2037" i="11"/>
  <c r="B2038" i="11"/>
  <c r="D2038" i="11"/>
  <c r="H2038" i="11" s="1"/>
  <c r="F2038" i="11"/>
  <c r="G2038" i="11"/>
  <c r="B2039" i="11"/>
  <c r="D2039" i="11"/>
  <c r="F2039" i="11"/>
  <c r="G2039" i="11"/>
  <c r="H2039" i="11"/>
  <c r="B2040" i="11"/>
  <c r="F2040" i="11" s="1"/>
  <c r="D2040" i="11"/>
  <c r="H2040" i="11" s="1"/>
  <c r="B2041" i="11"/>
  <c r="D2041" i="11"/>
  <c r="F2041" i="11"/>
  <c r="G2041" i="11"/>
  <c r="H2041" i="11"/>
  <c r="B2042" i="11"/>
  <c r="D2042" i="11"/>
  <c r="H2042" i="11" s="1"/>
  <c r="B2043" i="11"/>
  <c r="D2043" i="11"/>
  <c r="F2043" i="11"/>
  <c r="G2043" i="11"/>
  <c r="H2043" i="11"/>
  <c r="B2044" i="11"/>
  <c r="D2044" i="11"/>
  <c r="F2044" i="11"/>
  <c r="B2045" i="11"/>
  <c r="D2045" i="11"/>
  <c r="F2045" i="11"/>
  <c r="G2045" i="11"/>
  <c r="H2045" i="11"/>
  <c r="B2046" i="11"/>
  <c r="D2046" i="11"/>
  <c r="H2046" i="11" s="1"/>
  <c r="F2046" i="11"/>
  <c r="G2046" i="11"/>
  <c r="B2047" i="11"/>
  <c r="D2047" i="11"/>
  <c r="F2047" i="11"/>
  <c r="G2047" i="11"/>
  <c r="H2047" i="11"/>
  <c r="B2048" i="11"/>
  <c r="D2048" i="11"/>
  <c r="H2048" i="11" s="1"/>
  <c r="F2048" i="11"/>
  <c r="G2048" i="11"/>
  <c r="B2049" i="11"/>
  <c r="D2049" i="11"/>
  <c r="F2049" i="11"/>
  <c r="G2049" i="11"/>
  <c r="H2049" i="11"/>
  <c r="B2050" i="11"/>
  <c r="F2050" i="11" s="1"/>
  <c r="D2050" i="11"/>
  <c r="H2050" i="11" s="1"/>
  <c r="B2051" i="11"/>
  <c r="D2051" i="11"/>
  <c r="F2051" i="11"/>
  <c r="G2051" i="11"/>
  <c r="H2051" i="11"/>
  <c r="B2052" i="11"/>
  <c r="D2052" i="11"/>
  <c r="H2052" i="11" s="1"/>
  <c r="B2053" i="11"/>
  <c r="D2053" i="11"/>
  <c r="F2053" i="11"/>
  <c r="G2053" i="11"/>
  <c r="H2053" i="11"/>
  <c r="B2054" i="11"/>
  <c r="D2054" i="11"/>
  <c r="H2054" i="11" s="1"/>
  <c r="B2055" i="11"/>
  <c r="D2055" i="11"/>
  <c r="F2055" i="11"/>
  <c r="G2055" i="11"/>
  <c r="H2055" i="11"/>
  <c r="B2056" i="11"/>
  <c r="D2056" i="11"/>
  <c r="H2056" i="11" s="1"/>
  <c r="F2056" i="11"/>
  <c r="B2057" i="11"/>
  <c r="D2057" i="11"/>
  <c r="F2057" i="11"/>
  <c r="G2057" i="11"/>
  <c r="H2057" i="11"/>
  <c r="B2058" i="11"/>
  <c r="D2058" i="11"/>
  <c r="H2058" i="11" s="1"/>
  <c r="F2058" i="11"/>
  <c r="G2058" i="11"/>
  <c r="B2059" i="11"/>
  <c r="D2059" i="11"/>
  <c r="F2059" i="11"/>
  <c r="G2059" i="11"/>
  <c r="H2059" i="11"/>
  <c r="B2060" i="11"/>
  <c r="D2060" i="11"/>
  <c r="H2060" i="11" s="1"/>
  <c r="F2060" i="11"/>
  <c r="G2060" i="11"/>
  <c r="B2061" i="11"/>
  <c r="D2061" i="11"/>
  <c r="F2061" i="11"/>
  <c r="G2061" i="11"/>
  <c r="H2061" i="11"/>
  <c r="B2062" i="11"/>
  <c r="D2062" i="11"/>
  <c r="H2062" i="11" s="1"/>
  <c r="F2062" i="11"/>
  <c r="G2062" i="11"/>
  <c r="B2063" i="11"/>
  <c r="D2063" i="11"/>
  <c r="F2063" i="11"/>
  <c r="G2063" i="11"/>
  <c r="H2063" i="11"/>
  <c r="B2064" i="11"/>
  <c r="D2064" i="11"/>
  <c r="H2064" i="11" s="1"/>
  <c r="F2064" i="11"/>
  <c r="G2064" i="11"/>
  <c r="B2065" i="11"/>
  <c r="D2065" i="11"/>
  <c r="F2065" i="11"/>
  <c r="G2065" i="11"/>
  <c r="H2065" i="11"/>
  <c r="B2066" i="11"/>
  <c r="D2066" i="11"/>
  <c r="H2066" i="11" s="1"/>
  <c r="F2066" i="11"/>
  <c r="G2066" i="11"/>
  <c r="B2067" i="11"/>
  <c r="D2067" i="11"/>
  <c r="F2067" i="11"/>
  <c r="G2067" i="11"/>
  <c r="H2067" i="11"/>
  <c r="B2068" i="11"/>
  <c r="D2068" i="11"/>
  <c r="H2068" i="11" s="1"/>
  <c r="F2068" i="11"/>
  <c r="G2068" i="11"/>
  <c r="B2069" i="11"/>
  <c r="D2069" i="11"/>
  <c r="F2069" i="11"/>
  <c r="G2069" i="11"/>
  <c r="H2069" i="11"/>
  <c r="B2070" i="11"/>
  <c r="D2070" i="11"/>
  <c r="H2070" i="11" s="1"/>
  <c r="B2071" i="11"/>
  <c r="D2071" i="11"/>
  <c r="F2071" i="11"/>
  <c r="G2071" i="11"/>
  <c r="H2071" i="11"/>
  <c r="B2072" i="11"/>
  <c r="D2072" i="11"/>
  <c r="H2072" i="11" s="1"/>
  <c r="B2073" i="11"/>
  <c r="D2073" i="11"/>
  <c r="F2073" i="11"/>
  <c r="G2073" i="11"/>
  <c r="H2073" i="11"/>
  <c r="B2074" i="11"/>
  <c r="D2074" i="11"/>
  <c r="H2074" i="11" s="1"/>
  <c r="F2074" i="11"/>
  <c r="B2075" i="11"/>
  <c r="D2075" i="11"/>
  <c r="F2075" i="11"/>
  <c r="G2075" i="11"/>
  <c r="H2075" i="11"/>
  <c r="B2076" i="11"/>
  <c r="D2076" i="11"/>
  <c r="H2076" i="11" s="1"/>
  <c r="F2076" i="11"/>
  <c r="G2076" i="11"/>
  <c r="B2077" i="11"/>
  <c r="D2077" i="11"/>
  <c r="F2077" i="11"/>
  <c r="G2077" i="11"/>
  <c r="H2077" i="11"/>
  <c r="B2078" i="11"/>
  <c r="D2078" i="11"/>
  <c r="H2078" i="11" s="1"/>
  <c r="F2078" i="11"/>
  <c r="G2078" i="11"/>
  <c r="B2079" i="11"/>
  <c r="D2079" i="11"/>
  <c r="F2079" i="11"/>
  <c r="G2079" i="11"/>
  <c r="H2079" i="11"/>
  <c r="B2080" i="11"/>
  <c r="D2080" i="11"/>
  <c r="H2080" i="11" s="1"/>
  <c r="B2081" i="11"/>
  <c r="D2081" i="11"/>
  <c r="F2081" i="11"/>
  <c r="G2081" i="11"/>
  <c r="H2081" i="11"/>
  <c r="B2082" i="11"/>
  <c r="D2082" i="11"/>
  <c r="H2082" i="11" s="1"/>
  <c r="B2083" i="11"/>
  <c r="D2083" i="11"/>
  <c r="F2083" i="11"/>
  <c r="G2083" i="11"/>
  <c r="H2083" i="11"/>
  <c r="B2084" i="11"/>
  <c r="D2084" i="11"/>
  <c r="F2084" i="11"/>
  <c r="B2085" i="11"/>
  <c r="D2085" i="11"/>
  <c r="F2085" i="11"/>
  <c r="G2085" i="11"/>
  <c r="H2085" i="11"/>
  <c r="B2086" i="11"/>
  <c r="D2086" i="11"/>
  <c r="H2086" i="11" s="1"/>
  <c r="F2086" i="11"/>
  <c r="G2086" i="11"/>
  <c r="B2087" i="11"/>
  <c r="D2087" i="11"/>
  <c r="F2087" i="11"/>
  <c r="G2087" i="11"/>
  <c r="H2087" i="11"/>
  <c r="B2088" i="11"/>
  <c r="D2088" i="11"/>
  <c r="H2088" i="11" s="1"/>
  <c r="F2088" i="11"/>
  <c r="G2088" i="11"/>
  <c r="B2089" i="11"/>
  <c r="D2089" i="11"/>
  <c r="F2089" i="11"/>
  <c r="G2089" i="11"/>
  <c r="H2089" i="11"/>
  <c r="B2090" i="11"/>
  <c r="D2090" i="11"/>
  <c r="H2090" i="11" s="1"/>
  <c r="B2091" i="11"/>
  <c r="D2091" i="11"/>
  <c r="F2091" i="11"/>
  <c r="G2091" i="11"/>
  <c r="H2091" i="11"/>
  <c r="B2092" i="11"/>
  <c r="D2092" i="11"/>
  <c r="H2092" i="11" s="1"/>
  <c r="B2093" i="11"/>
  <c r="D2093" i="11"/>
  <c r="F2093" i="11"/>
  <c r="G2093" i="11"/>
  <c r="H2093" i="11"/>
  <c r="B2094" i="11"/>
  <c r="D2094" i="11"/>
  <c r="H2094" i="11" s="1"/>
  <c r="B2095" i="11"/>
  <c r="D2095" i="11"/>
  <c r="F2095" i="11"/>
  <c r="G2095" i="11"/>
  <c r="H2095" i="11"/>
  <c r="B2096" i="11"/>
  <c r="F2096" i="11" s="1"/>
  <c r="D2096" i="11"/>
  <c r="H2096" i="11" s="1"/>
  <c r="B2097" i="11"/>
  <c r="D2097" i="11"/>
  <c r="F2097" i="11"/>
  <c r="G2097" i="11"/>
  <c r="H2097" i="11"/>
  <c r="B2098" i="11"/>
  <c r="F2098" i="11" s="1"/>
  <c r="D2098" i="11"/>
  <c r="H2098" i="11" s="1"/>
  <c r="B2099" i="11"/>
  <c r="D2099" i="11"/>
  <c r="F2099" i="11"/>
  <c r="G2099" i="11"/>
  <c r="H2099" i="11"/>
  <c r="B2100" i="11"/>
  <c r="G2100" i="11" s="1"/>
  <c r="D2100" i="11"/>
  <c r="H2100" i="11" s="1"/>
  <c r="B2101" i="11"/>
  <c r="D2101" i="11"/>
  <c r="F2101" i="11"/>
  <c r="G2101" i="11"/>
  <c r="H2101" i="11"/>
  <c r="B2102" i="11"/>
  <c r="G2102" i="11" s="1"/>
  <c r="D2102" i="11"/>
  <c r="H2102" i="11" s="1"/>
  <c r="F2102" i="11"/>
  <c r="B2103" i="11"/>
  <c r="D2103" i="11"/>
  <c r="F2103" i="11"/>
  <c r="G2103" i="11"/>
  <c r="H2103" i="11"/>
  <c r="B2104" i="11"/>
  <c r="D2104" i="11"/>
  <c r="H2104" i="11" s="1"/>
  <c r="F2104" i="11"/>
  <c r="G2104" i="11"/>
  <c r="B2105" i="11"/>
  <c r="D2105" i="11"/>
  <c r="F2105" i="11"/>
  <c r="G2105" i="11"/>
  <c r="H2105" i="11"/>
  <c r="B2106" i="11"/>
  <c r="D2106" i="11"/>
  <c r="H2106" i="11" s="1"/>
  <c r="F2106" i="11"/>
  <c r="G2106" i="11"/>
  <c r="B2107" i="11"/>
  <c r="D2107" i="11"/>
  <c r="F2107" i="11"/>
  <c r="G2107" i="11"/>
  <c r="H2107" i="11"/>
  <c r="B2108" i="11"/>
  <c r="D2108" i="11"/>
  <c r="H2108" i="11" s="1"/>
  <c r="F2108" i="11"/>
  <c r="G2108" i="11"/>
  <c r="B2109" i="11"/>
  <c r="D2109" i="11"/>
  <c r="F2109" i="11"/>
  <c r="G2109" i="11"/>
  <c r="H2109" i="11"/>
  <c r="B2110" i="11"/>
  <c r="D2110" i="11"/>
  <c r="H2110" i="11" s="1"/>
  <c r="B2111" i="11"/>
  <c r="D2111" i="11"/>
  <c r="F2111" i="11"/>
  <c r="G2111" i="11"/>
  <c r="H2111" i="11"/>
  <c r="B2112" i="11"/>
  <c r="D2112" i="11"/>
  <c r="H2112" i="11" s="1"/>
  <c r="B2113" i="11"/>
  <c r="D2113" i="11"/>
  <c r="F2113" i="11"/>
  <c r="G2113" i="11"/>
  <c r="H2113" i="11"/>
  <c r="B2114" i="11"/>
  <c r="D2114" i="11"/>
  <c r="H2114" i="11" s="1"/>
  <c r="F2114" i="11"/>
  <c r="B2115" i="11"/>
  <c r="D2115" i="11"/>
  <c r="F2115" i="11"/>
  <c r="G2115" i="11"/>
  <c r="H2115" i="11"/>
  <c r="B2116" i="11"/>
  <c r="D2116" i="11"/>
  <c r="H2116" i="11" s="1"/>
  <c r="F2116" i="11"/>
  <c r="G2116" i="11"/>
  <c r="B2117" i="11"/>
  <c r="D2117" i="11"/>
  <c r="F2117" i="11"/>
  <c r="G2117" i="11"/>
  <c r="H2117" i="11"/>
  <c r="B2118" i="11"/>
  <c r="D2118" i="11"/>
  <c r="H2118" i="11" s="1"/>
  <c r="F2118" i="11"/>
  <c r="G2118" i="11"/>
  <c r="B2119" i="11"/>
  <c r="D2119" i="11"/>
  <c r="F2119" i="11"/>
  <c r="G2119" i="11"/>
  <c r="H2119" i="11"/>
  <c r="B2120" i="11"/>
  <c r="D2120" i="11"/>
  <c r="H2120" i="11" s="1"/>
  <c r="B2121" i="11"/>
  <c r="D2121" i="11"/>
  <c r="F2121" i="11"/>
  <c r="G2121" i="11"/>
  <c r="H2121" i="11"/>
  <c r="B2122" i="11"/>
  <c r="D2122" i="11"/>
  <c r="H2122" i="11" s="1"/>
  <c r="B2123" i="11"/>
  <c r="D2123" i="11"/>
  <c r="F2123" i="11"/>
  <c r="G2123" i="11"/>
  <c r="H2123" i="11"/>
  <c r="B2124" i="11"/>
  <c r="D2124" i="11"/>
  <c r="F2124" i="11"/>
  <c r="B2125" i="11"/>
  <c r="D2125" i="11"/>
  <c r="F2125" i="11"/>
  <c r="G2125" i="11"/>
  <c r="H2125" i="11"/>
  <c r="B2126" i="11"/>
  <c r="D2126" i="11"/>
  <c r="H2126" i="11" s="1"/>
  <c r="F2126" i="11"/>
  <c r="G2126" i="11"/>
  <c r="B2127" i="11"/>
  <c r="D2127" i="11"/>
  <c r="F2127" i="11"/>
  <c r="G2127" i="11"/>
  <c r="H2127" i="11"/>
  <c r="B2128" i="11"/>
  <c r="D2128" i="11"/>
  <c r="H2128" i="11" s="1"/>
  <c r="F2128" i="11"/>
  <c r="G2128" i="11"/>
  <c r="B2129" i="11"/>
  <c r="D2129" i="11"/>
  <c r="F2129" i="11"/>
  <c r="G2129" i="11"/>
  <c r="H2129" i="11"/>
  <c r="B2130" i="11"/>
  <c r="D2130" i="11"/>
  <c r="H2130" i="11" s="1"/>
  <c r="B2131" i="11"/>
  <c r="D2131" i="11"/>
  <c r="F2131" i="11"/>
  <c r="G2131" i="11"/>
  <c r="H2131" i="11"/>
  <c r="B2132" i="11"/>
  <c r="D2132" i="11"/>
  <c r="H2132" i="11" s="1"/>
  <c r="B2133" i="11"/>
  <c r="D2133" i="11"/>
  <c r="F2133" i="11"/>
  <c r="G2133" i="11"/>
  <c r="H2133" i="11"/>
  <c r="B2134" i="11"/>
  <c r="D2134" i="11"/>
  <c r="H2134" i="11" s="1"/>
  <c r="B2135" i="11"/>
  <c r="D2135" i="11"/>
  <c r="F2135" i="11"/>
  <c r="G2135" i="11"/>
  <c r="H2135" i="11"/>
  <c r="B2136" i="11"/>
  <c r="D2136" i="11"/>
  <c r="H2136" i="11" s="1"/>
  <c r="F2136" i="11"/>
  <c r="G2136" i="11"/>
  <c r="B2137" i="11"/>
  <c r="D2137" i="11"/>
  <c r="F2137" i="11"/>
  <c r="G2137" i="11"/>
  <c r="H2137" i="11"/>
  <c r="B2138" i="11"/>
  <c r="D2138" i="11"/>
  <c r="H2138" i="11" s="1"/>
  <c r="F2138" i="11"/>
  <c r="G2138" i="11"/>
  <c r="B2139" i="11"/>
  <c r="D2139" i="11"/>
  <c r="F2139" i="11"/>
  <c r="G2139" i="11"/>
  <c r="H2139" i="11"/>
  <c r="B2140" i="11"/>
  <c r="D2140" i="11"/>
  <c r="H2140" i="11" s="1"/>
  <c r="F2140" i="11"/>
  <c r="G2140" i="11"/>
  <c r="B2141" i="11"/>
  <c r="D2141" i="11"/>
  <c r="F2141" i="11"/>
  <c r="G2141" i="11"/>
  <c r="H2141" i="11"/>
  <c r="B2142" i="11"/>
  <c r="D2142" i="11"/>
  <c r="H2142" i="11" s="1"/>
  <c r="F2142" i="11"/>
  <c r="G2142" i="11"/>
  <c r="B2143" i="11"/>
  <c r="D2143" i="11"/>
  <c r="F2143" i="11"/>
  <c r="G2143" i="11"/>
  <c r="H2143" i="11"/>
  <c r="B2144" i="11"/>
  <c r="D2144" i="11"/>
  <c r="H2144" i="11" s="1"/>
  <c r="F2144" i="11"/>
  <c r="G2144" i="11"/>
  <c r="B2145" i="11"/>
  <c r="D2145" i="11"/>
  <c r="F2145" i="11"/>
  <c r="G2145" i="11"/>
  <c r="H2145" i="11"/>
  <c r="B2146" i="11"/>
  <c r="D2146" i="11"/>
  <c r="H2146" i="11" s="1"/>
  <c r="F2146" i="11"/>
  <c r="G2146" i="11"/>
  <c r="B2147" i="11"/>
  <c r="D2147" i="11"/>
  <c r="F2147" i="11"/>
  <c r="G2147" i="11"/>
  <c r="H2147" i="11"/>
  <c r="B2148" i="11"/>
  <c r="D2148" i="11"/>
  <c r="H2148" i="11" s="1"/>
  <c r="F2148" i="11"/>
  <c r="G2148" i="11"/>
  <c r="B2149" i="11"/>
  <c r="D2149" i="11"/>
  <c r="F2149" i="11"/>
  <c r="G2149" i="11"/>
  <c r="H2149" i="11"/>
  <c r="B2150" i="11"/>
  <c r="D2150" i="11"/>
  <c r="H2150" i="11" s="1"/>
  <c r="B2151" i="11"/>
  <c r="D2151" i="11"/>
  <c r="F2151" i="11"/>
  <c r="G2151" i="11"/>
  <c r="H2151" i="11"/>
  <c r="B2152" i="11"/>
  <c r="D2152" i="11"/>
  <c r="H2152" i="11" s="1"/>
  <c r="B2153" i="11"/>
  <c r="D2153" i="11"/>
  <c r="F2153" i="11"/>
  <c r="G2153" i="11"/>
  <c r="H2153" i="11"/>
  <c r="B2154" i="11"/>
  <c r="D2154" i="11"/>
  <c r="H2154" i="11" s="1"/>
  <c r="F2154" i="11"/>
  <c r="B2155" i="11"/>
  <c r="D2155" i="11"/>
  <c r="F2155" i="11"/>
  <c r="G2155" i="11"/>
  <c r="H2155" i="11"/>
  <c r="B2156" i="11"/>
  <c r="D2156" i="11"/>
  <c r="H2156" i="11" s="1"/>
  <c r="F2156" i="11"/>
  <c r="G2156" i="11"/>
  <c r="B2157" i="11"/>
  <c r="D2157" i="11"/>
  <c r="F2157" i="11"/>
  <c r="G2157" i="11"/>
  <c r="H2157" i="11"/>
  <c r="B2158" i="11"/>
  <c r="D2158" i="11"/>
  <c r="H2158" i="11" s="1"/>
  <c r="F2158" i="11"/>
  <c r="G2158" i="11"/>
  <c r="B2159" i="11"/>
  <c r="D2159" i="11"/>
  <c r="F2159" i="11"/>
  <c r="G2159" i="11"/>
  <c r="H2159" i="11"/>
  <c r="B2160" i="11"/>
  <c r="D2160" i="11"/>
  <c r="H2160" i="11" s="1"/>
  <c r="B2161" i="11"/>
  <c r="D2161" i="11"/>
  <c r="F2161" i="11"/>
  <c r="G2161" i="11"/>
  <c r="H2161" i="11"/>
  <c r="B2162" i="11"/>
  <c r="D2162" i="11"/>
  <c r="H2162" i="11" s="1"/>
  <c r="B2163" i="11"/>
  <c r="D2163" i="11"/>
  <c r="F2163" i="11"/>
  <c r="G2163" i="11"/>
  <c r="H2163" i="11"/>
  <c r="B2164" i="11"/>
  <c r="D2164" i="11"/>
  <c r="F2164" i="11"/>
  <c r="B2165" i="11"/>
  <c r="D2165" i="11"/>
  <c r="F2165" i="11"/>
  <c r="G2165" i="11"/>
  <c r="H2165" i="11"/>
  <c r="B2166" i="11"/>
  <c r="D2166" i="11"/>
  <c r="H2166" i="11" s="1"/>
  <c r="F2166" i="11"/>
  <c r="G2166" i="11"/>
  <c r="B2167" i="11"/>
  <c r="D2167" i="11"/>
  <c r="F2167" i="11"/>
  <c r="G2167" i="11"/>
  <c r="H2167" i="11"/>
  <c r="B2168" i="11"/>
  <c r="D2168" i="11"/>
  <c r="H2168" i="11" s="1"/>
  <c r="F2168" i="11"/>
  <c r="G2168" i="11"/>
  <c r="B2169" i="11"/>
  <c r="D2169" i="11"/>
  <c r="F2169" i="11"/>
  <c r="G2169" i="11"/>
  <c r="H2169" i="11"/>
  <c r="B2170" i="11"/>
  <c r="G2170" i="11" s="1"/>
  <c r="D2170" i="11"/>
  <c r="H2170" i="11" s="1"/>
  <c r="F2170" i="11"/>
  <c r="B2171" i="11"/>
  <c r="D2171" i="11"/>
  <c r="F2171" i="11"/>
  <c r="B2172" i="11"/>
  <c r="F2172" i="11" s="1"/>
  <c r="D2172" i="11"/>
  <c r="H2172" i="11" s="1"/>
  <c r="G2172" i="11"/>
  <c r="B2173" i="11"/>
  <c r="D2173" i="11"/>
  <c r="H2173" i="11" s="1"/>
  <c r="F2173" i="11"/>
  <c r="B2174" i="11"/>
  <c r="G2174" i="11" s="1"/>
  <c r="D2174" i="11"/>
  <c r="H2174" i="11" s="1"/>
  <c r="F2174" i="11"/>
  <c r="B2175" i="11"/>
  <c r="D2175" i="11"/>
  <c r="F2175" i="11"/>
  <c r="G2175" i="11"/>
  <c r="H2175" i="11"/>
  <c r="B2176" i="11"/>
  <c r="D2176" i="11"/>
  <c r="H2176" i="11" s="1"/>
  <c r="B2177" i="11"/>
  <c r="D2177" i="11"/>
  <c r="F2177" i="11"/>
  <c r="G2177" i="11"/>
  <c r="H2177" i="11"/>
  <c r="B2178" i="11"/>
  <c r="D2178" i="11"/>
  <c r="H2178" i="11" s="1"/>
  <c r="B2179" i="11"/>
  <c r="D2179" i="11"/>
  <c r="F2179" i="11"/>
  <c r="G2179" i="11"/>
  <c r="H2179" i="11"/>
  <c r="B2180" i="11"/>
  <c r="D2180" i="11"/>
  <c r="H2180" i="11" s="1"/>
  <c r="F2180" i="11"/>
  <c r="B2181" i="11"/>
  <c r="D2181" i="11"/>
  <c r="F2181" i="11"/>
  <c r="G2181" i="11"/>
  <c r="H2181" i="11"/>
  <c r="B2182" i="11"/>
  <c r="D2182" i="11"/>
  <c r="H2182" i="11" s="1"/>
  <c r="F2182" i="11"/>
  <c r="G2182" i="11"/>
  <c r="B2183" i="11"/>
  <c r="D2183" i="11"/>
  <c r="G2183" i="11" s="1"/>
  <c r="F2183" i="11"/>
  <c r="H2183" i="11"/>
  <c r="B2184" i="11"/>
  <c r="F2184" i="11" s="1"/>
  <c r="D2184" i="11"/>
  <c r="H2184" i="11" s="1"/>
  <c r="B2185" i="11"/>
  <c r="D2185" i="11"/>
  <c r="F2185" i="11"/>
  <c r="B2186" i="11"/>
  <c r="D2186" i="11"/>
  <c r="H2186" i="11" s="1"/>
  <c r="F2186" i="11"/>
  <c r="G2186" i="11"/>
  <c r="B2187" i="11"/>
  <c r="D2187" i="11"/>
  <c r="H2187" i="11" s="1"/>
  <c r="F2187" i="11"/>
  <c r="G2187" i="11"/>
  <c r="B2188" i="11"/>
  <c r="D2188" i="11"/>
  <c r="H2188" i="11" s="1"/>
  <c r="F2188" i="11"/>
  <c r="G2188" i="11"/>
  <c r="B2189" i="11"/>
  <c r="D2189" i="11"/>
  <c r="G2189" i="11" s="1"/>
  <c r="F2189" i="11"/>
  <c r="B2190" i="11"/>
  <c r="D2190" i="11"/>
  <c r="H2190" i="11" s="1"/>
  <c r="F2190" i="11"/>
  <c r="G2190" i="11"/>
  <c r="B2191" i="11"/>
  <c r="D2191" i="11"/>
  <c r="H2191" i="11" s="1"/>
  <c r="F2191" i="11"/>
  <c r="B2192" i="11"/>
  <c r="D2192" i="11"/>
  <c r="H2192" i="11" s="1"/>
  <c r="B2193" i="11"/>
  <c r="D2193" i="11"/>
  <c r="F2193" i="11"/>
  <c r="G2193" i="11"/>
  <c r="H2193" i="11"/>
  <c r="B2194" i="11"/>
  <c r="G2194" i="11" s="1"/>
  <c r="D2194" i="11"/>
  <c r="H2194" i="11" s="1"/>
  <c r="B2195" i="11"/>
  <c r="D2195" i="11"/>
  <c r="F2195" i="11"/>
  <c r="G2195" i="11"/>
  <c r="H2195" i="11"/>
  <c r="B2196" i="11"/>
  <c r="G2196" i="11" s="1"/>
  <c r="D2196" i="11"/>
  <c r="H2196" i="11" s="1"/>
  <c r="F2196" i="11"/>
  <c r="B2197" i="11"/>
  <c r="D2197" i="11"/>
  <c r="F2197" i="11"/>
  <c r="G2197" i="11"/>
  <c r="H2197" i="11"/>
  <c r="B2198" i="11"/>
  <c r="D2198" i="11"/>
  <c r="H2198" i="11" s="1"/>
  <c r="F2198" i="11"/>
  <c r="G2198" i="11"/>
  <c r="B2199" i="11"/>
  <c r="D2199" i="11"/>
  <c r="F2199" i="11"/>
  <c r="G2199" i="11"/>
  <c r="H2199" i="11"/>
  <c r="B2200" i="11"/>
  <c r="D2200" i="11"/>
  <c r="H2200" i="11" s="1"/>
  <c r="F2200" i="11"/>
  <c r="G2200" i="11"/>
  <c r="B2201" i="11"/>
  <c r="D2201" i="11"/>
  <c r="F2201" i="11"/>
  <c r="B2202" i="11"/>
  <c r="D2202" i="11"/>
  <c r="H2202" i="11" s="1"/>
  <c r="F2202" i="11"/>
  <c r="G2202" i="11"/>
  <c r="B2203" i="11"/>
  <c r="D2203" i="11"/>
  <c r="G2203" i="11" s="1"/>
  <c r="F2203" i="11"/>
  <c r="H2203" i="11"/>
  <c r="B2204" i="11"/>
  <c r="D2204" i="11"/>
  <c r="H2204" i="11" s="1"/>
  <c r="F2204" i="11"/>
  <c r="G2204" i="11"/>
  <c r="B2205" i="11"/>
  <c r="D2205" i="11"/>
  <c r="H2205" i="11" s="1"/>
  <c r="F2205" i="11"/>
  <c r="G2205" i="11"/>
  <c r="B2206" i="11"/>
  <c r="D2206" i="11"/>
  <c r="H2206" i="11" s="1"/>
  <c r="B2207" i="11"/>
  <c r="D2207" i="11"/>
  <c r="F2207" i="11"/>
  <c r="G2207" i="11"/>
  <c r="H2207" i="11"/>
  <c r="B2208" i="11"/>
  <c r="D2208" i="11"/>
  <c r="F2208" i="11"/>
  <c r="B2209" i="11"/>
  <c r="D2209" i="11"/>
  <c r="F2209" i="11"/>
  <c r="G2209" i="11"/>
  <c r="H2209" i="11"/>
  <c r="B2210" i="11"/>
  <c r="D2210" i="11"/>
  <c r="H2210" i="11" s="1"/>
  <c r="F2210" i="11"/>
  <c r="G2210" i="11"/>
  <c r="B2211" i="11"/>
  <c r="D2211" i="11"/>
  <c r="F2211" i="11"/>
  <c r="G2211" i="11"/>
  <c r="H2211" i="11"/>
  <c r="B2212" i="11"/>
  <c r="F2212" i="11" s="1"/>
  <c r="D2212" i="11"/>
  <c r="H2212" i="11" s="1"/>
  <c r="G2212" i="11"/>
  <c r="B2213" i="11"/>
  <c r="D2213" i="11"/>
  <c r="F2213" i="11"/>
  <c r="B2214" i="11"/>
  <c r="F2214" i="11" s="1"/>
  <c r="D2214" i="11"/>
  <c r="H2214" i="11" s="1"/>
  <c r="B2215" i="11"/>
  <c r="D2215" i="11"/>
  <c r="H2215" i="11" s="1"/>
  <c r="F2215" i="11"/>
  <c r="G2215" i="11"/>
  <c r="B2216" i="11"/>
  <c r="D2216" i="11"/>
  <c r="H2216" i="11" s="1"/>
  <c r="F2216" i="11"/>
  <c r="G2216" i="11"/>
  <c r="B2217" i="11"/>
  <c r="D2217" i="11"/>
  <c r="G2217" i="11" s="1"/>
  <c r="F2217" i="11"/>
  <c r="B2218" i="11"/>
  <c r="D2218" i="11"/>
  <c r="H2218" i="11" s="1"/>
  <c r="F2218" i="11"/>
  <c r="G2218" i="11"/>
  <c r="B2219" i="11"/>
  <c r="D2219" i="11"/>
  <c r="F2219" i="11"/>
  <c r="G2219" i="11"/>
  <c r="H2219" i="11"/>
  <c r="B2220" i="11"/>
  <c r="D2220" i="11"/>
  <c r="H2220" i="11" s="1"/>
  <c r="B2221" i="11"/>
  <c r="D2221" i="11"/>
  <c r="F2221" i="11"/>
  <c r="G2221" i="11"/>
  <c r="H2221" i="11"/>
  <c r="B2222" i="11"/>
  <c r="D2222" i="11"/>
  <c r="H2222" i="11" s="1"/>
  <c r="B2223" i="11"/>
  <c r="D2223" i="11"/>
  <c r="G2223" i="11" s="1"/>
  <c r="F2223" i="11"/>
  <c r="H2223" i="11"/>
  <c r="B2224" i="11"/>
  <c r="D2224" i="11"/>
  <c r="H2224" i="11" s="1"/>
  <c r="F2224" i="11"/>
  <c r="G2224" i="11"/>
  <c r="B2225" i="11"/>
  <c r="D2225" i="11"/>
  <c r="H2225" i="11" s="1"/>
  <c r="F2225" i="11"/>
  <c r="G2225" i="11"/>
  <c r="B2226" i="11"/>
  <c r="D2226" i="11"/>
  <c r="H2226" i="11" s="1"/>
  <c r="F2226" i="11"/>
  <c r="G2226" i="11"/>
  <c r="B2227" i="11"/>
  <c r="D2227" i="11"/>
  <c r="F2227" i="11"/>
  <c r="B2228" i="11"/>
  <c r="D2228" i="11"/>
  <c r="H2228" i="11" s="1"/>
  <c r="F2228" i="11"/>
  <c r="G2228" i="11"/>
  <c r="B2229" i="11"/>
  <c r="D2229" i="11"/>
  <c r="F2229" i="11"/>
  <c r="B2230" i="11"/>
  <c r="D2230" i="11"/>
  <c r="H2230" i="11" s="1"/>
  <c r="F2230" i="11"/>
  <c r="G2230" i="11"/>
  <c r="B2231" i="11"/>
  <c r="D2231" i="11"/>
  <c r="H2231" i="11" s="1"/>
  <c r="F2231" i="11"/>
  <c r="G2231" i="11"/>
  <c r="B2232" i="11"/>
  <c r="F2232" i="11" s="1"/>
  <c r="D2232" i="11"/>
  <c r="G2232" i="11"/>
  <c r="H2232" i="11"/>
  <c r="B2233" i="11"/>
  <c r="D2233" i="11"/>
  <c r="F2233" i="11"/>
  <c r="G2233" i="11"/>
  <c r="H2233" i="11"/>
  <c r="B2234" i="11"/>
  <c r="F2234" i="11" s="1"/>
  <c r="D2234" i="11"/>
  <c r="G2234" i="11"/>
  <c r="H2234" i="11"/>
  <c r="B2235" i="11"/>
  <c r="D2235" i="11"/>
  <c r="G2235" i="11" s="1"/>
  <c r="F2235" i="11"/>
  <c r="B2236" i="11"/>
  <c r="D2236" i="11"/>
  <c r="H2236" i="11"/>
  <c r="B2237" i="11"/>
  <c r="D2237" i="11"/>
  <c r="H2237" i="11" s="1"/>
  <c r="F2237" i="11"/>
  <c r="B2238" i="11"/>
  <c r="D2238" i="11"/>
  <c r="H2238" i="11" s="1"/>
  <c r="B2239" i="11"/>
  <c r="D2239" i="11"/>
  <c r="F2239" i="11"/>
  <c r="G2239" i="11"/>
  <c r="H2239" i="11"/>
  <c r="B2240" i="11"/>
  <c r="F2240" i="11" s="1"/>
  <c r="D2240" i="11"/>
  <c r="H2240" i="11" s="1"/>
  <c r="B2241" i="11"/>
  <c r="D2241" i="11"/>
  <c r="F2241" i="11"/>
  <c r="G2241" i="11"/>
  <c r="H2241" i="11"/>
  <c r="B2242" i="11"/>
  <c r="F2242" i="11" s="1"/>
  <c r="D2242" i="11"/>
  <c r="H2242" i="11" s="1"/>
  <c r="G2242" i="11"/>
  <c r="B2243" i="11"/>
  <c r="D2243" i="11"/>
  <c r="F2243" i="11"/>
  <c r="G2243" i="11"/>
  <c r="H2243" i="11"/>
  <c r="B2244" i="11"/>
  <c r="F2244" i="11" s="1"/>
  <c r="D2244" i="11"/>
  <c r="G2244" i="11"/>
  <c r="H2244" i="11"/>
  <c r="B2245" i="11"/>
  <c r="D2245" i="11"/>
  <c r="F2245" i="11"/>
  <c r="G2245" i="11"/>
  <c r="H2245" i="11"/>
  <c r="B2246" i="11"/>
  <c r="F2246" i="11" s="1"/>
  <c r="D2246" i="11"/>
  <c r="G2246" i="11"/>
  <c r="H2246" i="11"/>
  <c r="B2247" i="11"/>
  <c r="D2247" i="11"/>
  <c r="F2247" i="11"/>
  <c r="B2248" i="11"/>
  <c r="F2248" i="11" s="1"/>
  <c r="D2248" i="11"/>
  <c r="G2248" i="11"/>
  <c r="H2248" i="11"/>
  <c r="B2249" i="11"/>
  <c r="D2249" i="11"/>
  <c r="F2249" i="11"/>
  <c r="B2250" i="11"/>
  <c r="F2250" i="11" s="1"/>
  <c r="D2250" i="11"/>
  <c r="G2250" i="11" s="1"/>
  <c r="B2251" i="11"/>
  <c r="D2251" i="11"/>
  <c r="H2251" i="11" s="1"/>
  <c r="F2251" i="11"/>
  <c r="G2251" i="11"/>
  <c r="B2252" i="11"/>
  <c r="F2252" i="11" s="1"/>
  <c r="D2252" i="11"/>
  <c r="G2252" i="11"/>
  <c r="H2252" i="11"/>
  <c r="B2253" i="11"/>
  <c r="D2253" i="11"/>
  <c r="F2253" i="11"/>
  <c r="G2253" i="11"/>
  <c r="H2253" i="11"/>
  <c r="B2254" i="11"/>
  <c r="F2254" i="11" s="1"/>
  <c r="D2254" i="11"/>
  <c r="G2254" i="11"/>
  <c r="H2254" i="11"/>
  <c r="B2255" i="11"/>
  <c r="D2255" i="11"/>
  <c r="F2255" i="11"/>
  <c r="G2255" i="11"/>
  <c r="H2255" i="11"/>
  <c r="B2256" i="11"/>
  <c r="D2256" i="11"/>
  <c r="H2256" i="11"/>
  <c r="B2257" i="11"/>
  <c r="D2257" i="11"/>
  <c r="G2257" i="11" s="1"/>
  <c r="F2257" i="11"/>
  <c r="B2258" i="11"/>
  <c r="D2258" i="11"/>
  <c r="H2258" i="11" s="1"/>
  <c r="B2259" i="11"/>
  <c r="D2259" i="11"/>
  <c r="F2259" i="11"/>
  <c r="G2259" i="11"/>
  <c r="H2259" i="11"/>
  <c r="B2260" i="11"/>
  <c r="F2260" i="11" s="1"/>
  <c r="D2260" i="11"/>
  <c r="H2260" i="11" s="1"/>
  <c r="B2261" i="11"/>
  <c r="D2261" i="11"/>
  <c r="F2261" i="11"/>
  <c r="G2261" i="11"/>
  <c r="H2261" i="11"/>
  <c r="B2262" i="11"/>
  <c r="F2262" i="11" s="1"/>
  <c r="D2262" i="11"/>
  <c r="H2262" i="11" s="1"/>
  <c r="B2263" i="11"/>
  <c r="D2263" i="11"/>
  <c r="F2263" i="11"/>
  <c r="G2263" i="11"/>
  <c r="H2263" i="11"/>
  <c r="B2264" i="11"/>
  <c r="F2264" i="11" s="1"/>
  <c r="D2264" i="11"/>
  <c r="H2264" i="11" s="1"/>
  <c r="G2264" i="11"/>
  <c r="B2265" i="11"/>
  <c r="D2265" i="11"/>
  <c r="F2265" i="11"/>
  <c r="G2265" i="11"/>
  <c r="H2265" i="11"/>
  <c r="B2266" i="11"/>
  <c r="F2266" i="11" s="1"/>
  <c r="D2266" i="11"/>
  <c r="G2266" i="11"/>
  <c r="H2266" i="11"/>
  <c r="B2267" i="11"/>
  <c r="D2267" i="11"/>
  <c r="F2267" i="11"/>
  <c r="B2268" i="11"/>
  <c r="F2268" i="11" s="1"/>
  <c r="D2268" i="11"/>
  <c r="G2268" i="11"/>
  <c r="H2268" i="11"/>
  <c r="B2269" i="11"/>
  <c r="D2269" i="11"/>
  <c r="F2269" i="11"/>
  <c r="B2270" i="11"/>
  <c r="F2270" i="11" s="1"/>
  <c r="D2270" i="11"/>
  <c r="G2270" i="11"/>
  <c r="H2270" i="11"/>
  <c r="B2271" i="11"/>
  <c r="D2271" i="11"/>
  <c r="H2271" i="11" s="1"/>
  <c r="F2271" i="11"/>
  <c r="G2271" i="11"/>
  <c r="B2272" i="11"/>
  <c r="F2272" i="11" s="1"/>
  <c r="D2272" i="11"/>
  <c r="G2272" i="11"/>
  <c r="H2272" i="11"/>
  <c r="B2273" i="11"/>
  <c r="D2273" i="11"/>
  <c r="F2273" i="11"/>
  <c r="G2273" i="11"/>
  <c r="H2273" i="11"/>
  <c r="B2274" i="11"/>
  <c r="F2274" i="11" s="1"/>
  <c r="D2274" i="11"/>
  <c r="G2274" i="11" s="1"/>
  <c r="H2274" i="11"/>
  <c r="B2275" i="11"/>
  <c r="D2275" i="11"/>
  <c r="F2275" i="11"/>
  <c r="G2275" i="11"/>
  <c r="H2275" i="11"/>
  <c r="B2276" i="11"/>
  <c r="D2276" i="11"/>
  <c r="H2276" i="11"/>
  <c r="B2277" i="11"/>
  <c r="D2277" i="11"/>
  <c r="G2277" i="11" s="1"/>
  <c r="F2277" i="11"/>
  <c r="B2278" i="11"/>
  <c r="D2278" i="11"/>
  <c r="H2278" i="11" s="1"/>
  <c r="B2279" i="11"/>
  <c r="D2279" i="11"/>
  <c r="F2279" i="11"/>
  <c r="G2279" i="11"/>
  <c r="H2279" i="11"/>
  <c r="B2280" i="11"/>
  <c r="F2280" i="11" s="1"/>
  <c r="D2280" i="11"/>
  <c r="H2280" i="11" s="1"/>
  <c r="B2281" i="11"/>
  <c r="D2281" i="11"/>
  <c r="F2281" i="11"/>
  <c r="G2281" i="11"/>
  <c r="H2281" i="11"/>
  <c r="B2282" i="11"/>
  <c r="F2282" i="11" s="1"/>
  <c r="D2282" i="11"/>
  <c r="H2282" i="11" s="1"/>
  <c r="B2283" i="11"/>
  <c r="D2283" i="11"/>
  <c r="F2283" i="11"/>
  <c r="G2283" i="11"/>
  <c r="H2283" i="11"/>
  <c r="B2284" i="11"/>
  <c r="F2284" i="11" s="1"/>
  <c r="D2284" i="11"/>
  <c r="H2284" i="11" s="1"/>
  <c r="G2284" i="11"/>
  <c r="B2285" i="11"/>
  <c r="D2285" i="11"/>
  <c r="F2285" i="11"/>
  <c r="G2285" i="11"/>
  <c r="H2285" i="11"/>
  <c r="B2286" i="11"/>
  <c r="F2286" i="11" s="1"/>
  <c r="D2286" i="11"/>
  <c r="G2286" i="11"/>
  <c r="H2286" i="11"/>
  <c r="B2287" i="11"/>
  <c r="D2287" i="11"/>
  <c r="F2287" i="11"/>
  <c r="B2288" i="11"/>
  <c r="F2288" i="11" s="1"/>
  <c r="D2288" i="11"/>
  <c r="G2288" i="11"/>
  <c r="H2288" i="11"/>
  <c r="B2289" i="11"/>
  <c r="D2289" i="11"/>
  <c r="F2289" i="11"/>
  <c r="B2290" i="11"/>
  <c r="F2290" i="11" s="1"/>
  <c r="D2290" i="11"/>
  <c r="G2290" i="11"/>
  <c r="H2290" i="11"/>
  <c r="B2291" i="11"/>
  <c r="D2291" i="11"/>
  <c r="H2291" i="11" s="1"/>
  <c r="F2291" i="11"/>
  <c r="G2291" i="11"/>
  <c r="B2292" i="11"/>
  <c r="F2292" i="11" s="1"/>
  <c r="D2292" i="11"/>
  <c r="G2292" i="11"/>
  <c r="H2292" i="11"/>
  <c r="B2293" i="11"/>
  <c r="D2293" i="11"/>
  <c r="F2293" i="11"/>
  <c r="G2293" i="11"/>
  <c r="H2293" i="11"/>
  <c r="B2294" i="11"/>
  <c r="F2294" i="11" s="1"/>
  <c r="D2294" i="11"/>
  <c r="G2294" i="11" s="1"/>
  <c r="H2294" i="11"/>
  <c r="B2295" i="11"/>
  <c r="D2295" i="11"/>
  <c r="F2295" i="11"/>
  <c r="G2295" i="11"/>
  <c r="H2295" i="11"/>
  <c r="B2296" i="11"/>
  <c r="D2296" i="11"/>
  <c r="H2296" i="11"/>
  <c r="B2297" i="11"/>
  <c r="D2297" i="11"/>
  <c r="G2297" i="11" s="1"/>
  <c r="F2297" i="11"/>
  <c r="B2298" i="11"/>
  <c r="D2298" i="11"/>
  <c r="H2298" i="11" s="1"/>
  <c r="B2299" i="11"/>
  <c r="D2299" i="11"/>
  <c r="F2299" i="11"/>
  <c r="G2299" i="11"/>
  <c r="H2299" i="11"/>
  <c r="B2300" i="11"/>
  <c r="F2300" i="11" s="1"/>
  <c r="D2300" i="11"/>
  <c r="H2300" i="11" s="1"/>
  <c r="B2301" i="11"/>
  <c r="D2301" i="11"/>
  <c r="F2301" i="11"/>
  <c r="G2301" i="11"/>
  <c r="H2301" i="11"/>
  <c r="B2302" i="11"/>
  <c r="F2302" i="11" s="1"/>
  <c r="D2302" i="11"/>
  <c r="H2302" i="11" s="1"/>
  <c r="B2303" i="11"/>
  <c r="D2303" i="11"/>
  <c r="F2303" i="11"/>
  <c r="G2303" i="11"/>
  <c r="H2303" i="11"/>
  <c r="B2304" i="11"/>
  <c r="F2304" i="11" s="1"/>
  <c r="D2304" i="11"/>
  <c r="H2304" i="11" s="1"/>
  <c r="G2304" i="11"/>
  <c r="B2305" i="11"/>
  <c r="D2305" i="11"/>
  <c r="F2305" i="11"/>
  <c r="G2305" i="11"/>
  <c r="H2305" i="11"/>
  <c r="B2306" i="11"/>
  <c r="F2306" i="11" s="1"/>
  <c r="D2306" i="11"/>
  <c r="G2306" i="11"/>
  <c r="H2306" i="11"/>
  <c r="B2307" i="11"/>
  <c r="D2307" i="11"/>
  <c r="F2307" i="11"/>
  <c r="B2308" i="11"/>
  <c r="F2308" i="11" s="1"/>
  <c r="D2308" i="11"/>
  <c r="G2308" i="11"/>
  <c r="H2308" i="11"/>
  <c r="B2309" i="11"/>
  <c r="D2309" i="11"/>
  <c r="F2309" i="11"/>
  <c r="B2310" i="11"/>
  <c r="F2310" i="11" s="1"/>
  <c r="D2310" i="11"/>
  <c r="G2310" i="11"/>
  <c r="H2310" i="11"/>
  <c r="B2311" i="11"/>
  <c r="D2311" i="11"/>
  <c r="H2311" i="11" s="1"/>
  <c r="F2311" i="11"/>
  <c r="B2312" i="11"/>
  <c r="D2312" i="11"/>
  <c r="F2312" i="11"/>
  <c r="G2312" i="11"/>
  <c r="H2312" i="11"/>
  <c r="B2313" i="11"/>
  <c r="D2313" i="11"/>
  <c r="H2313" i="11" s="1"/>
  <c r="F2313" i="11"/>
  <c r="G2313" i="11"/>
  <c r="B2314" i="11"/>
  <c r="D2314" i="11"/>
  <c r="F2314" i="11"/>
  <c r="G2314" i="11"/>
  <c r="H2314" i="11"/>
  <c r="B2315" i="11"/>
  <c r="D2315" i="11"/>
  <c r="H2315" i="11" s="1"/>
  <c r="F2315" i="11"/>
  <c r="G2315" i="11"/>
  <c r="B2316" i="11"/>
  <c r="D2316" i="11"/>
  <c r="F2316" i="11"/>
  <c r="G2316" i="11"/>
  <c r="H2316" i="11"/>
  <c r="B2317" i="11"/>
  <c r="D2317" i="11"/>
  <c r="H2317" i="11" s="1"/>
  <c r="F2317" i="11"/>
  <c r="G2317" i="11"/>
  <c r="B2318" i="11"/>
  <c r="F2318" i="11" s="1"/>
  <c r="D2318" i="11"/>
  <c r="G2318" i="11"/>
  <c r="H2318" i="11"/>
  <c r="B2319" i="11"/>
  <c r="D2319" i="11"/>
  <c r="H2319" i="11" s="1"/>
  <c r="F2319" i="11"/>
  <c r="G2319" i="11"/>
  <c r="B2320" i="11"/>
  <c r="D2320" i="11"/>
  <c r="F2320" i="11"/>
  <c r="G2320" i="11"/>
  <c r="H2320" i="11"/>
  <c r="B2321" i="11"/>
  <c r="D2321" i="11"/>
  <c r="H2321" i="11" s="1"/>
  <c r="F2321" i="11"/>
  <c r="B2322" i="11"/>
  <c r="D2322" i="11"/>
  <c r="F2322" i="11"/>
  <c r="G2322" i="11"/>
  <c r="H2322" i="11"/>
  <c r="B2323" i="11"/>
  <c r="D2323" i="11"/>
  <c r="H2323" i="11" s="1"/>
  <c r="F2323" i="11"/>
  <c r="B2324" i="11"/>
  <c r="D2324" i="11"/>
  <c r="F2324" i="11"/>
  <c r="G2324" i="11"/>
  <c r="H2324" i="11"/>
  <c r="B2325" i="11"/>
  <c r="D2325" i="11"/>
  <c r="H2325" i="11" s="1"/>
  <c r="F2325" i="11"/>
  <c r="B2326" i="11"/>
  <c r="D2326" i="11"/>
  <c r="F2326" i="11"/>
  <c r="G2326" i="11"/>
  <c r="H2326" i="11"/>
  <c r="B2327" i="11"/>
  <c r="D2327" i="11"/>
  <c r="H2327" i="11" s="1"/>
  <c r="F2327" i="11"/>
  <c r="G2327" i="11"/>
  <c r="B2328" i="11"/>
  <c r="F2328" i="11" s="1"/>
  <c r="D2328" i="11"/>
  <c r="H2328" i="11"/>
  <c r="B2329" i="11"/>
  <c r="D2329" i="11"/>
  <c r="H2329" i="11" s="1"/>
  <c r="F2329" i="11"/>
  <c r="G2329" i="11"/>
  <c r="B2330" i="11"/>
  <c r="F2330" i="11" s="1"/>
  <c r="D2330" i="11"/>
  <c r="H2330" i="11" s="1"/>
  <c r="B2331" i="11"/>
  <c r="D2331" i="11"/>
  <c r="H2331" i="11" s="1"/>
  <c r="F2331" i="11"/>
  <c r="G2331" i="11"/>
  <c r="B2332" i="11"/>
  <c r="G2332" i="11" s="1"/>
  <c r="D2332" i="11"/>
  <c r="H2332" i="11" s="1"/>
  <c r="B2333" i="11"/>
  <c r="D2333" i="11"/>
  <c r="H2333" i="11" s="1"/>
  <c r="F2333" i="11"/>
  <c r="G2333" i="11"/>
  <c r="B2334" i="11"/>
  <c r="G2334" i="11" s="1"/>
  <c r="D2334" i="11"/>
  <c r="H2334" i="11" s="1"/>
  <c r="F2334" i="11"/>
  <c r="B2335" i="11"/>
  <c r="D2335" i="11"/>
  <c r="H2335" i="11" s="1"/>
  <c r="F2335" i="11"/>
  <c r="G2335" i="11"/>
  <c r="B2336" i="11"/>
  <c r="D2336" i="11"/>
  <c r="H2336" i="11" s="1"/>
  <c r="F2336" i="11"/>
  <c r="G2336" i="11"/>
  <c r="B2337" i="11"/>
  <c r="D2337" i="11"/>
  <c r="H2337" i="11" s="1"/>
  <c r="F2337" i="11"/>
  <c r="G2337" i="11"/>
  <c r="B2338" i="11"/>
  <c r="F2338" i="11" s="1"/>
  <c r="D2338" i="11"/>
  <c r="G2338" i="11"/>
  <c r="H2338" i="11"/>
  <c r="B2339" i="11"/>
  <c r="D2339" i="11"/>
  <c r="H2339" i="11" s="1"/>
  <c r="F2339" i="11"/>
  <c r="G2339" i="11"/>
  <c r="B2340" i="11"/>
  <c r="D2340" i="11"/>
  <c r="G2340" i="11" s="1"/>
  <c r="F2340" i="11"/>
  <c r="H2340" i="11"/>
  <c r="B2341" i="11"/>
  <c r="D2341" i="11"/>
  <c r="H2341" i="11" s="1"/>
  <c r="F2341" i="11"/>
  <c r="B2342" i="11"/>
  <c r="D2342" i="11"/>
  <c r="F2342" i="11"/>
  <c r="G2342" i="11"/>
  <c r="H2342" i="11"/>
  <c r="B2343" i="11"/>
  <c r="D2343" i="11"/>
  <c r="H2343" i="11" s="1"/>
  <c r="F2343" i="11"/>
  <c r="B2344" i="11"/>
  <c r="D2344" i="11"/>
  <c r="F2344" i="11"/>
  <c r="G2344" i="11"/>
  <c r="H2344" i="11"/>
  <c r="B2345" i="11"/>
  <c r="D2345" i="11"/>
  <c r="H2345" i="11" s="1"/>
  <c r="F2345" i="11"/>
  <c r="B2346" i="11"/>
  <c r="D2346" i="11"/>
  <c r="F2346" i="11"/>
  <c r="G2346" i="11"/>
  <c r="H2346" i="11"/>
  <c r="B2347" i="11"/>
  <c r="D2347" i="11"/>
  <c r="H2347" i="11" s="1"/>
  <c r="F2347" i="11"/>
  <c r="G2347" i="11"/>
  <c r="B2348" i="11"/>
  <c r="G2348" i="11" s="1"/>
  <c r="D2348" i="11"/>
  <c r="F2348" i="11"/>
  <c r="H2348" i="11"/>
  <c r="B2349" i="11"/>
  <c r="D2349" i="11"/>
  <c r="H2349" i="11" s="1"/>
  <c r="F2349" i="11"/>
  <c r="G2349" i="11"/>
  <c r="B2350" i="11"/>
  <c r="F2350" i="11" s="1"/>
  <c r="D2350" i="11"/>
  <c r="H2350" i="11" s="1"/>
  <c r="B2351" i="11"/>
  <c r="D2351" i="11"/>
  <c r="H2351" i="11" s="1"/>
  <c r="F2351" i="11"/>
  <c r="B2352" i="11"/>
  <c r="G2352" i="11" s="1"/>
  <c r="D2352" i="11"/>
  <c r="H2352" i="11" s="1"/>
  <c r="B2353" i="11"/>
  <c r="D2353" i="11"/>
  <c r="H2353" i="11" s="1"/>
  <c r="F2353" i="11"/>
  <c r="G2353" i="11"/>
  <c r="B2354" i="11"/>
  <c r="G2354" i="11" s="1"/>
  <c r="D2354" i="11"/>
  <c r="H2354" i="11" s="1"/>
  <c r="F2354" i="11"/>
  <c r="B2355" i="11"/>
  <c r="D2355" i="11"/>
  <c r="H2355" i="11" s="1"/>
  <c r="F2355" i="11"/>
  <c r="G2355" i="11"/>
  <c r="B2356" i="11"/>
  <c r="D2356" i="11"/>
  <c r="H2356" i="11" s="1"/>
  <c r="F2356" i="11"/>
  <c r="G2356" i="11"/>
  <c r="B2357" i="11"/>
  <c r="D2357" i="11"/>
  <c r="H2357" i="11" s="1"/>
  <c r="F2357" i="11"/>
  <c r="G2357" i="11"/>
  <c r="B2358" i="11"/>
  <c r="F2358" i="11" s="1"/>
  <c r="D2358" i="11"/>
  <c r="G2358" i="11"/>
  <c r="H2358" i="11"/>
  <c r="B2359" i="11"/>
  <c r="D2359" i="11"/>
  <c r="H2359" i="11" s="1"/>
  <c r="F2359" i="11"/>
  <c r="G2359" i="11"/>
  <c r="B2360" i="11"/>
  <c r="D2360" i="11"/>
  <c r="G2360" i="11" s="1"/>
  <c r="F2360" i="11"/>
  <c r="H2360" i="11"/>
  <c r="B2361" i="11"/>
  <c r="D2361" i="11"/>
  <c r="H2361" i="11" s="1"/>
  <c r="F2361" i="11"/>
  <c r="G2361" i="11"/>
  <c r="B2362" i="11"/>
  <c r="D2362" i="11"/>
  <c r="F2362" i="11"/>
  <c r="G2362" i="11"/>
  <c r="H2362" i="11"/>
  <c r="B2363" i="11"/>
  <c r="D2363" i="11"/>
  <c r="H2363" i="11" s="1"/>
  <c r="F2363" i="11"/>
  <c r="B2364" i="11"/>
  <c r="D2364" i="11"/>
  <c r="F2364" i="11"/>
  <c r="G2364" i="11"/>
  <c r="H2364" i="11"/>
  <c r="B2365" i="11"/>
  <c r="D2365" i="11"/>
  <c r="H2365" i="11" s="1"/>
  <c r="F2365" i="11"/>
  <c r="B2366" i="11"/>
  <c r="D2366" i="11"/>
  <c r="F2366" i="11"/>
  <c r="G2366" i="11"/>
  <c r="H2366" i="11"/>
  <c r="B2367" i="11"/>
  <c r="D2367" i="11"/>
  <c r="H2367" i="11" s="1"/>
  <c r="F2367" i="11"/>
  <c r="G2367" i="11"/>
  <c r="B2368" i="11"/>
  <c r="D2368" i="11"/>
  <c r="F2368" i="11"/>
  <c r="G2368" i="11"/>
  <c r="H2368" i="11"/>
  <c r="B2369" i="11"/>
  <c r="D2369" i="11"/>
  <c r="H2369" i="11" s="1"/>
  <c r="F2369" i="11"/>
  <c r="G2369" i="11"/>
  <c r="B2370" i="11"/>
  <c r="F2370" i="11" s="1"/>
  <c r="D2370" i="11"/>
  <c r="H2370" i="11"/>
  <c r="B2371" i="11"/>
  <c r="D2371" i="11"/>
  <c r="H2371" i="11" s="1"/>
  <c r="F2371" i="11"/>
  <c r="G2371" i="11"/>
  <c r="B2372" i="11"/>
  <c r="G2372" i="11" s="1"/>
  <c r="D2372" i="11"/>
  <c r="H2372" i="11" s="1"/>
  <c r="B2373" i="11"/>
  <c r="D2373" i="11"/>
  <c r="H2373" i="11" s="1"/>
  <c r="F2373" i="11"/>
  <c r="G2373" i="11"/>
  <c r="B2374" i="11"/>
  <c r="G2374" i="11" s="1"/>
  <c r="D2374" i="11"/>
  <c r="H2374" i="11" s="1"/>
  <c r="F2374" i="11"/>
  <c r="B2375" i="11"/>
  <c r="D2375" i="11"/>
  <c r="H2375" i="11" s="1"/>
  <c r="F2375" i="11"/>
  <c r="G2375" i="11"/>
  <c r="B2376" i="11"/>
  <c r="D2376" i="11"/>
  <c r="H2376" i="11" s="1"/>
  <c r="F2376" i="11"/>
  <c r="G2376" i="11"/>
  <c r="B2377" i="11"/>
  <c r="D2377" i="11"/>
  <c r="H2377" i="11" s="1"/>
  <c r="F2377" i="11"/>
  <c r="G2377" i="11"/>
  <c r="B2378" i="11"/>
  <c r="F2378" i="11" s="1"/>
  <c r="D2378" i="11"/>
  <c r="G2378" i="11"/>
  <c r="H2378" i="11"/>
  <c r="B2379" i="11"/>
  <c r="D2379" i="11"/>
  <c r="H2379" i="11" s="1"/>
  <c r="F2379" i="11"/>
  <c r="G2379" i="11"/>
  <c r="B2380" i="11"/>
  <c r="D2380" i="11"/>
  <c r="G2380" i="11" s="1"/>
  <c r="F2380" i="11"/>
  <c r="H2380" i="11"/>
  <c r="B2381" i="11"/>
  <c r="D2381" i="11"/>
  <c r="H2381" i="11" s="1"/>
  <c r="F2381" i="11"/>
  <c r="B2382" i="11"/>
  <c r="D2382" i="11"/>
  <c r="F2382" i="11"/>
  <c r="G2382" i="11"/>
  <c r="H2382" i="11"/>
  <c r="B2383" i="11"/>
  <c r="D2383" i="11"/>
  <c r="H2383" i="11" s="1"/>
  <c r="F2383" i="11"/>
  <c r="B2384" i="11"/>
  <c r="D2384" i="11"/>
  <c r="F2384" i="11"/>
  <c r="G2384" i="11"/>
  <c r="H2384" i="11"/>
  <c r="B2385" i="11"/>
  <c r="D2385" i="11"/>
  <c r="H2385" i="11" s="1"/>
  <c r="F2385" i="11"/>
  <c r="B2386" i="11"/>
  <c r="D2386" i="11"/>
  <c r="F2386" i="11"/>
  <c r="G2386" i="11"/>
  <c r="H2386" i="11"/>
  <c r="B2387" i="11"/>
  <c r="D2387" i="11"/>
  <c r="H2387" i="11" s="1"/>
  <c r="F2387" i="11"/>
  <c r="G2387" i="11"/>
  <c r="B2388" i="11"/>
  <c r="F2388" i="11" s="1"/>
  <c r="D2388" i="11"/>
  <c r="H2388" i="11"/>
  <c r="B2389" i="11"/>
  <c r="F2389" i="11" s="1"/>
  <c r="D2389" i="11"/>
  <c r="H2389" i="11" s="1"/>
  <c r="G2389" i="11"/>
  <c r="B2390" i="11"/>
  <c r="F2390" i="11" s="1"/>
  <c r="D2390" i="11"/>
  <c r="H2390" i="11"/>
  <c r="B2391" i="11"/>
  <c r="D2391" i="11"/>
  <c r="H2391" i="11" s="1"/>
  <c r="F2391" i="11"/>
  <c r="G2391" i="11"/>
  <c r="B2392" i="11"/>
  <c r="G2392" i="11" s="1"/>
  <c r="D2392" i="11"/>
  <c r="H2392" i="11" s="1"/>
  <c r="B2393" i="11"/>
  <c r="D2393" i="11"/>
  <c r="H2393" i="11" s="1"/>
  <c r="F2393" i="11"/>
  <c r="G2393" i="11"/>
  <c r="B2394" i="11"/>
  <c r="G2394" i="11" s="1"/>
  <c r="D2394" i="11"/>
  <c r="H2394" i="11" s="1"/>
  <c r="F2394" i="11"/>
  <c r="B2395" i="11"/>
  <c r="D2395" i="11"/>
  <c r="H2395" i="11" s="1"/>
  <c r="F2395" i="11"/>
  <c r="G2395" i="11"/>
  <c r="B2396" i="11"/>
  <c r="D2396" i="11"/>
  <c r="H2396" i="11" s="1"/>
  <c r="F2396" i="11"/>
  <c r="G2396" i="11"/>
  <c r="B2397" i="11"/>
  <c r="D2397" i="11"/>
  <c r="H2397" i="11" s="1"/>
  <c r="F2397" i="11"/>
  <c r="G2397" i="11"/>
  <c r="B2398" i="11"/>
  <c r="F2398" i="11" s="1"/>
  <c r="D2398" i="11"/>
  <c r="G2398" i="11"/>
  <c r="H2398" i="11"/>
  <c r="B2399" i="11"/>
  <c r="D2399" i="11"/>
  <c r="H2399" i="11" s="1"/>
  <c r="F2399" i="11"/>
  <c r="G2399" i="11"/>
  <c r="B2400" i="11"/>
  <c r="D2400" i="11"/>
  <c r="G2400" i="11" s="1"/>
  <c r="F2400" i="11"/>
  <c r="H2400" i="11"/>
  <c r="B2401" i="11"/>
  <c r="F2401" i="11" s="1"/>
  <c r="D2401" i="11"/>
  <c r="H2401" i="11" s="1"/>
  <c r="B2402" i="11"/>
  <c r="D2402" i="11"/>
  <c r="F2402" i="11"/>
  <c r="G2402" i="11"/>
  <c r="H2402" i="11"/>
  <c r="B2403" i="11"/>
  <c r="G2403" i="11" s="1"/>
  <c r="D2403" i="11"/>
  <c r="H2403" i="11" s="1"/>
  <c r="B2404" i="11"/>
  <c r="D2404" i="11"/>
  <c r="F2404" i="11"/>
  <c r="G2404" i="11"/>
  <c r="H2404" i="11"/>
  <c r="B2405" i="11"/>
  <c r="G2405" i="11" s="1"/>
  <c r="D2405" i="11"/>
  <c r="H2405" i="11" s="1"/>
  <c r="F2405" i="11"/>
  <c r="B2406" i="11"/>
  <c r="D2406" i="11"/>
  <c r="F2406" i="11"/>
  <c r="G2406" i="11"/>
  <c r="H2406" i="11"/>
  <c r="B2407" i="11"/>
  <c r="D2407" i="11"/>
  <c r="H2407" i="11" s="1"/>
  <c r="F2407" i="11"/>
  <c r="G2407" i="11"/>
  <c r="B2408" i="11"/>
  <c r="F2408" i="11" s="1"/>
  <c r="D2408" i="11"/>
  <c r="H2408" i="11"/>
  <c r="B2409" i="11"/>
  <c r="F2409" i="11" s="1"/>
  <c r="D2409" i="11"/>
  <c r="H2409" i="11" s="1"/>
  <c r="G2409" i="11"/>
  <c r="B2410" i="11"/>
  <c r="F2410" i="11" s="1"/>
  <c r="D2410" i="11"/>
  <c r="H2410" i="11"/>
  <c r="B2411" i="11"/>
  <c r="D2411" i="11"/>
  <c r="H2411" i="11" s="1"/>
  <c r="F2411" i="11"/>
  <c r="B2412" i="11"/>
  <c r="G2412" i="11" s="1"/>
  <c r="D2412" i="11"/>
  <c r="H2412" i="11" s="1"/>
  <c r="B2413" i="11"/>
  <c r="D2413" i="11"/>
  <c r="H2413" i="11" s="1"/>
  <c r="F2413" i="11"/>
  <c r="G2413" i="11"/>
  <c r="B2414" i="11"/>
  <c r="G2414" i="11" s="1"/>
  <c r="D2414" i="11"/>
  <c r="H2414" i="11" s="1"/>
  <c r="F2414" i="11"/>
  <c r="B2415" i="11"/>
  <c r="D2415" i="11"/>
  <c r="H2415" i="11" s="1"/>
  <c r="F2415" i="11"/>
  <c r="G2415" i="11"/>
  <c r="B2416" i="11"/>
  <c r="D2416" i="11"/>
  <c r="H2416" i="11" s="1"/>
  <c r="F2416" i="11"/>
  <c r="G2416" i="11"/>
  <c r="B2417" i="11"/>
  <c r="D2417" i="11"/>
  <c r="H2417" i="11" s="1"/>
  <c r="F2417" i="11"/>
  <c r="G2417" i="11"/>
  <c r="B2418" i="11"/>
  <c r="F2418" i="11" s="1"/>
  <c r="D2418" i="11"/>
  <c r="G2418" i="11"/>
  <c r="H2418" i="11"/>
  <c r="B2419" i="11"/>
  <c r="D2419" i="11"/>
  <c r="H2419" i="11" s="1"/>
  <c r="F2419" i="11"/>
  <c r="G2419" i="11"/>
  <c r="B2420" i="11"/>
  <c r="D2420" i="11"/>
  <c r="G2420" i="11" s="1"/>
  <c r="F2420" i="11"/>
  <c r="H2420" i="11"/>
  <c r="B2421" i="11"/>
  <c r="F2421" i="11" s="1"/>
  <c r="D2421" i="11"/>
  <c r="H2421" i="11" s="1"/>
  <c r="B2422" i="11"/>
  <c r="D2422" i="11"/>
  <c r="F2422" i="11"/>
  <c r="G2422" i="11"/>
  <c r="H2422" i="11"/>
  <c r="B2423" i="11"/>
  <c r="G2423" i="11" s="1"/>
  <c r="D2423" i="11"/>
  <c r="H2423" i="11" s="1"/>
  <c r="B2424" i="11"/>
  <c r="D2424" i="11"/>
  <c r="F2424" i="11"/>
  <c r="G2424" i="11"/>
  <c r="H2424" i="11"/>
  <c r="B2425" i="11"/>
  <c r="G2425" i="11" s="1"/>
  <c r="D2425" i="11"/>
  <c r="H2425" i="11" s="1"/>
  <c r="F2425" i="11"/>
  <c r="B2426" i="11"/>
  <c r="D2426" i="11"/>
  <c r="F2426" i="11"/>
  <c r="G2426" i="11"/>
  <c r="H2426" i="11"/>
  <c r="B2427" i="11"/>
  <c r="D2427" i="11"/>
  <c r="H2427" i="11" s="1"/>
  <c r="F2427" i="11"/>
  <c r="G2427" i="11"/>
  <c r="B2428" i="11"/>
  <c r="F2428" i="11" s="1"/>
  <c r="D2428" i="11"/>
  <c r="G2428" i="11"/>
  <c r="H2428" i="11"/>
  <c r="B2429" i="11"/>
  <c r="D2429" i="11"/>
  <c r="H2429" i="11" s="1"/>
  <c r="F2429" i="11"/>
  <c r="G2429" i="11"/>
  <c r="B2430" i="11"/>
  <c r="F2430" i="11" s="1"/>
  <c r="D2430" i="11"/>
  <c r="H2430" i="11"/>
  <c r="B2431" i="11"/>
  <c r="D2431" i="11"/>
  <c r="H2431" i="11" s="1"/>
  <c r="F2431" i="11"/>
  <c r="G2431" i="11"/>
  <c r="B2432" i="11"/>
  <c r="G2432" i="11" s="1"/>
  <c r="D2432" i="11"/>
  <c r="H2432" i="11" s="1"/>
  <c r="B2433" i="11"/>
  <c r="D2433" i="11"/>
  <c r="H2433" i="11" s="1"/>
  <c r="F2433" i="11"/>
  <c r="G2433" i="11"/>
  <c r="B2434" i="11"/>
  <c r="G2434" i="11" s="1"/>
  <c r="D2434" i="11"/>
  <c r="H2434" i="11" s="1"/>
  <c r="F2434" i="11"/>
  <c r="B2435" i="11"/>
  <c r="D2435" i="11"/>
  <c r="H2435" i="11" s="1"/>
  <c r="F2435" i="11"/>
  <c r="G2435" i="11"/>
  <c r="B2436" i="11"/>
  <c r="D2436" i="11"/>
  <c r="H2436" i="11" s="1"/>
  <c r="F2436" i="11"/>
  <c r="G2436" i="11"/>
  <c r="B2437" i="11"/>
  <c r="D2437" i="11"/>
  <c r="H2437" i="11" s="1"/>
  <c r="F2437" i="11"/>
  <c r="G2437" i="11"/>
  <c r="B2438" i="11"/>
  <c r="F2438" i="11" s="1"/>
  <c r="D2438" i="11"/>
  <c r="G2438" i="11"/>
  <c r="H2438" i="11"/>
  <c r="B2439" i="11"/>
  <c r="D2439" i="11"/>
  <c r="H2439" i="11" s="1"/>
  <c r="F2439" i="11"/>
  <c r="G2439" i="11"/>
  <c r="B2440" i="11"/>
  <c r="D2440" i="11"/>
  <c r="G2440" i="11" s="1"/>
  <c r="F2440" i="11"/>
  <c r="H2440" i="11"/>
  <c r="B2441" i="11"/>
  <c r="F2441" i="11" s="1"/>
  <c r="D2441" i="11"/>
  <c r="H2441" i="11" s="1"/>
  <c r="B2442" i="11"/>
  <c r="D2442" i="11"/>
  <c r="F2442" i="11"/>
  <c r="G2442" i="11"/>
  <c r="H2442" i="11"/>
  <c r="B2443" i="11"/>
  <c r="G2443" i="11" s="1"/>
  <c r="D2443" i="11"/>
  <c r="H2443" i="11" s="1"/>
  <c r="B2444" i="11"/>
  <c r="D2444" i="11"/>
  <c r="F2444" i="11"/>
  <c r="G2444" i="11"/>
  <c r="H2444" i="11"/>
  <c r="B2445" i="11"/>
  <c r="G2445" i="11" s="1"/>
  <c r="D2445" i="11"/>
  <c r="H2445" i="11" s="1"/>
  <c r="F2445" i="11"/>
  <c r="B2446" i="11"/>
  <c r="D2446" i="11"/>
  <c r="F2446" i="11"/>
  <c r="G2446" i="11"/>
  <c r="H2446" i="11"/>
  <c r="B2447" i="11"/>
  <c r="D2447" i="11"/>
  <c r="H2447" i="11" s="1"/>
  <c r="F2447" i="11"/>
  <c r="G2447" i="11"/>
  <c r="B2448" i="11"/>
  <c r="F2448" i="11" s="1"/>
  <c r="D2448" i="11"/>
  <c r="H2448" i="11"/>
  <c r="B2449" i="11"/>
  <c r="F2449" i="11" s="1"/>
  <c r="D2449" i="11"/>
  <c r="H2449" i="11" s="1"/>
  <c r="G2449" i="11"/>
  <c r="B2450" i="11"/>
  <c r="F2450" i="11" s="1"/>
  <c r="D2450" i="11"/>
  <c r="H2450" i="11" s="1"/>
  <c r="B2451" i="11"/>
  <c r="D2451" i="11"/>
  <c r="H2451" i="11" s="1"/>
  <c r="F2451" i="11"/>
  <c r="B2452" i="11"/>
  <c r="G2452" i="11" s="1"/>
  <c r="D2452" i="11"/>
  <c r="H2452" i="11" s="1"/>
  <c r="B2453" i="11"/>
  <c r="D2453" i="11"/>
  <c r="H2453" i="11" s="1"/>
  <c r="F2453" i="11"/>
  <c r="G2453" i="11"/>
  <c r="B2454" i="11"/>
  <c r="G2454" i="11" s="1"/>
  <c r="D2454" i="11"/>
  <c r="H2454" i="11" s="1"/>
  <c r="F2454" i="11"/>
  <c r="B2455" i="11"/>
  <c r="D2455" i="11"/>
  <c r="H2455" i="11" s="1"/>
  <c r="F2455" i="11"/>
  <c r="G2455" i="11"/>
  <c r="B2456" i="11"/>
  <c r="D2456" i="11"/>
  <c r="H2456" i="11" s="1"/>
  <c r="F2456" i="11"/>
  <c r="G2456" i="11"/>
  <c r="B2457" i="11"/>
  <c r="D2457" i="11"/>
  <c r="H2457" i="11" s="1"/>
  <c r="F2457" i="11"/>
  <c r="G2457" i="11"/>
  <c r="B2458" i="11"/>
  <c r="D2458" i="11"/>
  <c r="F2458" i="11"/>
  <c r="G2458" i="11"/>
  <c r="H2458" i="11"/>
  <c r="B2459" i="11"/>
  <c r="D2459" i="11"/>
  <c r="H2459" i="11" s="1"/>
  <c r="F2459" i="11"/>
  <c r="G2459" i="11"/>
  <c r="B2460" i="11"/>
  <c r="D2460" i="11"/>
  <c r="G2460" i="11" s="1"/>
  <c r="F2460" i="11"/>
  <c r="H2460" i="11"/>
  <c r="B2461" i="11"/>
  <c r="F2461" i="11" s="1"/>
  <c r="D2461" i="11"/>
  <c r="H2461" i="11" s="1"/>
  <c r="B2462" i="11"/>
  <c r="D2462" i="11"/>
  <c r="F2462" i="11"/>
  <c r="G2462" i="11"/>
  <c r="H2462" i="11"/>
  <c r="B2463" i="11"/>
  <c r="G2463" i="11" s="1"/>
  <c r="D2463" i="11"/>
  <c r="H2463" i="11" s="1"/>
  <c r="B2464" i="11"/>
  <c r="D2464" i="11"/>
  <c r="F2464" i="11"/>
  <c r="G2464" i="11"/>
  <c r="H2464" i="11"/>
  <c r="B2465" i="11"/>
  <c r="G2465" i="11" s="1"/>
  <c r="D2465" i="11"/>
  <c r="H2465" i="11" s="1"/>
  <c r="F2465" i="11"/>
  <c r="B2466" i="11"/>
  <c r="D2466" i="11"/>
  <c r="F2466" i="11"/>
  <c r="G2466" i="11"/>
  <c r="H2466" i="11"/>
  <c r="B2467" i="11"/>
  <c r="D2467" i="11"/>
  <c r="H2467" i="11" s="1"/>
  <c r="F2467" i="11"/>
  <c r="G2467" i="11"/>
  <c r="B2468" i="11"/>
  <c r="F2468" i="11" s="1"/>
  <c r="D2468" i="11"/>
  <c r="G2468" i="11"/>
  <c r="H2468" i="11"/>
  <c r="B2469" i="11"/>
  <c r="D2469" i="11"/>
  <c r="H2469" i="11" s="1"/>
  <c r="F2469" i="11"/>
  <c r="G2469" i="11"/>
  <c r="B2470" i="11"/>
  <c r="F2470" i="11" s="1"/>
  <c r="D2470" i="11"/>
  <c r="H2470" i="11"/>
  <c r="B2471" i="11"/>
  <c r="D2471" i="11"/>
  <c r="H2471" i="11" s="1"/>
  <c r="F2471" i="11"/>
  <c r="G2471" i="11"/>
  <c r="B2472" i="11"/>
  <c r="G2472" i="11" s="1"/>
  <c r="D2472" i="11"/>
  <c r="H2472" i="11" s="1"/>
  <c r="B2473" i="11"/>
  <c r="D2473" i="11"/>
  <c r="H2473" i="11" s="1"/>
  <c r="F2473" i="11"/>
  <c r="G2473" i="11"/>
  <c r="B2474" i="11"/>
  <c r="G2474" i="11" s="1"/>
  <c r="D2474" i="11"/>
  <c r="H2474" i="11" s="1"/>
  <c r="F2474" i="11"/>
  <c r="B2475" i="11"/>
  <c r="D2475" i="11"/>
  <c r="H2475" i="11" s="1"/>
  <c r="F2475" i="11"/>
  <c r="G2475" i="11"/>
  <c r="B2476" i="11"/>
  <c r="D2476" i="11"/>
  <c r="H2476" i="11" s="1"/>
  <c r="F2476" i="11"/>
  <c r="G2476" i="11"/>
  <c r="B2477" i="11"/>
  <c r="D2477" i="11"/>
  <c r="H2477" i="11" s="1"/>
  <c r="F2477" i="11"/>
  <c r="G2477" i="11"/>
  <c r="B2478" i="11"/>
  <c r="F2478" i="11" s="1"/>
  <c r="D2478" i="11"/>
  <c r="G2478" i="11"/>
  <c r="H2478" i="11"/>
  <c r="B2479" i="11"/>
  <c r="D2479" i="11"/>
  <c r="H2479" i="11" s="1"/>
  <c r="F2479" i="11"/>
  <c r="G2479" i="11"/>
  <c r="B2480" i="11"/>
  <c r="D2480" i="11"/>
  <c r="G2480" i="11" s="1"/>
  <c r="F2480" i="11"/>
  <c r="H2480" i="11"/>
  <c r="B2481" i="11"/>
  <c r="F2481" i="11" s="1"/>
  <c r="D2481" i="11"/>
  <c r="H2481" i="11" s="1"/>
  <c r="B2482" i="11"/>
  <c r="D2482" i="11"/>
  <c r="F2482" i="11"/>
  <c r="G2482" i="11"/>
  <c r="H2482" i="11"/>
  <c r="B2483" i="11"/>
  <c r="G2483" i="11" s="1"/>
  <c r="D2483" i="11"/>
  <c r="H2483" i="11" s="1"/>
  <c r="B2484" i="11"/>
  <c r="D2484" i="11"/>
  <c r="F2484" i="11"/>
  <c r="G2484" i="11"/>
  <c r="H2484" i="11"/>
  <c r="B2485" i="11"/>
  <c r="G2485" i="11" s="1"/>
  <c r="D2485" i="11"/>
  <c r="H2485" i="11" s="1"/>
  <c r="F2485" i="11"/>
  <c r="B2486" i="11"/>
  <c r="D2486" i="11"/>
  <c r="F2486" i="11"/>
  <c r="G2486" i="11"/>
  <c r="H2486" i="11"/>
  <c r="B2487" i="11"/>
  <c r="D2487" i="11"/>
  <c r="H2487" i="11" s="1"/>
  <c r="F2487" i="11"/>
  <c r="G2487" i="11"/>
  <c r="B2488" i="11"/>
  <c r="G2488" i="11" s="1"/>
  <c r="D2488" i="11"/>
  <c r="F2488" i="11"/>
  <c r="H2488" i="11"/>
  <c r="B2489" i="11"/>
  <c r="F2489" i="11" s="1"/>
  <c r="D2489" i="11"/>
  <c r="H2489" i="11" s="1"/>
  <c r="G2489" i="11"/>
  <c r="B2490" i="11"/>
  <c r="F2490" i="11" s="1"/>
  <c r="D2490" i="11"/>
  <c r="H2490" i="11" s="1"/>
  <c r="B2491" i="11"/>
  <c r="D2491" i="11"/>
  <c r="H2491" i="11" s="1"/>
  <c r="F2491" i="11"/>
  <c r="B2492" i="11"/>
  <c r="G2492" i="11" s="1"/>
  <c r="D2492" i="11"/>
  <c r="H2492" i="11" s="1"/>
  <c r="B2493" i="11"/>
  <c r="D2493" i="11"/>
  <c r="H2493" i="11" s="1"/>
  <c r="F2493" i="11"/>
  <c r="G2493" i="11"/>
  <c r="B2494" i="11"/>
  <c r="G2494" i="11" s="1"/>
  <c r="D2494" i="11"/>
  <c r="H2494" i="11" s="1"/>
  <c r="F2494" i="11"/>
  <c r="B2495" i="11"/>
  <c r="D2495" i="11"/>
  <c r="H2495" i="11" s="1"/>
  <c r="F2495" i="11"/>
  <c r="G2495" i="11"/>
  <c r="B2496" i="11"/>
  <c r="D2496" i="11"/>
  <c r="H2496" i="11" s="1"/>
  <c r="F2496" i="11"/>
  <c r="G2496" i="11"/>
  <c r="B2497" i="11"/>
  <c r="D2497" i="11"/>
  <c r="H2497" i="11" s="1"/>
  <c r="F2497" i="11"/>
  <c r="G2497" i="11"/>
  <c r="B2498" i="11"/>
  <c r="F2498" i="11" s="1"/>
  <c r="D2498" i="11"/>
  <c r="G2498" i="11"/>
  <c r="H2498" i="11"/>
  <c r="B2499" i="11"/>
  <c r="F2499" i="11" s="1"/>
  <c r="D2499" i="11"/>
  <c r="H2499" i="11" s="1"/>
  <c r="G2499" i="11"/>
  <c r="B2500" i="11"/>
  <c r="D2500" i="11"/>
  <c r="G2500" i="11" s="1"/>
  <c r="F2500" i="11"/>
  <c r="H2500" i="11"/>
  <c r="B2501" i="11"/>
  <c r="F2501" i="11" s="1"/>
  <c r="D2501" i="11"/>
  <c r="H2501" i="11" s="1"/>
  <c r="B2502" i="11"/>
  <c r="D2502" i="11"/>
  <c r="F2502" i="11"/>
  <c r="G2502" i="11"/>
  <c r="H2502" i="11"/>
  <c r="B2503" i="11"/>
  <c r="G2503" i="11" s="1"/>
  <c r="D2503" i="11"/>
  <c r="H2503" i="11" s="1"/>
  <c r="B2504" i="11"/>
  <c r="D2504" i="11"/>
  <c r="F2504" i="11"/>
  <c r="G2504" i="11"/>
  <c r="H2504" i="11"/>
  <c r="B2505" i="11"/>
  <c r="G2505" i="11" s="1"/>
  <c r="D2505" i="11"/>
  <c r="H2505" i="11" s="1"/>
  <c r="F2505" i="11"/>
  <c r="B2506" i="11"/>
  <c r="D2506" i="11"/>
  <c r="F2506" i="11"/>
  <c r="G2506" i="11"/>
  <c r="H2506" i="11"/>
  <c r="B2507" i="11"/>
  <c r="D2507" i="11"/>
  <c r="H2507" i="11" s="1"/>
  <c r="F2507" i="11"/>
  <c r="G2507" i="11"/>
  <c r="B2508" i="11"/>
  <c r="F2508" i="11" s="1"/>
  <c r="D2508" i="11"/>
  <c r="H2508" i="11"/>
  <c r="B2509" i="11"/>
  <c r="F2509" i="11" s="1"/>
  <c r="D2509" i="11"/>
  <c r="H2509" i="11" s="1"/>
  <c r="G2509" i="11"/>
  <c r="B2510" i="11"/>
  <c r="F2510" i="11" s="1"/>
  <c r="D2510" i="11"/>
  <c r="H2510" i="11"/>
  <c r="B2511" i="11"/>
  <c r="D2511" i="11"/>
  <c r="H2511" i="11" s="1"/>
  <c r="F2511" i="11"/>
  <c r="B2512" i="11"/>
  <c r="G2512" i="11" s="1"/>
  <c r="D2512" i="11"/>
  <c r="H2512" i="11" s="1"/>
  <c r="B2513" i="11"/>
  <c r="D2513" i="11"/>
  <c r="H2513" i="11" s="1"/>
  <c r="F2513" i="11"/>
  <c r="G2513" i="11"/>
  <c r="B2514" i="11"/>
  <c r="G2514" i="11" s="1"/>
  <c r="D2514" i="11"/>
  <c r="H2514" i="11" s="1"/>
  <c r="F2514" i="11"/>
  <c r="B2515" i="11"/>
  <c r="D2515" i="11"/>
  <c r="H2515" i="11" s="1"/>
  <c r="F2515" i="11"/>
  <c r="G2515" i="11"/>
  <c r="B2516" i="11"/>
  <c r="D2516" i="11"/>
  <c r="H2516" i="11" s="1"/>
  <c r="F2516" i="11"/>
  <c r="G2516" i="11"/>
  <c r="B2517" i="11"/>
  <c r="D2517" i="11"/>
  <c r="H2517" i="11" s="1"/>
  <c r="F2517" i="11"/>
  <c r="G2517" i="11"/>
  <c r="B2518" i="11"/>
  <c r="F2518" i="11" s="1"/>
  <c r="D2518" i="11"/>
  <c r="G2518" i="11"/>
  <c r="H2518" i="11"/>
  <c r="B2519" i="11"/>
  <c r="D2519" i="11"/>
  <c r="H2519" i="11" s="1"/>
  <c r="F2519" i="11"/>
  <c r="G2519" i="11"/>
  <c r="B2520" i="11"/>
  <c r="D2520" i="11"/>
  <c r="G2520" i="11" s="1"/>
  <c r="F2520" i="11"/>
  <c r="H2520" i="11"/>
  <c r="B2521" i="11"/>
  <c r="F2521" i="11" s="1"/>
  <c r="D2521" i="11"/>
  <c r="H2521" i="11" s="1"/>
  <c r="B2522" i="11"/>
  <c r="D2522" i="11"/>
  <c r="F2522" i="11"/>
  <c r="G2522" i="11"/>
  <c r="H2522" i="11"/>
  <c r="B2523" i="11"/>
  <c r="G2523" i="11" s="1"/>
  <c r="D2523" i="11"/>
  <c r="H2523" i="11" s="1"/>
  <c r="B2524" i="11"/>
  <c r="D2524" i="11"/>
  <c r="F2524" i="11"/>
  <c r="G2524" i="11"/>
  <c r="H2524" i="11"/>
  <c r="B2525" i="11"/>
  <c r="G2525" i="11" s="1"/>
  <c r="D2525" i="11"/>
  <c r="H2525" i="11" s="1"/>
  <c r="F2525" i="11"/>
  <c r="B2526" i="11"/>
  <c r="D2526" i="11"/>
  <c r="F2526" i="11"/>
  <c r="G2526" i="11"/>
  <c r="H2526" i="11"/>
  <c r="B2527" i="11"/>
  <c r="D2527" i="11"/>
  <c r="H2527" i="11" s="1"/>
  <c r="F2527" i="11"/>
  <c r="G2527" i="11"/>
  <c r="B2528" i="11"/>
  <c r="D2528" i="11"/>
  <c r="F2528" i="11"/>
  <c r="G2528" i="11"/>
  <c r="H2528" i="11"/>
  <c r="B2529" i="11"/>
  <c r="D2529" i="11"/>
  <c r="H2529" i="11" s="1"/>
  <c r="F2529" i="11"/>
  <c r="G2529" i="11"/>
  <c r="B2530" i="11"/>
  <c r="F2530" i="11" s="1"/>
  <c r="D2530" i="11"/>
  <c r="H2530" i="11"/>
  <c r="B2531" i="11"/>
  <c r="D2531" i="11"/>
  <c r="H2531" i="11" s="1"/>
  <c r="F2531" i="11"/>
  <c r="G2531" i="11"/>
  <c r="B2532" i="11"/>
  <c r="G2532" i="11" s="1"/>
  <c r="D2532" i="11"/>
  <c r="H2532" i="11" s="1"/>
  <c r="B2533" i="11"/>
  <c r="D2533" i="11"/>
  <c r="H2533" i="11" s="1"/>
  <c r="F2533" i="11"/>
  <c r="G2533" i="11"/>
  <c r="B2534" i="11"/>
  <c r="G2534" i="11" s="1"/>
  <c r="D2534" i="11"/>
  <c r="H2534" i="11" s="1"/>
  <c r="F2534" i="11"/>
  <c r="B2535" i="11"/>
  <c r="D2535" i="11"/>
  <c r="H2535" i="11" s="1"/>
  <c r="F2535" i="11"/>
  <c r="G2535" i="11"/>
  <c r="B2536" i="11"/>
  <c r="D2536" i="11"/>
  <c r="H2536" i="11" s="1"/>
  <c r="F2536" i="11"/>
  <c r="G2536" i="11"/>
  <c r="B2537" i="11"/>
  <c r="D2537" i="11"/>
  <c r="H2537" i="11" s="1"/>
  <c r="F2537" i="11"/>
  <c r="G2537" i="11"/>
  <c r="B2538" i="11"/>
  <c r="F2538" i="11" s="1"/>
  <c r="D2538" i="11"/>
  <c r="G2538" i="11"/>
  <c r="H2538" i="11"/>
  <c r="B2539" i="11"/>
  <c r="D2539" i="11"/>
  <c r="H2539" i="11" s="1"/>
  <c r="F2539" i="11"/>
  <c r="G2539" i="11"/>
  <c r="B2540" i="11"/>
  <c r="D2540" i="11"/>
  <c r="G2540" i="11" s="1"/>
  <c r="F2540" i="11"/>
  <c r="H2540" i="11"/>
  <c r="B2541" i="11"/>
  <c r="F2541" i="11" s="1"/>
  <c r="D2541" i="11"/>
  <c r="H2541" i="11" s="1"/>
  <c r="B2542" i="11"/>
  <c r="D2542" i="11"/>
  <c r="F2542" i="11"/>
  <c r="G2542" i="11"/>
  <c r="H2542" i="11"/>
  <c r="B2543" i="11"/>
  <c r="G2543" i="11" s="1"/>
  <c r="D2543" i="11"/>
  <c r="H2543" i="11" s="1"/>
  <c r="B2544" i="11"/>
  <c r="D2544" i="11"/>
  <c r="F2544" i="11"/>
  <c r="G2544" i="11"/>
  <c r="H2544" i="11"/>
  <c r="B2545" i="11"/>
  <c r="G2545" i="11" s="1"/>
  <c r="D2545" i="11"/>
  <c r="H2545" i="11" s="1"/>
  <c r="F2545" i="11"/>
  <c r="B2546" i="11"/>
  <c r="D2546" i="11"/>
  <c r="F2546" i="11"/>
  <c r="G2546" i="11"/>
  <c r="H2546" i="11"/>
  <c r="B2547" i="11"/>
  <c r="D2547" i="11"/>
  <c r="H2547" i="11" s="1"/>
  <c r="F2547" i="11"/>
  <c r="G2547" i="11"/>
  <c r="B2548" i="11"/>
  <c r="D2548" i="11"/>
  <c r="F2548" i="11"/>
  <c r="G2548" i="11"/>
  <c r="H2548" i="11"/>
  <c r="B2549" i="11"/>
  <c r="F2549" i="11" s="1"/>
  <c r="D2549" i="11"/>
  <c r="H2549" i="11" s="1"/>
  <c r="G2549" i="11"/>
  <c r="B2550" i="11"/>
  <c r="F2550" i="11" s="1"/>
  <c r="D2550" i="11"/>
  <c r="H2550" i="11"/>
  <c r="B2551" i="11"/>
  <c r="D2551" i="11"/>
  <c r="H2551" i="11" s="1"/>
  <c r="F2551" i="11"/>
  <c r="B2552" i="11"/>
  <c r="G2552" i="11" s="1"/>
  <c r="D2552" i="11"/>
  <c r="H2552" i="11" s="1"/>
  <c r="B2553" i="11"/>
  <c r="D2553" i="11"/>
  <c r="H2553" i="11" s="1"/>
  <c r="F2553" i="11"/>
  <c r="G2553" i="11"/>
  <c r="B2554" i="11"/>
  <c r="G2554" i="11" s="1"/>
  <c r="D2554" i="11"/>
  <c r="H2554" i="11" s="1"/>
  <c r="F2554" i="11"/>
  <c r="B2555" i="11"/>
  <c r="D2555" i="11"/>
  <c r="F2555" i="11"/>
  <c r="G2555" i="11"/>
  <c r="H2555" i="11"/>
  <c r="B2556" i="11"/>
  <c r="G2556" i="11" s="1"/>
  <c r="D2556" i="11"/>
  <c r="H2556" i="11" s="1"/>
  <c r="F2556" i="11"/>
  <c r="B2557" i="11"/>
  <c r="D2557" i="11"/>
  <c r="F2557" i="11"/>
  <c r="G2557" i="11"/>
  <c r="H2557" i="11"/>
  <c r="B2558" i="11"/>
  <c r="G2558" i="11" s="1"/>
  <c r="D2558" i="11"/>
  <c r="H2558" i="11" s="1"/>
  <c r="F2558" i="11"/>
  <c r="B2559" i="11"/>
  <c r="D2559" i="11"/>
  <c r="F2559" i="11"/>
  <c r="G2559" i="11"/>
  <c r="H2559" i="11"/>
  <c r="B2560" i="11"/>
  <c r="G2560" i="11" s="1"/>
  <c r="D2560" i="11"/>
  <c r="H2560" i="11" s="1"/>
  <c r="F2560" i="11"/>
  <c r="B2561" i="11"/>
  <c r="D2561" i="11"/>
  <c r="F2561" i="11"/>
  <c r="G2561" i="11"/>
  <c r="H2561" i="11"/>
  <c r="B2562" i="11"/>
  <c r="G2562" i="11" s="1"/>
  <c r="D2562" i="11"/>
  <c r="H2562" i="11" s="1"/>
  <c r="F2562" i="11"/>
  <c r="B2563" i="11"/>
  <c r="D2563" i="11"/>
  <c r="F2563" i="11"/>
  <c r="G2563" i="11"/>
  <c r="H2563" i="11"/>
  <c r="B2564" i="11"/>
  <c r="G2564" i="11" s="1"/>
  <c r="D2564" i="11"/>
  <c r="H2564" i="11" s="1"/>
  <c r="F2564" i="11"/>
  <c r="B2565" i="11"/>
  <c r="D2565" i="11"/>
  <c r="F2565" i="11"/>
  <c r="G2565" i="11"/>
  <c r="H2565" i="11"/>
  <c r="B2566" i="11"/>
  <c r="G2566" i="11" s="1"/>
  <c r="D2566" i="11"/>
  <c r="H2566" i="11" s="1"/>
  <c r="F2566" i="11"/>
  <c r="B2567" i="11"/>
  <c r="D2567" i="11"/>
  <c r="F2567" i="11"/>
  <c r="G2567" i="11"/>
  <c r="H2567" i="11"/>
  <c r="B2568" i="11"/>
  <c r="G2568" i="11" s="1"/>
  <c r="D2568" i="11"/>
  <c r="H2568" i="11" s="1"/>
  <c r="F2568" i="11"/>
  <c r="B2569" i="11"/>
  <c r="D2569" i="11"/>
  <c r="F2569" i="11"/>
  <c r="G2569" i="11"/>
  <c r="H2569" i="11"/>
  <c r="B2570" i="11"/>
  <c r="G2570" i="11" s="1"/>
  <c r="D2570" i="11"/>
  <c r="H2570" i="11" s="1"/>
  <c r="F2570" i="11"/>
  <c r="B2571" i="11"/>
  <c r="D2571" i="11"/>
  <c r="F2571" i="11"/>
  <c r="G2571" i="11"/>
  <c r="H2571" i="11"/>
  <c r="B2572" i="11"/>
  <c r="G2572" i="11" s="1"/>
  <c r="D2572" i="11"/>
  <c r="H2572" i="11" s="1"/>
  <c r="F2572" i="11"/>
  <c r="B2573" i="11"/>
  <c r="D2573" i="11"/>
  <c r="F2573" i="11"/>
  <c r="G2573" i="11"/>
  <c r="H2573" i="11"/>
  <c r="B2574" i="11"/>
  <c r="G2574" i="11" s="1"/>
  <c r="D2574" i="11"/>
  <c r="H2574" i="11" s="1"/>
  <c r="F2574" i="11"/>
  <c r="B2575" i="11"/>
  <c r="D2575" i="11"/>
  <c r="F2575" i="11"/>
  <c r="G2575" i="11"/>
  <c r="H2575" i="11"/>
  <c r="B2576" i="11"/>
  <c r="G2576" i="11" s="1"/>
  <c r="D2576" i="11"/>
  <c r="H2576" i="11" s="1"/>
  <c r="F2576" i="11"/>
  <c r="B2577" i="11"/>
  <c r="D2577" i="11"/>
  <c r="F2577" i="11"/>
  <c r="G2577" i="11"/>
  <c r="H2577" i="11"/>
  <c r="B2578" i="11"/>
  <c r="G2578" i="11" s="1"/>
  <c r="D2578" i="11"/>
  <c r="H2578" i="11" s="1"/>
  <c r="F2578" i="11"/>
  <c r="B2579" i="11"/>
  <c r="D2579" i="11"/>
  <c r="F2579" i="11"/>
  <c r="G2579" i="11"/>
  <c r="H2579" i="11"/>
  <c r="B2580" i="11"/>
  <c r="G2580" i="11" s="1"/>
  <c r="D2580" i="11"/>
  <c r="H2580" i="11" s="1"/>
  <c r="F2580" i="11"/>
  <c r="B2581" i="11"/>
  <c r="D2581" i="11"/>
  <c r="F2581" i="11"/>
  <c r="G2581" i="11"/>
  <c r="H2581" i="11"/>
  <c r="B2582" i="11"/>
  <c r="G2582" i="11" s="1"/>
  <c r="D2582" i="11"/>
  <c r="H2582" i="11" s="1"/>
  <c r="F2582" i="11"/>
  <c r="B2583" i="11"/>
  <c r="D2583" i="11"/>
  <c r="F2583" i="11"/>
  <c r="G2583" i="11"/>
  <c r="H2583" i="11"/>
  <c r="B2584" i="11"/>
  <c r="G2584" i="11" s="1"/>
  <c r="D2584" i="11"/>
  <c r="H2584" i="11" s="1"/>
  <c r="F2584" i="11"/>
  <c r="B2585" i="11"/>
  <c r="D2585" i="11"/>
  <c r="F2585" i="11"/>
  <c r="G2585" i="11"/>
  <c r="H2585" i="11"/>
  <c r="B2586" i="11"/>
  <c r="G2586" i="11" s="1"/>
  <c r="D2586" i="11"/>
  <c r="H2586" i="11" s="1"/>
  <c r="F2586" i="11"/>
  <c r="B2587" i="11"/>
  <c r="D2587" i="11"/>
  <c r="F2587" i="11"/>
  <c r="G2587" i="11"/>
  <c r="H2587" i="11"/>
  <c r="B2588" i="11"/>
  <c r="G2588" i="11" s="1"/>
  <c r="D2588" i="11"/>
  <c r="H2588" i="11" s="1"/>
  <c r="F2588" i="11"/>
  <c r="B2589" i="11"/>
  <c r="D2589" i="11"/>
  <c r="F2589" i="11"/>
  <c r="G2589" i="11"/>
  <c r="H2589" i="11"/>
  <c r="B2590" i="11"/>
  <c r="G2590" i="11" s="1"/>
  <c r="D2590" i="11"/>
  <c r="H2590" i="11" s="1"/>
  <c r="F2590" i="11"/>
  <c r="B2591" i="11"/>
  <c r="D2591" i="11"/>
  <c r="F2591" i="11"/>
  <c r="G2591" i="11"/>
  <c r="H2591" i="11"/>
  <c r="B2592" i="11"/>
  <c r="G2592" i="11" s="1"/>
  <c r="D2592" i="11"/>
  <c r="H2592" i="11" s="1"/>
  <c r="F2592" i="11"/>
  <c r="B2593" i="11"/>
  <c r="D2593" i="11"/>
  <c r="F2593" i="11"/>
  <c r="G2593" i="11"/>
  <c r="H2593" i="11"/>
  <c r="B2594" i="11"/>
  <c r="G2594" i="11" s="1"/>
  <c r="D2594" i="11"/>
  <c r="H2594" i="11" s="1"/>
  <c r="F2594" i="11"/>
  <c r="B2595" i="11"/>
  <c r="D2595" i="11"/>
  <c r="F2595" i="11"/>
  <c r="G2595" i="11"/>
  <c r="H2595" i="11"/>
  <c r="B2596" i="11"/>
  <c r="G2596" i="11" s="1"/>
  <c r="D2596" i="11"/>
  <c r="H2596" i="11" s="1"/>
  <c r="F2596" i="11"/>
  <c r="B2597" i="11"/>
  <c r="D2597" i="11"/>
  <c r="F2597" i="11"/>
  <c r="G2597" i="11"/>
  <c r="H2597" i="11"/>
  <c r="B2598" i="11"/>
  <c r="G2598" i="11" s="1"/>
  <c r="D2598" i="11"/>
  <c r="H2598" i="11" s="1"/>
  <c r="F2598" i="11"/>
  <c r="B2599" i="11"/>
  <c r="D2599" i="11"/>
  <c r="F2599" i="11"/>
  <c r="G2599" i="11"/>
  <c r="H2599" i="11"/>
  <c r="B2600" i="11"/>
  <c r="G2600" i="11" s="1"/>
  <c r="D2600" i="11"/>
  <c r="H2600" i="11" s="1"/>
  <c r="F2600" i="11"/>
  <c r="B2601" i="11"/>
  <c r="D2601" i="11"/>
  <c r="F2601" i="11"/>
  <c r="G2601" i="11"/>
  <c r="H2601" i="11"/>
  <c r="B2602" i="11"/>
  <c r="G2602" i="11" s="1"/>
  <c r="D2602" i="11"/>
  <c r="H2602" i="11" s="1"/>
  <c r="F2602" i="11"/>
  <c r="B2603" i="11"/>
  <c r="D2603" i="11"/>
  <c r="F2603" i="11"/>
  <c r="G2603" i="11"/>
  <c r="H2603" i="11"/>
  <c r="B2604" i="11"/>
  <c r="G2604" i="11" s="1"/>
  <c r="D2604" i="11"/>
  <c r="H2604" i="11" s="1"/>
  <c r="F2604" i="11"/>
  <c r="B2605" i="11"/>
  <c r="D2605" i="11"/>
  <c r="F2605" i="11"/>
  <c r="G2605" i="11"/>
  <c r="H2605" i="11"/>
  <c r="B2606" i="11"/>
  <c r="G2606" i="11" s="1"/>
  <c r="D2606" i="11"/>
  <c r="H2606" i="11" s="1"/>
  <c r="F2606" i="11"/>
  <c r="B2607" i="11"/>
  <c r="D2607" i="11"/>
  <c r="F2607" i="11"/>
  <c r="G2607" i="11"/>
  <c r="H2607" i="11"/>
  <c r="B2608" i="11"/>
  <c r="G2608" i="11" s="1"/>
  <c r="D2608" i="11"/>
  <c r="H2608" i="11" s="1"/>
  <c r="F2608" i="11"/>
  <c r="B2609" i="11"/>
  <c r="D2609" i="11"/>
  <c r="F2609" i="11"/>
  <c r="G2609" i="11"/>
  <c r="H2609" i="11"/>
  <c r="B2610" i="11"/>
  <c r="G2610" i="11" s="1"/>
  <c r="D2610" i="11"/>
  <c r="H2610" i="11" s="1"/>
  <c r="F2610" i="11"/>
  <c r="B2611" i="11"/>
  <c r="D2611" i="11"/>
  <c r="F2611" i="11"/>
  <c r="G2611" i="11"/>
  <c r="H2611" i="11"/>
  <c r="B2612" i="11"/>
  <c r="G2612" i="11" s="1"/>
  <c r="D2612" i="11"/>
  <c r="H2612" i="11" s="1"/>
  <c r="F2612" i="11"/>
  <c r="B2613" i="11"/>
  <c r="D2613" i="11"/>
  <c r="F2613" i="11"/>
  <c r="G2613" i="11"/>
  <c r="H2613" i="11"/>
  <c r="B2614" i="11"/>
  <c r="G2614" i="11" s="1"/>
  <c r="D2614" i="11"/>
  <c r="H2614" i="11" s="1"/>
  <c r="F2614" i="11"/>
  <c r="B2615" i="11"/>
  <c r="D2615" i="11"/>
  <c r="F2615" i="11"/>
  <c r="G2615" i="11"/>
  <c r="H2615" i="11"/>
  <c r="B2616" i="11"/>
  <c r="G2616" i="11" s="1"/>
  <c r="D2616" i="11"/>
  <c r="H2616" i="11" s="1"/>
  <c r="F2616" i="11"/>
  <c r="B2617" i="11"/>
  <c r="D2617" i="11"/>
  <c r="F2617" i="11"/>
  <c r="G2617" i="11"/>
  <c r="H2617" i="11"/>
  <c r="B2618" i="11"/>
  <c r="G2618" i="11" s="1"/>
  <c r="D2618" i="11"/>
  <c r="H2618" i="11" s="1"/>
  <c r="F2618" i="11"/>
  <c r="B2619" i="11"/>
  <c r="D2619" i="11"/>
  <c r="F2619" i="11"/>
  <c r="G2619" i="11"/>
  <c r="H2619" i="11"/>
  <c r="B2620" i="11"/>
  <c r="G2620" i="11" s="1"/>
  <c r="D2620" i="11"/>
  <c r="H2620" i="11" s="1"/>
  <c r="F2620" i="11"/>
  <c r="B2621" i="11"/>
  <c r="D2621" i="11"/>
  <c r="F2621" i="11"/>
  <c r="G2621" i="11"/>
  <c r="H2621" i="11"/>
  <c r="B2622" i="11"/>
  <c r="G2622" i="11" s="1"/>
  <c r="D2622" i="11"/>
  <c r="H2622" i="11" s="1"/>
  <c r="F2622" i="11"/>
  <c r="B2623" i="11"/>
  <c r="D2623" i="11"/>
  <c r="F2623" i="11"/>
  <c r="G2623" i="11"/>
  <c r="H2623" i="11"/>
  <c r="B2624" i="11"/>
  <c r="G2624" i="11" s="1"/>
  <c r="D2624" i="11"/>
  <c r="H2624" i="11" s="1"/>
  <c r="F2624" i="11"/>
  <c r="B2625" i="11"/>
  <c r="D2625" i="11"/>
  <c r="F2625" i="11"/>
  <c r="G2625" i="11"/>
  <c r="H2625" i="11"/>
  <c r="B2626" i="11"/>
  <c r="G2626" i="11" s="1"/>
  <c r="D2626" i="11"/>
  <c r="H2626" i="11" s="1"/>
  <c r="F2626" i="11"/>
  <c r="B2627" i="11"/>
  <c r="D2627" i="11"/>
  <c r="F2627" i="11"/>
  <c r="G2627" i="11"/>
  <c r="H2627" i="11"/>
  <c r="B2628" i="11"/>
  <c r="G2628" i="11" s="1"/>
  <c r="D2628" i="11"/>
  <c r="H2628" i="11" s="1"/>
  <c r="F2628" i="11"/>
  <c r="B2629" i="11"/>
  <c r="D2629" i="11"/>
  <c r="F2629" i="11"/>
  <c r="G2629" i="11"/>
  <c r="H2629" i="11"/>
  <c r="B2630" i="11"/>
  <c r="G2630" i="11" s="1"/>
  <c r="D2630" i="11"/>
  <c r="H2630" i="11" s="1"/>
  <c r="F2630" i="11"/>
  <c r="B2631" i="11"/>
  <c r="D2631" i="11"/>
  <c r="F2631" i="11"/>
  <c r="G2631" i="11"/>
  <c r="H2631" i="11"/>
  <c r="B2632" i="11"/>
  <c r="G2632" i="11" s="1"/>
  <c r="D2632" i="11"/>
  <c r="H2632" i="11" s="1"/>
  <c r="F2632" i="11"/>
  <c r="B2633" i="11"/>
  <c r="D2633" i="11"/>
  <c r="F2633" i="11"/>
  <c r="G2633" i="11"/>
  <c r="H2633" i="11"/>
  <c r="B2634" i="11"/>
  <c r="G2634" i="11" s="1"/>
  <c r="D2634" i="11"/>
  <c r="H2634" i="11" s="1"/>
  <c r="F2634" i="11"/>
  <c r="B2635" i="11"/>
  <c r="D2635" i="11"/>
  <c r="F2635" i="11"/>
  <c r="G2635" i="11"/>
  <c r="H2635" i="11"/>
  <c r="B2636" i="11"/>
  <c r="G2636" i="11" s="1"/>
  <c r="D2636" i="11"/>
  <c r="H2636" i="11" s="1"/>
  <c r="F2636" i="11"/>
  <c r="B2637" i="11"/>
  <c r="D2637" i="11"/>
  <c r="F2637" i="11"/>
  <c r="G2637" i="11"/>
  <c r="H2637" i="11"/>
  <c r="B2638" i="11"/>
  <c r="G2638" i="11" s="1"/>
  <c r="D2638" i="11"/>
  <c r="H2638" i="11" s="1"/>
  <c r="F2638" i="11"/>
  <c r="B2639" i="11"/>
  <c r="D2639" i="11"/>
  <c r="F2639" i="11"/>
  <c r="G2639" i="11"/>
  <c r="H2639" i="11"/>
  <c r="B2640" i="11"/>
  <c r="G2640" i="11" s="1"/>
  <c r="D2640" i="11"/>
  <c r="H2640" i="11" s="1"/>
  <c r="F2640" i="11"/>
  <c r="B2641" i="11"/>
  <c r="D2641" i="11"/>
  <c r="F2641" i="11"/>
  <c r="G2641" i="11"/>
  <c r="H2641" i="11"/>
  <c r="B2642" i="11"/>
  <c r="G2642" i="11" s="1"/>
  <c r="D2642" i="11"/>
  <c r="H2642" i="11" s="1"/>
  <c r="F2642" i="11"/>
  <c r="B2643" i="11"/>
  <c r="D2643" i="11"/>
  <c r="F2643" i="11"/>
  <c r="G2643" i="11"/>
  <c r="H2643" i="11"/>
  <c r="B2644" i="11"/>
  <c r="G2644" i="11" s="1"/>
  <c r="D2644" i="11"/>
  <c r="H2644" i="11" s="1"/>
  <c r="F2644" i="11"/>
  <c r="B2645" i="11"/>
  <c r="D2645" i="11"/>
  <c r="F2645" i="11"/>
  <c r="G2645" i="11"/>
  <c r="H2645" i="11"/>
  <c r="B2646" i="11"/>
  <c r="G2646" i="11" s="1"/>
  <c r="D2646" i="11"/>
  <c r="H2646" i="11" s="1"/>
  <c r="F2646" i="11"/>
  <c r="B2647" i="11"/>
  <c r="D2647" i="11"/>
  <c r="F2647" i="11"/>
  <c r="G2647" i="11"/>
  <c r="H2647" i="11"/>
  <c r="B2648" i="11"/>
  <c r="G2648" i="11" s="1"/>
  <c r="D2648" i="11"/>
  <c r="H2648" i="11" s="1"/>
  <c r="F2648" i="11"/>
  <c r="B2649" i="11"/>
  <c r="D2649" i="11"/>
  <c r="F2649" i="11"/>
  <c r="G2649" i="11"/>
  <c r="H2649" i="11"/>
  <c r="B2650" i="11"/>
  <c r="G2650" i="11" s="1"/>
  <c r="D2650" i="11"/>
  <c r="H2650" i="11" s="1"/>
  <c r="F2650" i="11"/>
  <c r="B2651" i="11"/>
  <c r="D2651" i="11"/>
  <c r="F2651" i="11"/>
  <c r="G2651" i="11"/>
  <c r="H2651" i="11"/>
  <c r="B2652" i="11"/>
  <c r="G2652" i="11" s="1"/>
  <c r="D2652" i="11"/>
  <c r="H2652" i="11" s="1"/>
  <c r="F2652" i="11"/>
  <c r="B2653" i="11"/>
  <c r="D2653" i="11"/>
  <c r="F2653" i="11"/>
  <c r="G2653" i="11"/>
  <c r="H2653" i="11"/>
  <c r="B2654" i="11"/>
  <c r="G2654" i="11" s="1"/>
  <c r="D2654" i="11"/>
  <c r="H2654" i="11" s="1"/>
  <c r="F2654" i="11"/>
  <c r="B2655" i="11"/>
  <c r="D2655" i="11"/>
  <c r="F2655" i="11"/>
  <c r="G2655" i="11"/>
  <c r="H2655" i="11"/>
  <c r="B2656" i="11"/>
  <c r="G2656" i="11" s="1"/>
  <c r="D2656" i="11"/>
  <c r="H2656" i="11" s="1"/>
  <c r="F2656" i="11"/>
  <c r="B2657" i="11"/>
  <c r="D2657" i="11"/>
  <c r="F2657" i="11"/>
  <c r="G2657" i="11"/>
  <c r="H2657" i="11"/>
  <c r="B2658" i="11"/>
  <c r="G2658" i="11" s="1"/>
  <c r="D2658" i="11"/>
  <c r="H2658" i="11" s="1"/>
  <c r="F2658" i="11"/>
  <c r="B2659" i="11"/>
  <c r="D2659" i="11"/>
  <c r="F2659" i="11"/>
  <c r="G2659" i="11"/>
  <c r="H2659" i="11"/>
  <c r="B2660" i="11"/>
  <c r="G2660" i="11" s="1"/>
  <c r="D2660" i="11"/>
  <c r="H2660" i="11" s="1"/>
  <c r="F2660" i="11"/>
  <c r="B2661" i="11"/>
  <c r="D2661" i="11"/>
  <c r="F2661" i="11"/>
  <c r="G2661" i="11"/>
  <c r="H2661" i="11"/>
  <c r="B2662" i="11"/>
  <c r="G2662" i="11" s="1"/>
  <c r="D2662" i="11"/>
  <c r="H2662" i="11" s="1"/>
  <c r="F2662" i="11"/>
  <c r="B2663" i="11"/>
  <c r="D2663" i="11"/>
  <c r="F2663" i="11"/>
  <c r="G2663" i="11"/>
  <c r="H2663" i="11"/>
  <c r="B2664" i="11"/>
  <c r="G2664" i="11" s="1"/>
  <c r="D2664" i="11"/>
  <c r="H2664" i="11" s="1"/>
  <c r="F2664" i="11"/>
  <c r="B2665" i="11"/>
  <c r="D2665" i="11"/>
  <c r="F2665" i="11"/>
  <c r="G2665" i="11"/>
  <c r="H2665" i="11"/>
  <c r="B2666" i="11"/>
  <c r="G2666" i="11" s="1"/>
  <c r="D2666" i="11"/>
  <c r="H2666" i="11" s="1"/>
  <c r="F2666" i="11"/>
  <c r="B2667" i="11"/>
  <c r="D2667" i="11"/>
  <c r="F2667" i="11"/>
  <c r="G2667" i="11"/>
  <c r="H2667" i="11"/>
  <c r="B2668" i="11"/>
  <c r="G2668" i="11" s="1"/>
  <c r="D2668" i="11"/>
  <c r="H2668" i="11" s="1"/>
  <c r="F2668" i="11"/>
  <c r="B2669" i="11"/>
  <c r="D2669" i="11"/>
  <c r="F2669" i="11"/>
  <c r="G2669" i="11"/>
  <c r="H2669" i="11"/>
  <c r="B2670" i="11"/>
  <c r="G2670" i="11" s="1"/>
  <c r="D2670" i="11"/>
  <c r="H2670" i="11" s="1"/>
  <c r="F2670" i="11"/>
  <c r="B2671" i="11"/>
  <c r="D2671" i="11"/>
  <c r="F2671" i="11"/>
  <c r="G2671" i="11"/>
  <c r="H2671" i="11"/>
  <c r="B2672" i="11"/>
  <c r="G2672" i="11" s="1"/>
  <c r="D2672" i="11"/>
  <c r="H2672" i="11" s="1"/>
  <c r="F2672" i="11"/>
  <c r="B2673" i="11"/>
  <c r="D2673" i="11"/>
  <c r="F2673" i="11"/>
  <c r="G2673" i="11"/>
  <c r="H2673" i="11"/>
  <c r="B2674" i="11"/>
  <c r="G2674" i="11" s="1"/>
  <c r="D2674" i="11"/>
  <c r="H2674" i="11" s="1"/>
  <c r="F2674" i="11"/>
  <c r="B2675" i="11"/>
  <c r="D2675" i="11"/>
  <c r="F2675" i="11"/>
  <c r="G2675" i="11"/>
  <c r="H2675" i="11"/>
  <c r="B2676" i="11"/>
  <c r="G2676" i="11" s="1"/>
  <c r="D2676" i="11"/>
  <c r="H2676" i="11" s="1"/>
  <c r="F2676" i="11"/>
  <c r="B2677" i="11"/>
  <c r="D2677" i="11"/>
  <c r="F2677" i="11"/>
  <c r="G2677" i="11"/>
  <c r="H2677" i="11"/>
  <c r="B2678" i="11"/>
  <c r="G2678" i="11" s="1"/>
  <c r="D2678" i="11"/>
  <c r="H2678" i="11" s="1"/>
  <c r="F2678" i="11"/>
  <c r="B2679" i="11"/>
  <c r="D2679" i="11"/>
  <c r="F2679" i="11"/>
  <c r="G2679" i="11"/>
  <c r="H2679" i="11"/>
  <c r="B2680" i="11"/>
  <c r="G2680" i="11" s="1"/>
  <c r="D2680" i="11"/>
  <c r="H2680" i="11" s="1"/>
  <c r="F2680" i="11"/>
  <c r="B2681" i="11"/>
  <c r="D2681" i="11"/>
  <c r="F2681" i="11"/>
  <c r="G2681" i="11"/>
  <c r="H2681" i="11"/>
  <c r="B2682" i="11"/>
  <c r="G2682" i="11" s="1"/>
  <c r="D2682" i="11"/>
  <c r="H2682" i="11" s="1"/>
  <c r="F2682" i="11"/>
  <c r="B2683" i="11"/>
  <c r="D2683" i="11"/>
  <c r="F2683" i="11"/>
  <c r="G2683" i="11"/>
  <c r="H2683" i="11"/>
  <c r="B2684" i="11"/>
  <c r="G2684" i="11" s="1"/>
  <c r="D2684" i="11"/>
  <c r="H2684" i="11" s="1"/>
  <c r="F2684" i="11"/>
  <c r="B2685" i="11"/>
  <c r="D2685" i="11"/>
  <c r="F2685" i="11"/>
  <c r="G2685" i="11"/>
  <c r="H2685" i="11"/>
  <c r="B2686" i="11"/>
  <c r="G2686" i="11" s="1"/>
  <c r="D2686" i="11"/>
  <c r="H2686" i="11" s="1"/>
  <c r="F2686" i="11"/>
  <c r="B2687" i="11"/>
  <c r="D2687" i="11"/>
  <c r="F2687" i="11"/>
  <c r="G2687" i="11"/>
  <c r="H2687" i="11"/>
  <c r="B2688" i="11"/>
  <c r="G2688" i="11" s="1"/>
  <c r="D2688" i="11"/>
  <c r="H2688" i="11" s="1"/>
  <c r="F2688" i="11"/>
  <c r="B2689" i="11"/>
  <c r="D2689" i="11"/>
  <c r="F2689" i="11"/>
  <c r="G2689" i="11"/>
  <c r="H2689" i="11"/>
  <c r="B2690" i="11"/>
  <c r="G2690" i="11" s="1"/>
  <c r="D2690" i="11"/>
  <c r="H2690" i="11" s="1"/>
  <c r="F2690" i="11"/>
  <c r="B2691" i="11"/>
  <c r="D2691" i="11"/>
  <c r="F2691" i="11"/>
  <c r="G2691" i="11"/>
  <c r="H2691" i="11"/>
  <c r="B2692" i="11"/>
  <c r="G2692" i="11" s="1"/>
  <c r="D2692" i="11"/>
  <c r="H2692" i="11" s="1"/>
  <c r="F2692" i="11"/>
  <c r="B2693" i="11"/>
  <c r="D2693" i="11"/>
  <c r="F2693" i="11"/>
  <c r="G2693" i="11"/>
  <c r="H2693" i="11"/>
  <c r="B2694" i="11"/>
  <c r="G2694" i="11" s="1"/>
  <c r="D2694" i="11"/>
  <c r="H2694" i="11" s="1"/>
  <c r="F2694" i="11"/>
  <c r="B2695" i="11"/>
  <c r="D2695" i="11"/>
  <c r="F2695" i="11"/>
  <c r="G2695" i="11"/>
  <c r="H2695" i="11"/>
  <c r="B2696" i="11"/>
  <c r="G2696" i="11" s="1"/>
  <c r="D2696" i="11"/>
  <c r="H2696" i="11" s="1"/>
  <c r="F2696" i="11"/>
  <c r="B2697" i="11"/>
  <c r="D2697" i="11"/>
  <c r="F2697" i="11"/>
  <c r="G2697" i="11"/>
  <c r="H2697" i="11"/>
  <c r="B2698" i="11"/>
  <c r="G2698" i="11" s="1"/>
  <c r="D2698" i="11"/>
  <c r="H2698" i="11" s="1"/>
  <c r="F2698" i="11"/>
  <c r="B2699" i="11"/>
  <c r="D2699" i="11"/>
  <c r="F2699" i="11"/>
  <c r="G2699" i="11"/>
  <c r="H2699" i="11"/>
  <c r="B2700" i="11"/>
  <c r="G2700" i="11" s="1"/>
  <c r="D2700" i="11"/>
  <c r="H2700" i="11" s="1"/>
  <c r="F2700" i="11"/>
  <c r="B2701" i="11"/>
  <c r="D2701" i="11"/>
  <c r="F2701" i="11"/>
  <c r="G2701" i="11"/>
  <c r="H2701" i="11"/>
  <c r="B2702" i="11"/>
  <c r="G2702" i="11" s="1"/>
  <c r="D2702" i="11"/>
  <c r="H2702" i="11" s="1"/>
  <c r="F2702" i="11"/>
  <c r="B2703" i="11"/>
  <c r="D2703" i="11"/>
  <c r="F2703" i="11"/>
  <c r="G2703" i="11"/>
  <c r="H2703" i="11"/>
  <c r="B2704" i="11"/>
  <c r="G2704" i="11" s="1"/>
  <c r="D2704" i="11"/>
  <c r="H2704" i="11" s="1"/>
  <c r="F2704" i="11"/>
  <c r="B2705" i="11"/>
  <c r="D2705" i="11"/>
  <c r="F2705" i="11"/>
  <c r="G2705" i="11"/>
  <c r="H2705" i="11"/>
  <c r="B2706" i="11"/>
  <c r="G2706" i="11" s="1"/>
  <c r="D2706" i="11"/>
  <c r="H2706" i="11" s="1"/>
  <c r="F2706" i="11"/>
  <c r="B2707" i="11"/>
  <c r="D2707" i="11"/>
  <c r="F2707" i="11"/>
  <c r="G2707" i="11"/>
  <c r="H2707" i="11"/>
  <c r="B2708" i="11"/>
  <c r="G2708" i="11" s="1"/>
  <c r="D2708" i="11"/>
  <c r="H2708" i="11" s="1"/>
  <c r="F2708" i="11"/>
  <c r="B2709" i="11"/>
  <c r="D2709" i="11"/>
  <c r="F2709" i="11"/>
  <c r="G2709" i="11"/>
  <c r="H2709" i="11"/>
  <c r="B2710" i="11"/>
  <c r="G2710" i="11" s="1"/>
  <c r="D2710" i="11"/>
  <c r="H2710" i="11" s="1"/>
  <c r="F2710" i="11"/>
  <c r="B2711" i="11"/>
  <c r="D2711" i="11"/>
  <c r="F2711" i="11"/>
  <c r="G2711" i="11"/>
  <c r="H2711" i="11"/>
  <c r="B2712" i="11"/>
  <c r="G2712" i="11" s="1"/>
  <c r="D2712" i="11"/>
  <c r="H2712" i="11" s="1"/>
  <c r="F2712" i="11"/>
  <c r="B2713" i="11"/>
  <c r="D2713" i="11"/>
  <c r="F2713" i="11"/>
  <c r="G2713" i="11"/>
  <c r="H2713" i="11"/>
  <c r="B2714" i="11"/>
  <c r="G2714" i="11" s="1"/>
  <c r="D2714" i="11"/>
  <c r="H2714" i="11" s="1"/>
  <c r="F2714" i="11"/>
  <c r="B2715" i="11"/>
  <c r="D2715" i="11"/>
  <c r="F2715" i="11"/>
  <c r="G2715" i="11"/>
  <c r="H2715" i="11"/>
  <c r="B2716" i="11"/>
  <c r="G2716" i="11" s="1"/>
  <c r="D2716" i="11"/>
  <c r="H2716" i="11" s="1"/>
  <c r="F2716" i="11"/>
  <c r="B2717" i="11"/>
  <c r="D2717" i="11"/>
  <c r="F2717" i="11"/>
  <c r="G2717" i="11"/>
  <c r="H2717" i="11"/>
  <c r="B2718" i="11"/>
  <c r="G2718" i="11" s="1"/>
  <c r="D2718" i="11"/>
  <c r="H2718" i="11" s="1"/>
  <c r="F2718" i="11"/>
  <c r="B2719" i="11"/>
  <c r="D2719" i="11"/>
  <c r="F2719" i="11"/>
  <c r="G2719" i="11"/>
  <c r="H2719" i="11"/>
  <c r="B2720" i="11"/>
  <c r="G2720" i="11" s="1"/>
  <c r="D2720" i="11"/>
  <c r="H2720" i="11" s="1"/>
  <c r="F2720" i="11"/>
  <c r="B2721" i="11"/>
  <c r="D2721" i="11"/>
  <c r="F2721" i="11"/>
  <c r="G2721" i="11"/>
  <c r="H2721" i="11"/>
  <c r="B2722" i="11"/>
  <c r="G2722" i="11" s="1"/>
  <c r="D2722" i="11"/>
  <c r="H2722" i="11" s="1"/>
  <c r="F2722" i="11"/>
  <c r="B2723" i="11"/>
  <c r="D2723" i="11"/>
  <c r="F2723" i="11"/>
  <c r="G2723" i="11"/>
  <c r="H2723" i="11"/>
  <c r="B2724" i="11"/>
  <c r="G2724" i="11" s="1"/>
  <c r="D2724" i="11"/>
  <c r="H2724" i="11" s="1"/>
  <c r="F2724" i="11"/>
  <c r="B2725" i="11"/>
  <c r="D2725" i="11"/>
  <c r="F2725" i="11"/>
  <c r="G2725" i="11"/>
  <c r="H2725" i="11"/>
  <c r="B2726" i="11"/>
  <c r="G2726" i="11" s="1"/>
  <c r="D2726" i="11"/>
  <c r="H2726" i="11" s="1"/>
  <c r="F2726" i="11"/>
  <c r="B2727" i="11"/>
  <c r="D2727" i="11"/>
  <c r="F2727" i="11"/>
  <c r="G2727" i="11"/>
  <c r="H2727" i="11"/>
  <c r="B2728" i="11"/>
  <c r="G2728" i="11" s="1"/>
  <c r="D2728" i="11"/>
  <c r="H2728" i="11" s="1"/>
  <c r="F2728" i="11"/>
  <c r="B2729" i="11"/>
  <c r="D2729" i="11"/>
  <c r="F2729" i="11"/>
  <c r="G2729" i="11"/>
  <c r="H2729" i="11"/>
  <c r="B2730" i="11"/>
  <c r="G2730" i="11" s="1"/>
  <c r="D2730" i="11"/>
  <c r="H2730" i="11" s="1"/>
  <c r="F2730" i="11"/>
  <c r="B2731" i="11"/>
  <c r="D2731" i="11"/>
  <c r="F2731" i="11"/>
  <c r="G2731" i="11"/>
  <c r="H2731" i="11"/>
  <c r="B2732" i="11"/>
  <c r="G2732" i="11" s="1"/>
  <c r="D2732" i="11"/>
  <c r="H2732" i="11" s="1"/>
  <c r="F2732" i="11"/>
  <c r="B2733" i="11"/>
  <c r="D2733" i="11"/>
  <c r="F2733" i="11"/>
  <c r="G2733" i="11"/>
  <c r="H2733" i="11"/>
  <c r="B2734" i="11"/>
  <c r="G2734" i="11" s="1"/>
  <c r="D2734" i="11"/>
  <c r="H2734" i="11" s="1"/>
  <c r="F2734" i="11"/>
  <c r="B2735" i="11"/>
  <c r="D2735" i="11"/>
  <c r="F2735" i="11"/>
  <c r="G2735" i="11"/>
  <c r="H2735" i="11"/>
  <c r="B2736" i="11"/>
  <c r="G2736" i="11" s="1"/>
  <c r="D2736" i="11"/>
  <c r="H2736" i="11" s="1"/>
  <c r="F2736" i="11"/>
  <c r="B2737" i="11"/>
  <c r="D2737" i="11"/>
  <c r="F2737" i="11"/>
  <c r="G2737" i="11"/>
  <c r="H2737" i="11"/>
  <c r="B2738" i="11"/>
  <c r="G2738" i="11" s="1"/>
  <c r="D2738" i="11"/>
  <c r="H2738" i="11" s="1"/>
  <c r="F2738" i="11"/>
  <c r="B2739" i="11"/>
  <c r="D2739" i="11"/>
  <c r="F2739" i="11"/>
  <c r="G2739" i="11"/>
  <c r="H2739" i="11"/>
  <c r="B2740" i="11"/>
  <c r="G2740" i="11" s="1"/>
  <c r="D2740" i="11"/>
  <c r="H2740" i="11" s="1"/>
  <c r="F2740" i="11"/>
  <c r="B2741" i="11"/>
  <c r="D2741" i="11"/>
  <c r="F2741" i="11"/>
  <c r="G2741" i="11"/>
  <c r="H2741" i="11"/>
  <c r="B2742" i="11"/>
  <c r="G2742" i="11" s="1"/>
  <c r="D2742" i="11"/>
  <c r="H2742" i="11" s="1"/>
  <c r="F2742" i="11"/>
  <c r="B2743" i="11"/>
  <c r="D2743" i="11"/>
  <c r="F2743" i="11"/>
  <c r="G2743" i="11"/>
  <c r="H2743" i="11"/>
  <c r="B2744" i="11"/>
  <c r="G2744" i="11" s="1"/>
  <c r="D2744" i="11"/>
  <c r="H2744" i="11" s="1"/>
  <c r="F2744" i="11"/>
  <c r="B2745" i="11"/>
  <c r="D2745" i="11"/>
  <c r="F2745" i="11"/>
  <c r="G2745" i="11"/>
  <c r="H2745" i="11"/>
  <c r="B2746" i="11"/>
  <c r="G2746" i="11" s="1"/>
  <c r="D2746" i="11"/>
  <c r="H2746" i="11" s="1"/>
  <c r="F2746" i="11"/>
  <c r="B2747" i="11"/>
  <c r="D2747" i="11"/>
  <c r="F2747" i="11"/>
  <c r="G2747" i="11"/>
  <c r="H2747" i="11"/>
  <c r="B2748" i="11"/>
  <c r="G2748" i="11" s="1"/>
  <c r="D2748" i="11"/>
  <c r="H2748" i="11" s="1"/>
  <c r="F2748" i="11"/>
  <c r="B2749" i="11"/>
  <c r="D2749" i="11"/>
  <c r="F2749" i="11"/>
  <c r="G2749" i="11"/>
  <c r="H2749" i="11"/>
  <c r="B2750" i="11"/>
  <c r="G2750" i="11" s="1"/>
  <c r="D2750" i="11"/>
  <c r="H2750" i="11" s="1"/>
  <c r="F2750" i="11"/>
  <c r="B2751" i="11"/>
  <c r="D2751" i="11"/>
  <c r="F2751" i="11"/>
  <c r="G2751" i="11"/>
  <c r="H2751" i="11"/>
  <c r="B2752" i="11"/>
  <c r="G2752" i="11" s="1"/>
  <c r="D2752" i="11"/>
  <c r="H2752" i="11" s="1"/>
  <c r="F2752" i="11"/>
  <c r="B2753" i="11"/>
  <c r="D2753" i="11"/>
  <c r="F2753" i="11"/>
  <c r="G2753" i="11"/>
  <c r="H2753" i="11"/>
  <c r="B2754" i="11"/>
  <c r="G2754" i="11" s="1"/>
  <c r="D2754" i="11"/>
  <c r="H2754" i="11" s="1"/>
  <c r="F2754" i="11"/>
  <c r="B2755" i="11"/>
  <c r="D2755" i="11"/>
  <c r="F2755" i="11"/>
  <c r="G2755" i="11"/>
  <c r="H2755" i="11"/>
  <c r="B2756" i="11"/>
  <c r="G2756" i="11" s="1"/>
  <c r="D2756" i="11"/>
  <c r="H2756" i="11" s="1"/>
  <c r="F2756" i="11"/>
  <c r="B2757" i="11"/>
  <c r="D2757" i="11"/>
  <c r="F2757" i="11"/>
  <c r="G2757" i="11"/>
  <c r="H2757" i="11"/>
  <c r="B2758" i="11"/>
  <c r="G2758" i="11" s="1"/>
  <c r="D2758" i="11"/>
  <c r="H2758" i="11" s="1"/>
  <c r="F2758" i="11"/>
  <c r="B2759" i="11"/>
  <c r="D2759" i="11"/>
  <c r="F2759" i="11"/>
  <c r="G2759" i="11"/>
  <c r="H2759" i="11"/>
  <c r="B2760" i="11"/>
  <c r="G2760" i="11" s="1"/>
  <c r="D2760" i="11"/>
  <c r="H2760" i="11" s="1"/>
  <c r="F2760" i="11"/>
  <c r="B2761" i="11"/>
  <c r="D2761" i="11"/>
  <c r="F2761" i="11"/>
  <c r="G2761" i="11"/>
  <c r="H2761" i="11"/>
  <c r="B2762" i="11"/>
  <c r="G2762" i="11" s="1"/>
  <c r="D2762" i="11"/>
  <c r="H2762" i="11" s="1"/>
  <c r="F2762" i="11"/>
  <c r="B2763" i="11"/>
  <c r="D2763" i="11"/>
  <c r="F2763" i="11"/>
  <c r="G2763" i="11"/>
  <c r="H2763" i="11"/>
  <c r="B2764" i="11"/>
  <c r="G2764" i="11" s="1"/>
  <c r="D2764" i="11"/>
  <c r="H2764" i="11" s="1"/>
  <c r="F2764" i="11"/>
  <c r="B2765" i="11"/>
  <c r="D2765" i="11"/>
  <c r="F2765" i="11"/>
  <c r="G2765" i="11"/>
  <c r="H2765" i="11"/>
  <c r="B2766" i="11"/>
  <c r="G2766" i="11" s="1"/>
  <c r="D2766" i="11"/>
  <c r="H2766" i="11" s="1"/>
  <c r="F2766" i="11"/>
  <c r="B2767" i="11"/>
  <c r="D2767" i="11"/>
  <c r="F2767" i="11"/>
  <c r="G2767" i="11"/>
  <c r="H2767" i="11"/>
  <c r="B2768" i="11"/>
  <c r="G2768" i="11" s="1"/>
  <c r="D2768" i="11"/>
  <c r="H2768" i="11" s="1"/>
  <c r="F2768" i="11"/>
  <c r="B2769" i="11"/>
  <c r="D2769" i="11"/>
  <c r="F2769" i="11"/>
  <c r="G2769" i="11"/>
  <c r="H2769" i="11"/>
  <c r="B2770" i="11"/>
  <c r="G2770" i="11" s="1"/>
  <c r="D2770" i="11"/>
  <c r="H2770" i="11" s="1"/>
  <c r="F2770" i="11"/>
  <c r="B2771" i="11"/>
  <c r="D2771" i="11"/>
  <c r="F2771" i="11"/>
  <c r="G2771" i="11"/>
  <c r="H2771" i="11"/>
  <c r="B2772" i="11"/>
  <c r="G2772" i="11" s="1"/>
  <c r="D2772" i="11"/>
  <c r="H2772" i="11" s="1"/>
  <c r="F2772" i="11"/>
  <c r="B2773" i="11"/>
  <c r="D2773" i="11"/>
  <c r="F2773" i="11"/>
  <c r="G2773" i="11"/>
  <c r="H2773" i="11"/>
  <c r="B2774" i="11"/>
  <c r="G2774" i="11" s="1"/>
  <c r="D2774" i="11"/>
  <c r="H2774" i="11" s="1"/>
  <c r="F2774" i="11"/>
  <c r="B2775" i="11"/>
  <c r="D2775" i="11"/>
  <c r="F2775" i="11"/>
  <c r="G2775" i="11"/>
  <c r="H2775" i="11"/>
  <c r="B2776" i="11"/>
  <c r="G2776" i="11" s="1"/>
  <c r="D2776" i="11"/>
  <c r="H2776" i="11" s="1"/>
  <c r="F2776" i="11"/>
  <c r="B2777" i="11"/>
  <c r="D2777" i="11"/>
  <c r="F2777" i="11"/>
  <c r="G2777" i="11"/>
  <c r="H2777" i="11"/>
  <c r="B2778" i="11"/>
  <c r="G2778" i="11" s="1"/>
  <c r="D2778" i="11"/>
  <c r="H2778" i="11" s="1"/>
  <c r="F2778" i="11"/>
  <c r="B2779" i="11"/>
  <c r="D2779" i="11"/>
  <c r="F2779" i="11"/>
  <c r="G2779" i="11"/>
  <c r="H2779" i="11"/>
  <c r="B2780" i="11"/>
  <c r="G2780" i="11" s="1"/>
  <c r="D2780" i="11"/>
  <c r="H2780" i="11" s="1"/>
  <c r="F2780" i="11"/>
  <c r="B2781" i="11"/>
  <c r="D2781" i="11"/>
  <c r="F2781" i="11"/>
  <c r="G2781" i="11"/>
  <c r="H2781" i="11"/>
  <c r="B2782" i="11"/>
  <c r="G2782" i="11" s="1"/>
  <c r="D2782" i="11"/>
  <c r="H2782" i="11" s="1"/>
  <c r="F2782" i="11"/>
  <c r="B2783" i="11"/>
  <c r="D2783" i="11"/>
  <c r="F2783" i="11"/>
  <c r="G2783" i="11"/>
  <c r="H2783" i="11"/>
  <c r="B2784" i="11"/>
  <c r="G2784" i="11" s="1"/>
  <c r="D2784" i="11"/>
  <c r="H2784" i="11" s="1"/>
  <c r="F2784" i="11"/>
  <c r="B2785" i="11"/>
  <c r="D2785" i="11"/>
  <c r="F2785" i="11"/>
  <c r="G2785" i="11"/>
  <c r="H2785" i="11"/>
  <c r="B2786" i="11"/>
  <c r="G2786" i="11" s="1"/>
  <c r="D2786" i="11"/>
  <c r="H2786" i="11" s="1"/>
  <c r="F2786" i="11"/>
  <c r="B2787" i="11"/>
  <c r="D2787" i="11"/>
  <c r="F2787" i="11"/>
  <c r="G2787" i="11"/>
  <c r="H2787" i="11"/>
  <c r="B2788" i="11"/>
  <c r="G2788" i="11" s="1"/>
  <c r="D2788" i="11"/>
  <c r="H2788" i="11" s="1"/>
  <c r="F2788" i="11"/>
  <c r="B2789" i="11"/>
  <c r="D2789" i="11"/>
  <c r="F2789" i="11"/>
  <c r="G2789" i="11"/>
  <c r="H2789" i="11"/>
  <c r="B2790" i="11"/>
  <c r="G2790" i="11" s="1"/>
  <c r="D2790" i="11"/>
  <c r="H2790" i="11" s="1"/>
  <c r="F2790" i="11"/>
  <c r="B2791" i="11"/>
  <c r="D2791" i="11"/>
  <c r="F2791" i="11"/>
  <c r="G2791" i="11"/>
  <c r="H2791" i="11"/>
  <c r="B2792" i="11"/>
  <c r="G2792" i="11" s="1"/>
  <c r="D2792" i="11"/>
  <c r="H2792" i="11" s="1"/>
  <c r="F2792" i="11"/>
  <c r="B2793" i="11"/>
  <c r="D2793" i="11"/>
  <c r="F2793" i="11"/>
  <c r="G2793" i="11"/>
  <c r="H2793" i="11"/>
  <c r="B2794" i="11"/>
  <c r="G2794" i="11" s="1"/>
  <c r="D2794" i="11"/>
  <c r="H2794" i="11" s="1"/>
  <c r="F2794" i="11"/>
  <c r="B2795" i="11"/>
  <c r="D2795" i="11"/>
  <c r="F2795" i="11"/>
  <c r="G2795" i="11"/>
  <c r="H2795" i="11"/>
  <c r="B2796" i="11"/>
  <c r="G2796" i="11" s="1"/>
  <c r="D2796" i="11"/>
  <c r="H2796" i="11" s="1"/>
  <c r="F2796" i="11"/>
  <c r="B2797" i="11"/>
  <c r="D2797" i="11"/>
  <c r="F2797" i="11"/>
  <c r="G2797" i="11"/>
  <c r="H2797" i="11"/>
  <c r="B2798" i="11"/>
  <c r="G2798" i="11" s="1"/>
  <c r="D2798" i="11"/>
  <c r="H2798" i="11" s="1"/>
  <c r="F2798" i="11"/>
  <c r="B2799" i="11"/>
  <c r="D2799" i="11"/>
  <c r="F2799" i="11"/>
  <c r="G2799" i="11"/>
  <c r="H2799" i="11"/>
  <c r="B2800" i="11"/>
  <c r="G2800" i="11" s="1"/>
  <c r="D2800" i="11"/>
  <c r="H2800" i="11" s="1"/>
  <c r="F2800" i="11"/>
  <c r="B2801" i="11"/>
  <c r="D2801" i="11"/>
  <c r="F2801" i="11"/>
  <c r="G2801" i="11"/>
  <c r="H2801" i="11"/>
  <c r="B2802" i="11"/>
  <c r="G2802" i="11" s="1"/>
  <c r="D2802" i="11"/>
  <c r="H2802" i="11" s="1"/>
  <c r="F2802" i="11"/>
  <c r="B2803" i="11"/>
  <c r="D2803" i="11"/>
  <c r="F2803" i="11"/>
  <c r="G2803" i="11"/>
  <c r="H2803" i="11"/>
  <c r="B2804" i="11"/>
  <c r="G2804" i="11" s="1"/>
  <c r="D2804" i="11"/>
  <c r="H2804" i="11" s="1"/>
  <c r="F2804" i="11"/>
  <c r="B2805" i="11"/>
  <c r="D2805" i="11"/>
  <c r="F2805" i="11"/>
  <c r="G2805" i="11"/>
  <c r="H2805" i="11"/>
  <c r="B2806" i="11"/>
  <c r="G2806" i="11" s="1"/>
  <c r="D2806" i="11"/>
  <c r="H2806" i="11" s="1"/>
  <c r="F2806" i="11"/>
  <c r="B2807" i="11"/>
  <c r="D2807" i="11"/>
  <c r="F2807" i="11"/>
  <c r="G2807" i="11"/>
  <c r="H2807" i="11"/>
  <c r="B2808" i="11"/>
  <c r="G2808" i="11" s="1"/>
  <c r="D2808" i="11"/>
  <c r="H2808" i="11" s="1"/>
  <c r="F2808" i="11"/>
  <c r="B2809" i="11"/>
  <c r="D2809" i="11"/>
  <c r="F2809" i="11"/>
  <c r="G2809" i="11"/>
  <c r="H2809" i="11"/>
  <c r="B2810" i="11"/>
  <c r="G2810" i="11" s="1"/>
  <c r="D2810" i="11"/>
  <c r="H2810" i="11" s="1"/>
  <c r="F2810" i="11"/>
  <c r="B2811" i="11"/>
  <c r="D2811" i="11"/>
  <c r="F2811" i="11"/>
  <c r="G2811" i="11"/>
  <c r="H2811" i="11"/>
  <c r="B2812" i="11"/>
  <c r="G2812" i="11" s="1"/>
  <c r="D2812" i="11"/>
  <c r="H2812" i="11" s="1"/>
  <c r="F2812" i="11"/>
  <c r="B2813" i="11"/>
  <c r="D2813" i="11"/>
  <c r="F2813" i="11"/>
  <c r="G2813" i="11"/>
  <c r="H2813" i="11"/>
  <c r="B2814" i="11"/>
  <c r="G2814" i="11" s="1"/>
  <c r="D2814" i="11"/>
  <c r="H2814" i="11" s="1"/>
  <c r="F2814" i="11"/>
  <c r="B2815" i="11"/>
  <c r="D2815" i="11"/>
  <c r="F2815" i="11"/>
  <c r="G2815" i="11"/>
  <c r="H2815" i="11"/>
  <c r="B2816" i="11"/>
  <c r="G2816" i="11" s="1"/>
  <c r="D2816" i="11"/>
  <c r="H2816" i="11" s="1"/>
  <c r="F2816" i="11"/>
  <c r="B2817" i="11"/>
  <c r="D2817" i="11"/>
  <c r="F2817" i="11"/>
  <c r="G2817" i="11"/>
  <c r="H2817" i="11"/>
  <c r="B2818" i="11"/>
  <c r="G2818" i="11" s="1"/>
  <c r="D2818" i="11"/>
  <c r="H2818" i="11" s="1"/>
  <c r="F2818" i="11"/>
  <c r="B2819" i="11"/>
  <c r="D2819" i="11"/>
  <c r="F2819" i="11"/>
  <c r="G2819" i="11"/>
  <c r="H2819" i="11"/>
  <c r="B2820" i="11"/>
  <c r="G2820" i="11" s="1"/>
  <c r="D2820" i="11"/>
  <c r="H2820" i="11" s="1"/>
  <c r="F2820" i="11"/>
  <c r="B2821" i="11"/>
  <c r="D2821" i="11"/>
  <c r="F2821" i="11"/>
  <c r="G2821" i="11"/>
  <c r="H2821" i="11"/>
  <c r="B2822" i="11"/>
  <c r="G2822" i="11" s="1"/>
  <c r="D2822" i="11"/>
  <c r="H2822" i="11" s="1"/>
  <c r="F2822" i="11"/>
  <c r="B2823" i="11"/>
  <c r="D2823" i="11"/>
  <c r="F2823" i="11"/>
  <c r="G2823" i="11"/>
  <c r="H2823" i="11"/>
  <c r="B2824" i="11"/>
  <c r="G2824" i="11" s="1"/>
  <c r="D2824" i="11"/>
  <c r="H2824" i="11" s="1"/>
  <c r="F2824" i="11"/>
  <c r="B2825" i="11"/>
  <c r="D2825" i="11"/>
  <c r="F2825" i="11"/>
  <c r="G2825" i="11"/>
  <c r="H2825" i="11"/>
  <c r="B2826" i="11"/>
  <c r="G2826" i="11" s="1"/>
  <c r="D2826" i="11"/>
  <c r="H2826" i="11" s="1"/>
  <c r="F2826" i="11"/>
  <c r="B2827" i="11"/>
  <c r="D2827" i="11"/>
  <c r="F2827" i="11"/>
  <c r="G2827" i="11"/>
  <c r="H2827" i="11"/>
  <c r="B2828" i="11"/>
  <c r="G2828" i="11" s="1"/>
  <c r="D2828" i="11"/>
  <c r="H2828" i="11" s="1"/>
  <c r="F2828" i="11"/>
  <c r="B2829" i="11"/>
  <c r="D2829" i="11"/>
  <c r="F2829" i="11"/>
  <c r="G2829" i="11"/>
  <c r="H2829" i="11"/>
  <c r="B2830" i="11"/>
  <c r="G2830" i="11" s="1"/>
  <c r="D2830" i="11"/>
  <c r="H2830" i="11" s="1"/>
  <c r="F2830" i="11"/>
  <c r="B2831" i="11"/>
  <c r="D2831" i="11"/>
  <c r="F2831" i="11"/>
  <c r="G2831" i="11"/>
  <c r="H2831" i="11"/>
  <c r="B2832" i="11"/>
  <c r="G2832" i="11" s="1"/>
  <c r="D2832" i="11"/>
  <c r="H2832" i="11" s="1"/>
  <c r="F2832" i="11"/>
  <c r="B2833" i="11"/>
  <c r="D2833" i="11"/>
  <c r="F2833" i="11"/>
  <c r="G2833" i="11"/>
  <c r="H2833" i="11"/>
  <c r="B2834" i="11"/>
  <c r="G2834" i="11" s="1"/>
  <c r="D2834" i="11"/>
  <c r="H2834" i="11" s="1"/>
  <c r="F2834" i="11"/>
  <c r="B2835" i="11"/>
  <c r="D2835" i="11"/>
  <c r="F2835" i="11"/>
  <c r="G2835" i="11"/>
  <c r="H2835" i="11"/>
  <c r="B2836" i="11"/>
  <c r="G2836" i="11" s="1"/>
  <c r="D2836" i="11"/>
  <c r="H2836" i="11" s="1"/>
  <c r="F2836" i="11"/>
  <c r="B2837" i="11"/>
  <c r="D2837" i="11"/>
  <c r="F2837" i="11"/>
  <c r="G2837" i="11"/>
  <c r="H2837" i="11"/>
  <c r="B2838" i="11"/>
  <c r="G2838" i="11" s="1"/>
  <c r="D2838" i="11"/>
  <c r="H2838" i="11" s="1"/>
  <c r="F2838" i="11"/>
  <c r="B2839" i="11"/>
  <c r="D2839" i="11"/>
  <c r="F2839" i="11"/>
  <c r="G2839" i="11"/>
  <c r="H2839" i="11"/>
  <c r="B2840" i="11"/>
  <c r="G2840" i="11" s="1"/>
  <c r="D2840" i="11"/>
  <c r="H2840" i="11" s="1"/>
  <c r="F2840" i="11"/>
  <c r="B2841" i="11"/>
  <c r="D2841" i="11"/>
  <c r="F2841" i="11"/>
  <c r="G2841" i="11"/>
  <c r="H2841" i="11"/>
  <c r="B2842" i="11"/>
  <c r="G2842" i="11" s="1"/>
  <c r="D2842" i="11"/>
  <c r="H2842" i="11" s="1"/>
  <c r="F2842" i="11"/>
  <c r="B2843" i="11"/>
  <c r="D2843" i="11"/>
  <c r="F2843" i="11"/>
  <c r="G2843" i="11"/>
  <c r="H2843" i="11"/>
  <c r="B2844" i="11"/>
  <c r="G2844" i="11" s="1"/>
  <c r="D2844" i="11"/>
  <c r="H2844" i="11" s="1"/>
  <c r="F2844" i="11"/>
  <c r="B2845" i="11"/>
  <c r="D2845" i="11"/>
  <c r="F2845" i="11"/>
  <c r="G2845" i="11"/>
  <c r="H2845" i="11"/>
  <c r="B2846" i="11"/>
  <c r="G2846" i="11" s="1"/>
  <c r="D2846" i="11"/>
  <c r="H2846" i="11" s="1"/>
  <c r="F2846" i="11"/>
  <c r="B2847" i="11"/>
  <c r="D2847" i="11"/>
  <c r="F2847" i="11"/>
  <c r="G2847" i="11"/>
  <c r="H2847" i="11"/>
  <c r="B2848" i="11"/>
  <c r="G2848" i="11" s="1"/>
  <c r="D2848" i="11"/>
  <c r="H2848" i="11" s="1"/>
  <c r="F2848" i="11"/>
  <c r="B2849" i="11"/>
  <c r="D2849" i="11"/>
  <c r="F2849" i="11"/>
  <c r="G2849" i="11"/>
  <c r="H2849" i="11"/>
  <c r="B2850" i="11"/>
  <c r="G2850" i="11" s="1"/>
  <c r="D2850" i="11"/>
  <c r="H2850" i="11" s="1"/>
  <c r="F2850" i="11"/>
  <c r="B2851" i="11"/>
  <c r="D2851" i="11"/>
  <c r="F2851" i="11"/>
  <c r="G2851" i="11"/>
  <c r="H2851" i="11"/>
  <c r="B2852" i="11"/>
  <c r="G2852" i="11" s="1"/>
  <c r="D2852" i="11"/>
  <c r="H2852" i="11" s="1"/>
  <c r="F2852" i="11"/>
  <c r="B2853" i="11"/>
  <c r="D2853" i="11"/>
  <c r="F2853" i="11"/>
  <c r="G2853" i="11"/>
  <c r="H2853" i="11"/>
  <c r="B2854" i="11"/>
  <c r="G2854" i="11" s="1"/>
  <c r="D2854" i="11"/>
  <c r="H2854" i="11" s="1"/>
  <c r="F2854" i="11"/>
  <c r="B2855" i="11"/>
  <c r="D2855" i="11"/>
  <c r="F2855" i="11"/>
  <c r="G2855" i="11"/>
  <c r="H2855" i="11"/>
  <c r="B2856" i="11"/>
  <c r="G2856" i="11" s="1"/>
  <c r="D2856" i="11"/>
  <c r="H2856" i="11" s="1"/>
  <c r="F2856" i="11"/>
  <c r="B2857" i="11"/>
  <c r="D2857" i="11"/>
  <c r="F2857" i="11"/>
  <c r="G2857" i="11"/>
  <c r="H2857" i="11"/>
  <c r="B2858" i="11"/>
  <c r="G2858" i="11" s="1"/>
  <c r="D2858" i="11"/>
  <c r="H2858" i="11" s="1"/>
  <c r="F2858" i="11"/>
  <c r="B2859" i="11"/>
  <c r="D2859" i="11"/>
  <c r="F2859" i="11"/>
  <c r="G2859" i="11"/>
  <c r="H2859" i="11"/>
  <c r="B2860" i="11"/>
  <c r="G2860" i="11" s="1"/>
  <c r="D2860" i="11"/>
  <c r="H2860" i="11" s="1"/>
  <c r="F2860" i="11"/>
  <c r="B2861" i="11"/>
  <c r="D2861" i="11"/>
  <c r="F2861" i="11"/>
  <c r="G2861" i="11"/>
  <c r="H2861" i="11"/>
  <c r="B2862" i="11"/>
  <c r="G2862" i="11" s="1"/>
  <c r="D2862" i="11"/>
  <c r="H2862" i="11" s="1"/>
  <c r="F2862" i="11"/>
  <c r="B2863" i="11"/>
  <c r="D2863" i="11"/>
  <c r="F2863" i="11"/>
  <c r="G2863" i="11"/>
  <c r="H2863" i="11"/>
  <c r="B2864" i="11"/>
  <c r="G2864" i="11" s="1"/>
  <c r="D2864" i="11"/>
  <c r="H2864" i="11" s="1"/>
  <c r="F2864" i="11"/>
  <c r="B2865" i="11"/>
  <c r="D2865" i="11"/>
  <c r="F2865" i="11"/>
  <c r="G2865" i="11"/>
  <c r="H2865" i="11"/>
  <c r="B2866" i="11"/>
  <c r="G2866" i="11" s="1"/>
  <c r="D2866" i="11"/>
  <c r="H2866" i="11" s="1"/>
  <c r="F2866" i="11"/>
  <c r="B2867" i="11"/>
  <c r="D2867" i="11"/>
  <c r="F2867" i="11"/>
  <c r="G2867" i="11"/>
  <c r="H2867" i="11"/>
  <c r="B2868" i="11"/>
  <c r="G2868" i="11" s="1"/>
  <c r="D2868" i="11"/>
  <c r="H2868" i="11" s="1"/>
  <c r="F2868" i="11"/>
  <c r="B2869" i="11"/>
  <c r="D2869" i="11"/>
  <c r="F2869" i="11"/>
  <c r="G2869" i="11"/>
  <c r="H2869" i="11"/>
  <c r="B2870" i="11"/>
  <c r="G2870" i="11" s="1"/>
  <c r="D2870" i="11"/>
  <c r="H2870" i="11" s="1"/>
  <c r="F2870" i="11"/>
  <c r="B2871" i="11"/>
  <c r="D2871" i="11"/>
  <c r="F2871" i="11"/>
  <c r="G2871" i="11"/>
  <c r="H2871" i="11"/>
  <c r="B2872" i="11"/>
  <c r="G2872" i="11" s="1"/>
  <c r="D2872" i="11"/>
  <c r="H2872" i="11" s="1"/>
  <c r="F2872" i="11"/>
  <c r="B2873" i="11"/>
  <c r="D2873" i="11"/>
  <c r="F2873" i="11"/>
  <c r="G2873" i="11"/>
  <c r="H2873" i="11"/>
  <c r="B2874" i="11"/>
  <c r="G2874" i="11" s="1"/>
  <c r="D2874" i="11"/>
  <c r="H2874" i="11" s="1"/>
  <c r="F2874" i="11"/>
  <c r="B2875" i="11"/>
  <c r="D2875" i="11"/>
  <c r="F2875" i="11"/>
  <c r="G2875" i="11"/>
  <c r="H2875" i="11"/>
  <c r="B2876" i="11"/>
  <c r="G2876" i="11" s="1"/>
  <c r="D2876" i="11"/>
  <c r="H2876" i="11" s="1"/>
  <c r="F2876" i="11"/>
  <c r="B2877" i="11"/>
  <c r="D2877" i="11"/>
  <c r="F2877" i="11"/>
  <c r="G2877" i="11"/>
  <c r="H2877" i="11"/>
  <c r="B2878" i="11"/>
  <c r="G2878" i="11" s="1"/>
  <c r="D2878" i="11"/>
  <c r="H2878" i="11" s="1"/>
  <c r="F2878" i="11"/>
  <c r="B686" i="11"/>
  <c r="F686" i="11" s="1"/>
  <c r="D686" i="11"/>
  <c r="G686" i="11"/>
  <c r="H686" i="11"/>
  <c r="B687" i="11"/>
  <c r="D687" i="11"/>
  <c r="H687" i="11" s="1"/>
  <c r="F687" i="11"/>
  <c r="G687" i="11"/>
  <c r="B688" i="11"/>
  <c r="D688" i="11"/>
  <c r="F688" i="11"/>
  <c r="G688" i="11"/>
  <c r="H688" i="11"/>
  <c r="B689" i="11"/>
  <c r="D689" i="11"/>
  <c r="H689" i="11" s="1"/>
  <c r="F689" i="11"/>
  <c r="G689" i="11"/>
  <c r="B690" i="11"/>
  <c r="D690" i="11"/>
  <c r="F690" i="11"/>
  <c r="G690" i="11"/>
  <c r="H690" i="11"/>
  <c r="B691" i="11"/>
  <c r="D691" i="11"/>
  <c r="H691" i="11" s="1"/>
  <c r="F691" i="11"/>
  <c r="G691" i="11"/>
  <c r="B692" i="11"/>
  <c r="D692" i="11"/>
  <c r="F692" i="11"/>
  <c r="G692" i="11"/>
  <c r="H692" i="11"/>
  <c r="B693" i="11"/>
  <c r="D693" i="11"/>
  <c r="H693" i="11" s="1"/>
  <c r="F693" i="11"/>
  <c r="G693" i="11"/>
  <c r="B694" i="11"/>
  <c r="D694" i="11"/>
  <c r="F694" i="11"/>
  <c r="G694" i="11"/>
  <c r="H694" i="11"/>
  <c r="B695" i="11"/>
  <c r="D695" i="11"/>
  <c r="H695" i="11" s="1"/>
  <c r="F695" i="11"/>
  <c r="G695" i="11"/>
  <c r="B696" i="11"/>
  <c r="D696" i="11"/>
  <c r="F696" i="11"/>
  <c r="G696" i="11"/>
  <c r="H696" i="11"/>
  <c r="B697" i="11"/>
  <c r="F697" i="11" s="1"/>
  <c r="D697" i="11"/>
  <c r="H697" i="11" s="1"/>
  <c r="B698" i="11"/>
  <c r="D698" i="11"/>
  <c r="F698" i="11"/>
  <c r="G698" i="11"/>
  <c r="H698" i="11"/>
  <c r="B699" i="11"/>
  <c r="D699" i="11"/>
  <c r="H699" i="11" s="1"/>
  <c r="B700" i="11"/>
  <c r="D700" i="11"/>
  <c r="F700" i="11"/>
  <c r="G700" i="11"/>
  <c r="H700" i="11"/>
  <c r="B701" i="11"/>
  <c r="D701" i="11"/>
  <c r="H701" i="11" s="1"/>
  <c r="B702" i="11"/>
  <c r="D702" i="11"/>
  <c r="F702" i="11"/>
  <c r="G702" i="11"/>
  <c r="H702" i="11"/>
  <c r="B703" i="11"/>
  <c r="G703" i="11" s="1"/>
  <c r="D703" i="11"/>
  <c r="H703" i="11" s="1"/>
  <c r="F703" i="11"/>
  <c r="B704" i="11"/>
  <c r="D704" i="11"/>
  <c r="F704" i="11"/>
  <c r="G704" i="11"/>
  <c r="H704" i="11"/>
  <c r="B705" i="11"/>
  <c r="D705" i="11"/>
  <c r="H705" i="11" s="1"/>
  <c r="B706" i="11"/>
  <c r="D706" i="11"/>
  <c r="F706" i="11"/>
  <c r="G706" i="11"/>
  <c r="H706" i="11"/>
  <c r="B707" i="11"/>
  <c r="D707" i="11"/>
  <c r="H707" i="11" s="1"/>
  <c r="B708" i="11"/>
  <c r="D708" i="11"/>
  <c r="F708" i="11"/>
  <c r="G708" i="11"/>
  <c r="H708" i="11"/>
  <c r="B709" i="11"/>
  <c r="D709" i="11"/>
  <c r="F709" i="11"/>
  <c r="B710" i="11"/>
  <c r="D710" i="11"/>
  <c r="F710" i="11"/>
  <c r="G710" i="11"/>
  <c r="H710" i="11"/>
  <c r="B711" i="11"/>
  <c r="D711" i="11"/>
  <c r="H711" i="11" s="1"/>
  <c r="F711" i="11"/>
  <c r="G711" i="11"/>
  <c r="B712" i="11"/>
  <c r="D712" i="11"/>
  <c r="F712" i="11"/>
  <c r="G712" i="11"/>
  <c r="H712" i="11"/>
  <c r="B713" i="11"/>
  <c r="D713" i="11"/>
  <c r="H713" i="11" s="1"/>
  <c r="F713" i="11"/>
  <c r="G713" i="11"/>
  <c r="B714" i="11"/>
  <c r="D714" i="11"/>
  <c r="F714" i="11"/>
  <c r="G714" i="11"/>
  <c r="H714" i="11"/>
  <c r="B715" i="11"/>
  <c r="D715" i="11"/>
  <c r="H715" i="11" s="1"/>
  <c r="F715" i="11"/>
  <c r="G715" i="11"/>
  <c r="B716" i="11"/>
  <c r="D716" i="11"/>
  <c r="F716" i="11"/>
  <c r="G716" i="11"/>
  <c r="H716" i="11"/>
  <c r="B717" i="11"/>
  <c r="F717" i="11" s="1"/>
  <c r="D717" i="11"/>
  <c r="H717" i="11" s="1"/>
  <c r="B718" i="11"/>
  <c r="D718" i="11"/>
  <c r="F718" i="11"/>
  <c r="G718" i="11"/>
  <c r="H718" i="11"/>
  <c r="B719" i="11"/>
  <c r="D719" i="11"/>
  <c r="H719" i="11" s="1"/>
  <c r="B720" i="11"/>
  <c r="D720" i="11"/>
  <c r="F720" i="11"/>
  <c r="G720" i="11"/>
  <c r="H720" i="11"/>
  <c r="B721" i="11"/>
  <c r="D721" i="11"/>
  <c r="H721" i="11" s="1"/>
  <c r="B722" i="11"/>
  <c r="D722" i="11"/>
  <c r="F722" i="11"/>
  <c r="G722" i="11"/>
  <c r="H722" i="11"/>
  <c r="B723" i="11"/>
  <c r="D723" i="11"/>
  <c r="H723" i="11" s="1"/>
  <c r="F723" i="11"/>
  <c r="B724" i="11"/>
  <c r="D724" i="11"/>
  <c r="F724" i="11"/>
  <c r="G724" i="11"/>
  <c r="H724" i="11"/>
  <c r="B725" i="11"/>
  <c r="D725" i="11"/>
  <c r="H725" i="11" s="1"/>
  <c r="F725" i="11"/>
  <c r="G725" i="11"/>
  <c r="B726" i="11"/>
  <c r="D726" i="11"/>
  <c r="F726" i="11"/>
  <c r="G726" i="11"/>
  <c r="H726" i="11"/>
  <c r="B727" i="11"/>
  <c r="D727" i="11"/>
  <c r="H727" i="11" s="1"/>
  <c r="F727" i="11"/>
  <c r="G727" i="11"/>
  <c r="B728" i="11"/>
  <c r="D728" i="11"/>
  <c r="F728" i="11"/>
  <c r="G728" i="11"/>
  <c r="H728" i="11"/>
  <c r="B729" i="11"/>
  <c r="F729" i="11" s="1"/>
  <c r="D729" i="11"/>
  <c r="H729" i="11" s="1"/>
  <c r="B730" i="11"/>
  <c r="D730" i="11"/>
  <c r="F730" i="11"/>
  <c r="G730" i="11"/>
  <c r="H730" i="11"/>
  <c r="B731" i="11"/>
  <c r="D731" i="11"/>
  <c r="H731" i="11" s="1"/>
  <c r="F731" i="11"/>
  <c r="B732" i="11"/>
  <c r="D732" i="11"/>
  <c r="F732" i="11"/>
  <c r="G732" i="11"/>
  <c r="H732" i="11"/>
  <c r="B733" i="11"/>
  <c r="D733" i="11"/>
  <c r="H733" i="11" s="1"/>
  <c r="F733" i="11"/>
  <c r="G733" i="11"/>
  <c r="B734" i="11"/>
  <c r="D734" i="11"/>
  <c r="F734" i="11"/>
  <c r="G734" i="11"/>
  <c r="H734" i="11"/>
  <c r="B735" i="11"/>
  <c r="D735" i="11"/>
  <c r="H735" i="11" s="1"/>
  <c r="F735" i="11"/>
  <c r="G735" i="11"/>
  <c r="B736" i="11"/>
  <c r="D736" i="11"/>
  <c r="F736" i="11"/>
  <c r="G736" i="11"/>
  <c r="H736" i="11"/>
  <c r="B737" i="11"/>
  <c r="F737" i="11" s="1"/>
  <c r="D737" i="11"/>
  <c r="H737" i="11" s="1"/>
  <c r="B738" i="11"/>
  <c r="D738" i="11"/>
  <c r="F738" i="11"/>
  <c r="G738" i="11"/>
  <c r="H738" i="11"/>
  <c r="B739" i="11"/>
  <c r="D739" i="11"/>
  <c r="H739" i="11" s="1"/>
  <c r="B740" i="11"/>
  <c r="D740" i="11"/>
  <c r="F740" i="11"/>
  <c r="G740" i="11"/>
  <c r="H740" i="11"/>
  <c r="B741" i="11"/>
  <c r="G741" i="11" s="1"/>
  <c r="D741" i="11"/>
  <c r="H741" i="11" s="1"/>
  <c r="B742" i="11"/>
  <c r="D742" i="11"/>
  <c r="F742" i="11"/>
  <c r="G742" i="11"/>
  <c r="H742" i="11"/>
  <c r="B743" i="11"/>
  <c r="D743" i="11"/>
  <c r="H743" i="11" s="1"/>
  <c r="B744" i="11"/>
  <c r="D744" i="11"/>
  <c r="F744" i="11"/>
  <c r="G744" i="11"/>
  <c r="H744" i="11"/>
  <c r="B745" i="11"/>
  <c r="D745" i="11"/>
  <c r="H745" i="11" s="1"/>
  <c r="F745" i="11"/>
  <c r="B746" i="11"/>
  <c r="D746" i="11"/>
  <c r="F746" i="11"/>
  <c r="G746" i="11"/>
  <c r="H746" i="11"/>
  <c r="B747" i="11"/>
  <c r="D747" i="11"/>
  <c r="H747" i="11" s="1"/>
  <c r="F747" i="11"/>
  <c r="G747" i="11"/>
  <c r="B748" i="11"/>
  <c r="D748" i="11"/>
  <c r="F748" i="11"/>
  <c r="G748" i="11"/>
  <c r="H748" i="11"/>
  <c r="B749" i="11"/>
  <c r="D749" i="11"/>
  <c r="H749" i="11" s="1"/>
  <c r="F749" i="11"/>
  <c r="G749" i="11"/>
  <c r="B750" i="11"/>
  <c r="D750" i="11"/>
  <c r="F750" i="11"/>
  <c r="G750" i="11"/>
  <c r="H750" i="11"/>
  <c r="B751" i="11"/>
  <c r="D751" i="11"/>
  <c r="H751" i="11" s="1"/>
  <c r="F751" i="11"/>
  <c r="G751" i="11"/>
  <c r="B752" i="11"/>
  <c r="D752" i="11"/>
  <c r="F752" i="11"/>
  <c r="G752" i="11"/>
  <c r="H752" i="11"/>
  <c r="B753" i="11"/>
  <c r="D753" i="11"/>
  <c r="H753" i="11" s="1"/>
  <c r="F753" i="11"/>
  <c r="G753" i="11"/>
  <c r="B754" i="11"/>
  <c r="D754" i="11"/>
  <c r="F754" i="11"/>
  <c r="G754" i="11"/>
  <c r="H754" i="11"/>
  <c r="B755" i="11"/>
  <c r="D755" i="11"/>
  <c r="H755" i="11" s="1"/>
  <c r="F755" i="11"/>
  <c r="G755" i="11"/>
  <c r="B756" i="11"/>
  <c r="D756" i="11"/>
  <c r="F756" i="11"/>
  <c r="G756" i="11"/>
  <c r="H756" i="11"/>
  <c r="B757" i="11"/>
  <c r="D757" i="11"/>
  <c r="H757" i="11" s="1"/>
  <c r="B758" i="11"/>
  <c r="D758" i="11"/>
  <c r="F758" i="11"/>
  <c r="G758" i="11"/>
  <c r="H758" i="11"/>
  <c r="B759" i="11"/>
  <c r="D759" i="11"/>
  <c r="H759" i="11" s="1"/>
  <c r="B760" i="11"/>
  <c r="D760" i="11"/>
  <c r="F760" i="11"/>
  <c r="G760" i="11"/>
  <c r="H760" i="11"/>
  <c r="B761" i="11"/>
  <c r="D761" i="11"/>
  <c r="H761" i="11" s="1"/>
  <c r="F761" i="11"/>
  <c r="B762" i="11"/>
  <c r="D762" i="11"/>
  <c r="F762" i="11"/>
  <c r="G762" i="11"/>
  <c r="H762" i="11"/>
  <c r="B763" i="11"/>
  <c r="D763" i="11"/>
  <c r="H763" i="11" s="1"/>
  <c r="F763" i="11"/>
  <c r="G763" i="11"/>
  <c r="B764" i="11"/>
  <c r="D764" i="11"/>
  <c r="F764" i="11"/>
  <c r="G764" i="11"/>
  <c r="H764" i="11"/>
  <c r="B765" i="11"/>
  <c r="D765" i="11"/>
  <c r="H765" i="11" s="1"/>
  <c r="F765" i="11"/>
  <c r="G765" i="11"/>
  <c r="B766" i="11"/>
  <c r="D766" i="11"/>
  <c r="F766" i="11"/>
  <c r="G766" i="11"/>
  <c r="H766" i="11"/>
  <c r="B767" i="11"/>
  <c r="D767" i="11"/>
  <c r="H767" i="11" s="1"/>
  <c r="F767" i="11"/>
  <c r="G767" i="11"/>
  <c r="B768" i="11"/>
  <c r="D768" i="11"/>
  <c r="F768" i="11"/>
  <c r="G768" i="11"/>
  <c r="H768" i="11"/>
  <c r="B769" i="11"/>
  <c r="F769" i="11" s="1"/>
  <c r="D769" i="11"/>
  <c r="H769" i="11" s="1"/>
  <c r="B770" i="11"/>
  <c r="D770" i="11"/>
  <c r="F770" i="11"/>
  <c r="G770" i="11"/>
  <c r="H770" i="11"/>
  <c r="B771" i="11"/>
  <c r="D771" i="11"/>
  <c r="H771" i="11" s="1"/>
  <c r="F771" i="11"/>
  <c r="B772" i="11"/>
  <c r="D772" i="11"/>
  <c r="F772" i="11"/>
  <c r="G772" i="11"/>
  <c r="H772" i="11"/>
  <c r="B773" i="11"/>
  <c r="D773" i="11"/>
  <c r="H773" i="11" s="1"/>
  <c r="F773" i="11"/>
  <c r="G773" i="11"/>
  <c r="B774" i="11"/>
  <c r="D774" i="11"/>
  <c r="F774" i="11"/>
  <c r="G774" i="11"/>
  <c r="H774" i="11"/>
  <c r="B775" i="11"/>
  <c r="D775" i="11"/>
  <c r="H775" i="11" s="1"/>
  <c r="F775" i="11"/>
  <c r="G775" i="11"/>
  <c r="B776" i="11"/>
  <c r="D776" i="11"/>
  <c r="F776" i="11"/>
  <c r="G776" i="11"/>
  <c r="H776" i="11"/>
  <c r="B777" i="11"/>
  <c r="D777" i="11"/>
  <c r="H777" i="11" s="1"/>
  <c r="B778" i="11"/>
  <c r="D778" i="11"/>
  <c r="F778" i="11"/>
  <c r="G778" i="11"/>
  <c r="H778" i="11"/>
  <c r="B779" i="11"/>
  <c r="D779" i="11"/>
  <c r="H779" i="11" s="1"/>
  <c r="B780" i="11"/>
  <c r="D780" i="11"/>
  <c r="F780" i="11"/>
  <c r="G780" i="11"/>
  <c r="H780" i="11"/>
  <c r="B781" i="11"/>
  <c r="G781" i="11" s="1"/>
  <c r="D781" i="11"/>
  <c r="H781" i="11" s="1"/>
  <c r="B782" i="11"/>
  <c r="D782" i="11"/>
  <c r="F782" i="11"/>
  <c r="G782" i="11"/>
  <c r="H782" i="11"/>
  <c r="B783" i="11"/>
  <c r="D783" i="11"/>
  <c r="H783" i="11" s="1"/>
  <c r="B784" i="11"/>
  <c r="D784" i="11"/>
  <c r="F784" i="11"/>
  <c r="G784" i="11"/>
  <c r="H784" i="11"/>
  <c r="B785" i="11"/>
  <c r="D785" i="11"/>
  <c r="H785" i="11" s="1"/>
  <c r="B786" i="11"/>
  <c r="D786" i="11"/>
  <c r="F786" i="11"/>
  <c r="G786" i="11"/>
  <c r="H786" i="11"/>
  <c r="B787" i="11"/>
  <c r="D787" i="11"/>
  <c r="H787" i="11" s="1"/>
  <c r="F787" i="11"/>
  <c r="B788" i="11"/>
  <c r="D788" i="11"/>
  <c r="F788" i="11"/>
  <c r="G788" i="11"/>
  <c r="H788" i="11"/>
  <c r="B789" i="11"/>
  <c r="D789" i="11"/>
  <c r="H789" i="11" s="1"/>
  <c r="F789" i="11"/>
  <c r="G789" i="11"/>
  <c r="B790" i="11"/>
  <c r="D790" i="11"/>
  <c r="F790" i="11"/>
  <c r="G790" i="11"/>
  <c r="H790" i="11"/>
  <c r="B791" i="11"/>
  <c r="D791" i="11"/>
  <c r="H791" i="11" s="1"/>
  <c r="F791" i="11"/>
  <c r="G791" i="11"/>
  <c r="B792" i="11"/>
  <c r="D792" i="11"/>
  <c r="F792" i="11"/>
  <c r="G792" i="11"/>
  <c r="H792" i="11"/>
  <c r="B793" i="11"/>
  <c r="D793" i="11"/>
  <c r="H793" i="11" s="1"/>
  <c r="F793" i="11"/>
  <c r="G793" i="11"/>
  <c r="B794" i="11"/>
  <c r="D794" i="11"/>
  <c r="F794" i="11"/>
  <c r="G794" i="11"/>
  <c r="H794" i="11"/>
  <c r="B795" i="11"/>
  <c r="D795" i="11"/>
  <c r="H795" i="11" s="1"/>
  <c r="F795" i="11"/>
  <c r="G795" i="11"/>
  <c r="B796" i="11"/>
  <c r="F796" i="11" s="1"/>
  <c r="D796" i="11"/>
  <c r="G796" i="11"/>
  <c r="H796" i="11"/>
  <c r="B797" i="11"/>
  <c r="D797" i="11"/>
  <c r="H797" i="11" s="1"/>
  <c r="B798" i="11"/>
  <c r="D798" i="11"/>
  <c r="F798" i="11"/>
  <c r="G798" i="11"/>
  <c r="H798" i="11"/>
  <c r="B799" i="11"/>
  <c r="D799" i="11"/>
  <c r="H799" i="11" s="1"/>
  <c r="B800" i="11"/>
  <c r="F800" i="11" s="1"/>
  <c r="D800" i="11"/>
  <c r="G800" i="11"/>
  <c r="H800" i="11"/>
  <c r="B801" i="11"/>
  <c r="D801" i="11"/>
  <c r="H801" i="11" s="1"/>
  <c r="F801" i="11"/>
  <c r="G801" i="11"/>
  <c r="B802" i="11"/>
  <c r="F802" i="11" s="1"/>
  <c r="D802" i="11"/>
  <c r="G802" i="11"/>
  <c r="H802" i="11"/>
  <c r="B803" i="11"/>
  <c r="D803" i="11"/>
  <c r="H803" i="11" s="1"/>
  <c r="F803" i="11"/>
  <c r="G803" i="11"/>
  <c r="B804" i="11"/>
  <c r="F804" i="11" s="1"/>
  <c r="D804" i="11"/>
  <c r="G804" i="11"/>
  <c r="H804" i="11"/>
  <c r="B805" i="11"/>
  <c r="D805" i="11"/>
  <c r="H805" i="11" s="1"/>
  <c r="F805" i="11"/>
  <c r="G805" i="11"/>
  <c r="B806" i="11"/>
  <c r="D806" i="11"/>
  <c r="F806" i="11"/>
  <c r="G806" i="11"/>
  <c r="H806" i="11"/>
  <c r="B807" i="11"/>
  <c r="D807" i="11"/>
  <c r="H807" i="11" s="1"/>
  <c r="F807" i="11"/>
  <c r="G807" i="11"/>
  <c r="B808" i="11"/>
  <c r="D808" i="11"/>
  <c r="F808" i="11"/>
  <c r="G808" i="11"/>
  <c r="H808" i="11"/>
  <c r="B809" i="11"/>
  <c r="D809" i="11"/>
  <c r="H809" i="11" s="1"/>
  <c r="B810" i="11"/>
  <c r="F810" i="11" s="1"/>
  <c r="D810" i="11"/>
  <c r="G810" i="11"/>
  <c r="H810" i="11"/>
  <c r="B811" i="11"/>
  <c r="D811" i="11"/>
  <c r="H811" i="11" s="1"/>
  <c r="F811" i="11"/>
  <c r="B812" i="11"/>
  <c r="F812" i="11" s="1"/>
  <c r="D812" i="11"/>
  <c r="G812" i="11"/>
  <c r="H812" i="11"/>
  <c r="B813" i="11"/>
  <c r="D813" i="11"/>
  <c r="H813" i="11" s="1"/>
  <c r="F813" i="11"/>
  <c r="G813" i="11"/>
  <c r="B814" i="11"/>
  <c r="F814" i="11" s="1"/>
  <c r="D814" i="11"/>
  <c r="G814" i="11"/>
  <c r="H814" i="11"/>
  <c r="B815" i="11"/>
  <c r="D815" i="11"/>
  <c r="H815" i="11" s="1"/>
  <c r="B816" i="11"/>
  <c r="F816" i="11" s="1"/>
  <c r="D816" i="11"/>
  <c r="G816" i="11"/>
  <c r="H816" i="11"/>
  <c r="B817" i="11"/>
  <c r="D817" i="11"/>
  <c r="H817" i="11" s="1"/>
  <c r="F817" i="11"/>
  <c r="G817" i="11"/>
  <c r="B818" i="11"/>
  <c r="F818" i="11" s="1"/>
  <c r="D818" i="11"/>
  <c r="G818" i="11"/>
  <c r="H818" i="11"/>
  <c r="B819" i="11"/>
  <c r="D819" i="11"/>
  <c r="H819" i="11" s="1"/>
  <c r="B820" i="11"/>
  <c r="F820" i="11" s="1"/>
  <c r="D820" i="11"/>
  <c r="G820" i="11"/>
  <c r="H820" i="11"/>
  <c r="B821" i="11"/>
  <c r="G821" i="11" s="1"/>
  <c r="D821" i="11"/>
  <c r="H821" i="11" s="1"/>
  <c r="F821" i="11"/>
  <c r="B822" i="11"/>
  <c r="F822" i="11" s="1"/>
  <c r="D822" i="11"/>
  <c r="G822" i="11"/>
  <c r="H822" i="11"/>
  <c r="B823" i="11"/>
  <c r="D823" i="11"/>
  <c r="H823" i="11" s="1"/>
  <c r="B824" i="11"/>
  <c r="F824" i="11" s="1"/>
  <c r="D824" i="11"/>
  <c r="G824" i="11"/>
  <c r="H824" i="11"/>
  <c r="B825" i="11"/>
  <c r="D825" i="11"/>
  <c r="H825" i="11" s="1"/>
  <c r="F825" i="11"/>
  <c r="G825" i="11"/>
  <c r="B826" i="11"/>
  <c r="F826" i="11" s="1"/>
  <c r="D826" i="11"/>
  <c r="G826" i="11"/>
  <c r="H826" i="11"/>
  <c r="B827" i="11"/>
  <c r="D827" i="11"/>
  <c r="H827" i="11" s="1"/>
  <c r="F827" i="11"/>
  <c r="G827" i="11"/>
  <c r="B828" i="11"/>
  <c r="F828" i="11" s="1"/>
  <c r="D828" i="11"/>
  <c r="G828" i="11"/>
  <c r="H828" i="11"/>
  <c r="B829" i="11"/>
  <c r="D829" i="11"/>
  <c r="H829" i="11" s="1"/>
  <c r="B830" i="11"/>
  <c r="F830" i="11" s="1"/>
  <c r="D830" i="11"/>
  <c r="G830" i="11"/>
  <c r="H830" i="11"/>
  <c r="B831" i="11"/>
  <c r="D831" i="11"/>
  <c r="H831" i="11" s="1"/>
  <c r="B832" i="11"/>
  <c r="F832" i="11" s="1"/>
  <c r="D832" i="11"/>
  <c r="G832" i="11"/>
  <c r="H832" i="11"/>
  <c r="B833" i="11"/>
  <c r="D833" i="11"/>
  <c r="H833" i="11" s="1"/>
  <c r="F833" i="11"/>
  <c r="G833" i="11"/>
  <c r="B834" i="11"/>
  <c r="F834" i="11" s="1"/>
  <c r="D834" i="11"/>
  <c r="G834" i="11"/>
  <c r="H834" i="11"/>
  <c r="B835" i="11"/>
  <c r="D835" i="11"/>
  <c r="F835" i="11"/>
  <c r="G835" i="11"/>
  <c r="H835" i="11"/>
  <c r="B836" i="11"/>
  <c r="F836" i="11" s="1"/>
  <c r="D836" i="11"/>
  <c r="G836" i="11"/>
  <c r="H836" i="11"/>
  <c r="B837" i="11"/>
  <c r="D837" i="11"/>
  <c r="F837" i="11"/>
  <c r="G837" i="11"/>
  <c r="H837" i="11"/>
  <c r="B838" i="11"/>
  <c r="F838" i="11" s="1"/>
  <c r="D838" i="11"/>
  <c r="G838" i="11"/>
  <c r="H838" i="11"/>
  <c r="B839" i="11"/>
  <c r="D839" i="11"/>
  <c r="F839" i="11"/>
  <c r="G839" i="11"/>
  <c r="H839" i="11"/>
  <c r="B840" i="11"/>
  <c r="F840" i="11" s="1"/>
  <c r="D840" i="11"/>
  <c r="G840" i="11"/>
  <c r="H840" i="11"/>
  <c r="B841" i="11"/>
  <c r="D841" i="11"/>
  <c r="F841" i="11"/>
  <c r="G841" i="11"/>
  <c r="H841" i="11"/>
  <c r="B842" i="11"/>
  <c r="F842" i="11" s="1"/>
  <c r="D842" i="11"/>
  <c r="G842" i="11"/>
  <c r="H842" i="11"/>
  <c r="B843" i="11"/>
  <c r="D843" i="11"/>
  <c r="F843" i="11"/>
  <c r="G843" i="11"/>
  <c r="H843" i="11"/>
  <c r="B844" i="11"/>
  <c r="F844" i="11" s="1"/>
  <c r="D844" i="11"/>
  <c r="G844" i="11"/>
  <c r="H844" i="11"/>
  <c r="B845" i="11"/>
  <c r="D845" i="11"/>
  <c r="F845" i="11"/>
  <c r="G845" i="11"/>
  <c r="H845" i="11"/>
  <c r="B846" i="11"/>
  <c r="F846" i="11" s="1"/>
  <c r="D846" i="11"/>
  <c r="G846" i="11"/>
  <c r="H846" i="11"/>
  <c r="B847" i="11"/>
  <c r="D847" i="11"/>
  <c r="H847" i="11"/>
  <c r="B848" i="11"/>
  <c r="F848" i="11" s="1"/>
  <c r="D848" i="11"/>
  <c r="G848" i="11"/>
  <c r="H848" i="11"/>
  <c r="B849" i="11"/>
  <c r="D849" i="11"/>
  <c r="H849" i="11" s="1"/>
  <c r="B850" i="11"/>
  <c r="F850" i="11" s="1"/>
  <c r="D850" i="11"/>
  <c r="G850" i="11"/>
  <c r="H850" i="11"/>
  <c r="B851" i="11"/>
  <c r="G851" i="11" s="1"/>
  <c r="D851" i="11"/>
  <c r="H851" i="11" s="1"/>
  <c r="B852" i="11"/>
  <c r="F852" i="11" s="1"/>
  <c r="D852" i="11"/>
  <c r="G852" i="11"/>
  <c r="H852" i="11"/>
  <c r="B853" i="11"/>
  <c r="D853" i="11"/>
  <c r="H853" i="11" s="1"/>
  <c r="F853" i="11"/>
  <c r="B854" i="11"/>
  <c r="F854" i="11" s="1"/>
  <c r="D854" i="11"/>
  <c r="G854" i="11"/>
  <c r="H854" i="11"/>
  <c r="B855" i="11"/>
  <c r="D855" i="11"/>
  <c r="H855" i="11" s="1"/>
  <c r="B856" i="11"/>
  <c r="F856" i="11" s="1"/>
  <c r="D856" i="11"/>
  <c r="G856" i="11"/>
  <c r="H856" i="11"/>
  <c r="B857" i="11"/>
  <c r="D857" i="11"/>
  <c r="F857" i="11"/>
  <c r="B858" i="11"/>
  <c r="F858" i="11" s="1"/>
  <c r="D858" i="11"/>
  <c r="G858" i="11"/>
  <c r="H858" i="11"/>
  <c r="B859" i="11"/>
  <c r="D859" i="11"/>
  <c r="F859" i="11"/>
  <c r="G859" i="11"/>
  <c r="H859" i="11"/>
  <c r="B860" i="11"/>
  <c r="F860" i="11" s="1"/>
  <c r="D860" i="11"/>
  <c r="G860" i="11"/>
  <c r="H860" i="11"/>
  <c r="B861" i="11"/>
  <c r="D861" i="11"/>
  <c r="F861" i="11"/>
  <c r="G861" i="11"/>
  <c r="H861" i="11"/>
  <c r="B862" i="11"/>
  <c r="F862" i="11" s="1"/>
  <c r="D862" i="11"/>
  <c r="G862" i="11"/>
  <c r="H862" i="11"/>
  <c r="B863" i="11"/>
  <c r="D863" i="11"/>
  <c r="F863" i="11"/>
  <c r="G863" i="11"/>
  <c r="H863" i="11"/>
  <c r="B864" i="11"/>
  <c r="F864" i="11" s="1"/>
  <c r="D864" i="11"/>
  <c r="G864" i="11"/>
  <c r="H864" i="11"/>
  <c r="B865" i="11"/>
  <c r="D865" i="11"/>
  <c r="F865" i="11"/>
  <c r="G865" i="11"/>
  <c r="H865" i="11"/>
  <c r="B866" i="11"/>
  <c r="F866" i="11" s="1"/>
  <c r="D866" i="11"/>
  <c r="G866" i="11"/>
  <c r="H866" i="11"/>
  <c r="B867" i="11"/>
  <c r="D867" i="11"/>
  <c r="H867" i="11"/>
  <c r="B868" i="11"/>
  <c r="F868" i="11" s="1"/>
  <c r="D868" i="11"/>
  <c r="G868" i="11"/>
  <c r="H868" i="11"/>
  <c r="B869" i="11"/>
  <c r="D869" i="11"/>
  <c r="H869" i="11" s="1"/>
  <c r="B870" i="11"/>
  <c r="F870" i="11" s="1"/>
  <c r="D870" i="11"/>
  <c r="G870" i="11"/>
  <c r="H870" i="11"/>
  <c r="B871" i="11"/>
  <c r="D871" i="11"/>
  <c r="H871" i="11" s="1"/>
  <c r="F871" i="11"/>
  <c r="B872" i="11"/>
  <c r="F872" i="11" s="1"/>
  <c r="D872" i="11"/>
  <c r="G872" i="11"/>
  <c r="H872" i="11"/>
  <c r="B873" i="11"/>
  <c r="D873" i="11"/>
  <c r="H873" i="11" s="1"/>
  <c r="B874" i="11"/>
  <c r="F874" i="11" s="1"/>
  <c r="D874" i="11"/>
  <c r="G874" i="11"/>
  <c r="H874" i="11"/>
  <c r="B875" i="11"/>
  <c r="D875" i="11"/>
  <c r="H875" i="11" s="1"/>
  <c r="B876" i="11"/>
  <c r="F876" i="11" s="1"/>
  <c r="D876" i="11"/>
  <c r="G876" i="11"/>
  <c r="H876" i="11"/>
  <c r="B877" i="11"/>
  <c r="F877" i="11" s="1"/>
  <c r="D877" i="11"/>
  <c r="H877" i="11" s="1"/>
  <c r="B878" i="11"/>
  <c r="F878" i="11" s="1"/>
  <c r="D878" i="11"/>
  <c r="G878" i="11"/>
  <c r="H878" i="11"/>
  <c r="B879" i="11"/>
  <c r="D879" i="11"/>
  <c r="F879" i="11"/>
  <c r="G879" i="11"/>
  <c r="H879" i="11"/>
  <c r="B880" i="11"/>
  <c r="D880" i="11"/>
  <c r="H880" i="11"/>
  <c r="B881" i="11"/>
  <c r="D881" i="11"/>
  <c r="F881" i="11"/>
  <c r="G881" i="11"/>
  <c r="H881" i="11"/>
  <c r="B882" i="11"/>
  <c r="D882" i="11"/>
  <c r="H882" i="11" s="1"/>
  <c r="B883" i="11"/>
  <c r="D883" i="11"/>
  <c r="F883" i="11"/>
  <c r="G883" i="11"/>
  <c r="H883" i="11"/>
  <c r="B884" i="11"/>
  <c r="F884" i="11" s="1"/>
  <c r="D884" i="11"/>
  <c r="G884" i="11"/>
  <c r="H884" i="11"/>
  <c r="B885" i="11"/>
  <c r="D885" i="11"/>
  <c r="F885" i="11"/>
  <c r="G885" i="11"/>
  <c r="H885" i="11"/>
  <c r="B886" i="11"/>
  <c r="F886" i="11" s="1"/>
  <c r="D886" i="11"/>
  <c r="G886" i="11"/>
  <c r="H886" i="11"/>
  <c r="B887" i="11"/>
  <c r="D887" i="11"/>
  <c r="H887" i="11"/>
  <c r="B888" i="11"/>
  <c r="F888" i="11" s="1"/>
  <c r="D888" i="11"/>
  <c r="G888" i="11"/>
  <c r="H888" i="11"/>
  <c r="B889" i="11"/>
  <c r="D889" i="11"/>
  <c r="H889" i="11" s="1"/>
  <c r="B890" i="11"/>
  <c r="D890" i="11"/>
  <c r="H890" i="11" s="1"/>
  <c r="B891" i="11"/>
  <c r="D891" i="11"/>
  <c r="H891" i="11" s="1"/>
  <c r="F891" i="11"/>
  <c r="B892" i="11"/>
  <c r="F892" i="11" s="1"/>
  <c r="D892" i="11"/>
  <c r="G892" i="11"/>
  <c r="H892" i="11"/>
  <c r="B893" i="11"/>
  <c r="D893" i="11"/>
  <c r="H893" i="11" s="1"/>
  <c r="B894" i="11"/>
  <c r="F894" i="11" s="1"/>
  <c r="D894" i="11"/>
  <c r="H894" i="11" s="1"/>
  <c r="B895" i="11"/>
  <c r="D895" i="11"/>
  <c r="H895" i="11" s="1"/>
  <c r="F895" i="11"/>
  <c r="B896" i="11"/>
  <c r="F896" i="11" s="1"/>
  <c r="D896" i="11"/>
  <c r="G896" i="11"/>
  <c r="H896" i="11"/>
  <c r="B897" i="11"/>
  <c r="D897" i="11"/>
  <c r="H897" i="11" s="1"/>
  <c r="B898" i="11"/>
  <c r="F898" i="11" s="1"/>
  <c r="D898" i="11"/>
  <c r="G898" i="11"/>
  <c r="H898" i="11"/>
  <c r="B899" i="11"/>
  <c r="D899" i="11"/>
  <c r="H899" i="11" s="1"/>
  <c r="F899" i="11"/>
  <c r="G899" i="11"/>
  <c r="B900" i="11"/>
  <c r="D900" i="11"/>
  <c r="H900" i="11" s="1"/>
  <c r="B901" i="11"/>
  <c r="D901" i="11"/>
  <c r="F901" i="11"/>
  <c r="G901" i="11"/>
  <c r="H901" i="11"/>
  <c r="B902" i="11"/>
  <c r="D902" i="11"/>
  <c r="H902" i="11" s="1"/>
  <c r="B903" i="11"/>
  <c r="D903" i="11"/>
  <c r="F903" i="11"/>
  <c r="G903" i="11"/>
  <c r="H903" i="11"/>
  <c r="B904" i="11"/>
  <c r="F904" i="11" s="1"/>
  <c r="D904" i="11"/>
  <c r="G904" i="11"/>
  <c r="H904" i="11"/>
  <c r="B905" i="11"/>
  <c r="D905" i="11"/>
  <c r="F905" i="11"/>
  <c r="G905" i="11"/>
  <c r="H905" i="11"/>
  <c r="B906" i="11"/>
  <c r="F906" i="11" s="1"/>
  <c r="D906" i="11"/>
  <c r="G906" i="11"/>
  <c r="H906" i="11"/>
  <c r="B907" i="11"/>
  <c r="D907" i="11"/>
  <c r="H907" i="11"/>
  <c r="B908" i="11"/>
  <c r="F908" i="11" s="1"/>
  <c r="D908" i="11"/>
  <c r="G908" i="11"/>
  <c r="H908" i="11"/>
  <c r="B909" i="11"/>
  <c r="D909" i="11"/>
  <c r="H909" i="11" s="1"/>
  <c r="B910" i="11"/>
  <c r="F910" i="11" s="1"/>
  <c r="D910" i="11"/>
  <c r="G910" i="11"/>
  <c r="H910" i="11"/>
  <c r="B911" i="11"/>
  <c r="D911" i="11"/>
  <c r="F911" i="11"/>
  <c r="H911" i="11"/>
  <c r="B912" i="11"/>
  <c r="F912" i="11" s="1"/>
  <c r="D912" i="11"/>
  <c r="H912" i="11"/>
  <c r="B913" i="11"/>
  <c r="D913" i="11"/>
  <c r="H913" i="11" s="1"/>
  <c r="B914" i="11"/>
  <c r="D914" i="11"/>
  <c r="H914" i="11" s="1"/>
  <c r="B915" i="11"/>
  <c r="D915" i="11"/>
  <c r="F915" i="11"/>
  <c r="G915" i="11"/>
  <c r="H915" i="11"/>
  <c r="B916" i="11"/>
  <c r="F916" i="11" s="1"/>
  <c r="D916" i="11"/>
  <c r="H916" i="11" s="1"/>
  <c r="B917" i="11"/>
  <c r="D917" i="11"/>
  <c r="F917" i="11"/>
  <c r="G917" i="11"/>
  <c r="H917" i="11"/>
  <c r="B918" i="11"/>
  <c r="F918" i="11" s="1"/>
  <c r="D918" i="11"/>
  <c r="G918" i="11"/>
  <c r="H918" i="11"/>
  <c r="B919" i="11"/>
  <c r="F919" i="11" s="1"/>
  <c r="D919" i="11"/>
  <c r="H919" i="11"/>
  <c r="B920" i="11"/>
  <c r="D920" i="11"/>
  <c r="H920" i="11"/>
  <c r="B921" i="11"/>
  <c r="D921" i="11"/>
  <c r="H921" i="11" s="1"/>
  <c r="B922" i="11"/>
  <c r="F922" i="11" s="1"/>
  <c r="D922" i="11"/>
  <c r="H922" i="11" s="1"/>
  <c r="B923" i="11"/>
  <c r="D923" i="11"/>
  <c r="H923" i="11" s="1"/>
  <c r="F923" i="11"/>
  <c r="G923" i="11"/>
  <c r="B924" i="11"/>
  <c r="F924" i="11" s="1"/>
  <c r="D924" i="11"/>
  <c r="G924" i="11"/>
  <c r="H924" i="11"/>
  <c r="B925" i="11"/>
  <c r="D925" i="11"/>
  <c r="F925" i="11"/>
  <c r="G925" i="11"/>
  <c r="H925" i="11"/>
  <c r="B926" i="11"/>
  <c r="F926" i="11" s="1"/>
  <c r="D926" i="11"/>
  <c r="H926" i="11"/>
  <c r="B927" i="11"/>
  <c r="D927" i="11"/>
  <c r="H927" i="11"/>
  <c r="B928" i="11"/>
  <c r="D928" i="11"/>
  <c r="H928" i="11" s="1"/>
  <c r="B929" i="11"/>
  <c r="F929" i="11" s="1"/>
  <c r="D929" i="11"/>
  <c r="H929" i="11" s="1"/>
  <c r="G929" i="11"/>
  <c r="B930" i="11"/>
  <c r="D930" i="11"/>
  <c r="H930" i="11" s="1"/>
  <c r="B931" i="11"/>
  <c r="G931" i="11" s="1"/>
  <c r="D931" i="11"/>
  <c r="F931" i="11"/>
  <c r="H931" i="11"/>
  <c r="B932" i="11"/>
  <c r="F932" i="11" s="1"/>
  <c r="D932" i="11"/>
  <c r="H932" i="11" s="1"/>
  <c r="G932" i="11"/>
  <c r="B933" i="11"/>
  <c r="D933" i="11"/>
  <c r="H933" i="11" s="1"/>
  <c r="B934" i="11"/>
  <c r="F934" i="11" s="1"/>
  <c r="D934" i="11"/>
  <c r="G934" i="11"/>
  <c r="H934" i="11"/>
  <c r="B935" i="11"/>
  <c r="D935" i="11"/>
  <c r="H935" i="11" s="1"/>
  <c r="F935" i="11"/>
  <c r="B936" i="11"/>
  <c r="F936" i="11" s="1"/>
  <c r="D936" i="11"/>
  <c r="G936" i="11"/>
  <c r="H936" i="11"/>
  <c r="B937" i="11"/>
  <c r="D937" i="11"/>
  <c r="H937" i="11" s="1"/>
  <c r="F937" i="11"/>
  <c r="G937" i="11"/>
  <c r="B938" i="11"/>
  <c r="F938" i="11" s="1"/>
  <c r="D938" i="11"/>
  <c r="G938" i="11"/>
  <c r="H938" i="11"/>
  <c r="B939" i="11"/>
  <c r="D939" i="11"/>
  <c r="F939" i="11"/>
  <c r="G939" i="11"/>
  <c r="H939" i="11"/>
  <c r="B940" i="11"/>
  <c r="D940" i="11"/>
  <c r="H940" i="11" s="1"/>
  <c r="B941" i="11"/>
  <c r="D941" i="11"/>
  <c r="F941" i="11"/>
  <c r="B942" i="11"/>
  <c r="D942" i="11"/>
  <c r="H942" i="11" s="1"/>
  <c r="B943" i="11"/>
  <c r="D943" i="11"/>
  <c r="F943" i="11"/>
  <c r="G943" i="11"/>
  <c r="H943" i="11"/>
  <c r="B944" i="11"/>
  <c r="F944" i="11" s="1"/>
  <c r="D944" i="11"/>
  <c r="H944" i="11"/>
  <c r="B945" i="11"/>
  <c r="D945" i="11"/>
  <c r="F945" i="11"/>
  <c r="G945" i="11"/>
  <c r="H945" i="11"/>
  <c r="B946" i="11"/>
  <c r="D946" i="11"/>
  <c r="H946" i="11" s="1"/>
  <c r="B947" i="11"/>
  <c r="D947" i="11"/>
  <c r="H947" i="11"/>
  <c r="B948" i="11"/>
  <c r="F948" i="11" s="1"/>
  <c r="D948" i="11"/>
  <c r="G948" i="11"/>
  <c r="H948" i="11"/>
  <c r="B949" i="11"/>
  <c r="D949" i="11"/>
  <c r="H949" i="11" s="1"/>
  <c r="B950" i="11"/>
  <c r="F950" i="11" s="1"/>
  <c r="D950" i="11"/>
  <c r="G950" i="11"/>
  <c r="H950" i="11"/>
  <c r="B951" i="11"/>
  <c r="D951" i="11"/>
  <c r="F951" i="11"/>
  <c r="H951" i="11"/>
  <c r="B952" i="11"/>
  <c r="F952" i="11" s="1"/>
  <c r="D952" i="11"/>
  <c r="H952" i="11"/>
  <c r="B953" i="11"/>
  <c r="D953" i="11"/>
  <c r="H953" i="11" s="1"/>
  <c r="F953" i="11"/>
  <c r="G953" i="11"/>
  <c r="B954" i="11"/>
  <c r="D954" i="11"/>
  <c r="H954" i="11" s="1"/>
  <c r="B955" i="11"/>
  <c r="D955" i="11"/>
  <c r="F955" i="11"/>
  <c r="G955" i="11"/>
  <c r="H955" i="11"/>
  <c r="B956" i="11"/>
  <c r="F956" i="11" s="1"/>
  <c r="D956" i="11"/>
  <c r="H956" i="11" s="1"/>
  <c r="G956" i="11"/>
  <c r="B957" i="11"/>
  <c r="D957" i="11"/>
  <c r="F957" i="11"/>
  <c r="G957" i="11"/>
  <c r="H957" i="11"/>
  <c r="B958" i="11"/>
  <c r="F958" i="11" s="1"/>
  <c r="D958" i="11"/>
  <c r="G958" i="11"/>
  <c r="H958" i="11"/>
  <c r="B959" i="11"/>
  <c r="F959" i="11" s="1"/>
  <c r="D959" i="11"/>
  <c r="H959" i="11"/>
  <c r="B960" i="11"/>
  <c r="D960" i="11"/>
  <c r="H960" i="11" s="1"/>
  <c r="B961" i="11"/>
  <c r="D961" i="11"/>
  <c r="H961" i="11" s="1"/>
  <c r="B962" i="11"/>
  <c r="F962" i="11" s="1"/>
  <c r="D962" i="11"/>
  <c r="H962" i="11" s="1"/>
  <c r="G962" i="11"/>
  <c r="B963" i="11"/>
  <c r="D963" i="11"/>
  <c r="H963" i="11" s="1"/>
  <c r="F963" i="11"/>
  <c r="B964" i="11"/>
  <c r="F964" i="11" s="1"/>
  <c r="D964" i="11"/>
  <c r="G964" i="11"/>
  <c r="H964" i="11"/>
  <c r="B965" i="11"/>
  <c r="D965" i="11"/>
  <c r="G965" i="11" s="1"/>
  <c r="F965" i="11"/>
  <c r="B966" i="11"/>
  <c r="F966" i="11" s="1"/>
  <c r="D966" i="11"/>
  <c r="H966" i="11"/>
  <c r="B967" i="11"/>
  <c r="D967" i="11"/>
  <c r="F967" i="11"/>
  <c r="G967" i="11"/>
  <c r="H967" i="11"/>
  <c r="B968" i="11"/>
  <c r="D968" i="11"/>
  <c r="H968" i="11" s="1"/>
  <c r="B969" i="11"/>
  <c r="F969" i="11" s="1"/>
  <c r="D969" i="11"/>
  <c r="G969" i="11"/>
  <c r="H969" i="11"/>
  <c r="B970" i="11"/>
  <c r="D970" i="11"/>
  <c r="H970" i="11" s="1"/>
  <c r="F970" i="11"/>
  <c r="B971" i="11"/>
  <c r="F971" i="11" s="1"/>
  <c r="D971" i="11"/>
  <c r="G971" i="11"/>
  <c r="H971" i="11"/>
  <c r="B972" i="11"/>
  <c r="D972" i="11"/>
  <c r="H972" i="11" s="1"/>
  <c r="F972" i="11"/>
  <c r="G972" i="11"/>
  <c r="B973" i="11"/>
  <c r="F973" i="11" s="1"/>
  <c r="D973" i="11"/>
  <c r="G973" i="11"/>
  <c r="H973" i="11"/>
  <c r="B974" i="11"/>
  <c r="D974" i="11"/>
  <c r="H974" i="11" s="1"/>
  <c r="B975" i="11"/>
  <c r="F975" i="11" s="1"/>
  <c r="D975" i="11"/>
  <c r="H975" i="11"/>
  <c r="B976" i="11"/>
  <c r="F976" i="11" s="1"/>
  <c r="D976" i="11"/>
  <c r="H976" i="11" s="1"/>
  <c r="B977" i="11"/>
  <c r="D977" i="11"/>
  <c r="H977" i="11" s="1"/>
  <c r="B978" i="11"/>
  <c r="D978" i="11"/>
  <c r="F978" i="11"/>
  <c r="G978" i="11"/>
  <c r="H978" i="11"/>
  <c r="B979" i="11"/>
  <c r="D979" i="11"/>
  <c r="H979" i="11" s="1"/>
  <c r="B980" i="11"/>
  <c r="D980" i="11"/>
  <c r="F980" i="11"/>
  <c r="G980" i="11"/>
  <c r="H980" i="11"/>
  <c r="B981" i="11"/>
  <c r="F981" i="11" s="1"/>
  <c r="D981" i="11"/>
  <c r="H981" i="11" s="1"/>
  <c r="G981" i="11"/>
  <c r="B982" i="11"/>
  <c r="D982" i="11"/>
  <c r="F982" i="11"/>
  <c r="G982" i="11"/>
  <c r="H982" i="11"/>
  <c r="B983" i="11"/>
  <c r="F983" i="11" s="1"/>
  <c r="D983" i="11"/>
  <c r="G983" i="11"/>
  <c r="H983" i="11"/>
  <c r="B984" i="11"/>
  <c r="F984" i="11" s="1"/>
  <c r="D984" i="11"/>
  <c r="H984" i="11"/>
  <c r="B985" i="11"/>
  <c r="F985" i="11" s="1"/>
  <c r="D985" i="11"/>
  <c r="G985" i="11"/>
  <c r="H985" i="11"/>
  <c r="B986" i="11"/>
  <c r="D986" i="11"/>
  <c r="H986" i="11" s="1"/>
  <c r="B987" i="11"/>
  <c r="F987" i="11" s="1"/>
  <c r="D987" i="11"/>
  <c r="H987" i="11" s="1"/>
  <c r="G987" i="11"/>
  <c r="B988" i="11"/>
  <c r="D988" i="11"/>
  <c r="H988" i="11" s="1"/>
  <c r="B989" i="11"/>
  <c r="F989" i="11" s="1"/>
  <c r="D989" i="11"/>
  <c r="G989" i="11"/>
  <c r="H989" i="11"/>
  <c r="B990" i="11"/>
  <c r="D990" i="11"/>
  <c r="H990" i="11" s="1"/>
  <c r="F990" i="11"/>
  <c r="B991" i="11"/>
  <c r="F991" i="11" s="1"/>
  <c r="D991" i="11"/>
  <c r="G991" i="11"/>
  <c r="H991" i="11"/>
  <c r="B992" i="11"/>
  <c r="D992" i="11"/>
  <c r="H992" i="11" s="1"/>
  <c r="F992" i="11"/>
  <c r="G992" i="11"/>
  <c r="B993" i="11"/>
  <c r="F993" i="11" s="1"/>
  <c r="D993" i="11"/>
  <c r="G993" i="11"/>
  <c r="H993" i="11"/>
  <c r="B994" i="11"/>
  <c r="D994" i="11"/>
  <c r="F994" i="11"/>
  <c r="G994" i="11"/>
  <c r="H994" i="11"/>
  <c r="B995" i="11"/>
  <c r="F995" i="11" s="1"/>
  <c r="D995" i="11"/>
  <c r="H995" i="11"/>
  <c r="B996" i="11"/>
  <c r="F996" i="11" s="1"/>
  <c r="D996" i="11"/>
  <c r="H996" i="11"/>
  <c r="B997" i="11"/>
  <c r="D997" i="11"/>
  <c r="H997" i="11" s="1"/>
  <c r="B998" i="11"/>
  <c r="D998" i="11"/>
  <c r="F998" i="11"/>
  <c r="B999" i="11"/>
  <c r="D999" i="11"/>
  <c r="H999" i="11" s="1"/>
  <c r="B1000" i="11"/>
  <c r="D1000" i="11"/>
  <c r="F1000" i="11"/>
  <c r="G1000" i="11"/>
  <c r="H1000" i="11"/>
  <c r="B1001" i="11"/>
  <c r="D1001" i="11"/>
  <c r="H1001" i="11" s="1"/>
  <c r="B1002" i="11"/>
  <c r="D1002" i="11"/>
  <c r="F1002" i="11"/>
  <c r="G1002" i="11"/>
  <c r="H1002" i="11"/>
  <c r="B1003" i="11"/>
  <c r="F1003" i="11" s="1"/>
  <c r="D1003" i="11"/>
  <c r="H1003" i="11" s="1"/>
  <c r="B1004" i="11"/>
  <c r="F1004" i="11" s="1"/>
  <c r="D1004" i="11"/>
  <c r="H1004" i="11"/>
  <c r="B1005" i="11"/>
  <c r="F1005" i="11" s="1"/>
  <c r="D1005" i="11"/>
  <c r="G1005" i="11"/>
  <c r="H1005" i="11"/>
  <c r="B1006" i="11"/>
  <c r="D1006" i="11"/>
  <c r="H1006" i="11" s="1"/>
  <c r="B1007" i="11"/>
  <c r="F1007" i="11" s="1"/>
  <c r="D1007" i="11"/>
  <c r="H1007" i="11"/>
  <c r="B1008" i="11"/>
  <c r="D1008" i="11"/>
  <c r="H1008" i="11" s="1"/>
  <c r="B1009" i="11"/>
  <c r="F1009" i="11" s="1"/>
  <c r="D1009" i="11"/>
  <c r="H1009" i="11" s="1"/>
  <c r="G1009" i="11"/>
  <c r="B1010" i="11"/>
  <c r="G1010" i="11" s="1"/>
  <c r="D1010" i="11"/>
  <c r="H1010" i="11" s="1"/>
  <c r="B1011" i="11"/>
  <c r="F1011" i="11" s="1"/>
  <c r="D1011" i="11"/>
  <c r="G1011" i="11"/>
  <c r="H1011" i="11"/>
  <c r="B1012" i="11"/>
  <c r="D1012" i="11"/>
  <c r="H1012" i="11" s="1"/>
  <c r="F1012" i="11"/>
  <c r="B1013" i="11"/>
  <c r="F1013" i="11" s="1"/>
  <c r="D1013" i="11"/>
  <c r="G1013" i="11"/>
  <c r="H1013" i="11"/>
  <c r="B1014" i="11"/>
  <c r="D1014" i="11"/>
  <c r="F1014" i="11"/>
  <c r="G1014" i="11"/>
  <c r="H1014" i="11"/>
  <c r="B1015" i="11"/>
  <c r="F1015" i="11" s="1"/>
  <c r="D1015" i="11"/>
  <c r="H1015" i="11"/>
  <c r="B1016" i="11"/>
  <c r="D1016" i="11"/>
  <c r="F1016" i="11"/>
  <c r="G1016" i="11"/>
  <c r="H1016" i="11"/>
  <c r="B1017" i="11"/>
  <c r="D1017" i="11"/>
  <c r="H1017" i="11" s="1"/>
  <c r="B1018" i="11"/>
  <c r="D1018" i="11"/>
  <c r="F1018" i="11"/>
  <c r="G1018" i="11"/>
  <c r="H1018" i="11"/>
  <c r="B1019" i="11"/>
  <c r="D1019" i="11"/>
  <c r="H1019" i="11" s="1"/>
  <c r="B1020" i="11"/>
  <c r="D1020" i="11"/>
  <c r="F1020" i="11"/>
  <c r="G1020" i="11"/>
  <c r="H1020" i="11"/>
  <c r="B1021" i="11"/>
  <c r="F1021" i="11" s="1"/>
  <c r="D1021" i="11"/>
  <c r="H1021" i="11" s="1"/>
  <c r="G1021" i="11"/>
  <c r="B1022" i="11"/>
  <c r="D1022" i="11"/>
  <c r="F1022" i="11"/>
  <c r="G1022" i="11"/>
  <c r="H1022" i="11"/>
  <c r="B1023" i="11"/>
  <c r="F1023" i="11" s="1"/>
  <c r="D1023" i="11"/>
  <c r="H1023" i="11"/>
  <c r="B1024" i="11"/>
  <c r="F1024" i="11" s="1"/>
  <c r="D1024" i="11"/>
  <c r="H1024" i="11"/>
  <c r="B1025" i="11"/>
  <c r="F1025" i="11" s="1"/>
  <c r="D1025" i="11"/>
  <c r="H1025" i="11" s="1"/>
  <c r="G1025" i="11"/>
  <c r="B1026" i="11"/>
  <c r="D1026" i="11"/>
  <c r="H1026" i="11" s="1"/>
  <c r="B1027" i="11"/>
  <c r="F1027" i="11" s="1"/>
  <c r="D1027" i="11"/>
  <c r="G1027" i="11"/>
  <c r="H1027" i="11"/>
  <c r="B1028" i="11"/>
  <c r="D1028" i="11"/>
  <c r="H1028" i="11" s="1"/>
  <c r="B1029" i="11"/>
  <c r="F1029" i="11" s="1"/>
  <c r="D1029" i="11"/>
  <c r="G1029" i="11" s="1"/>
  <c r="B1030" i="11"/>
  <c r="D1030" i="11"/>
  <c r="H1030" i="11" s="1"/>
  <c r="F1030" i="11"/>
  <c r="B1031" i="11"/>
  <c r="F1031" i="11" s="1"/>
  <c r="D1031" i="11"/>
  <c r="G1031" i="11"/>
  <c r="H1031" i="11"/>
  <c r="B1032" i="11"/>
  <c r="F1032" i="11" s="1"/>
  <c r="D1032" i="11"/>
  <c r="H1032" i="11" s="1"/>
  <c r="B1033" i="11"/>
  <c r="F1033" i="11" s="1"/>
  <c r="D1033" i="11"/>
  <c r="G1033" i="11"/>
  <c r="H1033" i="11"/>
  <c r="B1034" i="11"/>
  <c r="D1034" i="11"/>
  <c r="H1034" i="11" s="1"/>
  <c r="B1035" i="11"/>
  <c r="F1035" i="11" s="1"/>
  <c r="D1035" i="11"/>
  <c r="H1035" i="11"/>
  <c r="B1036" i="11"/>
  <c r="D1036" i="11"/>
  <c r="H1036" i="11" s="1"/>
  <c r="F1036" i="11"/>
  <c r="G1036" i="11"/>
  <c r="B1037" i="11"/>
  <c r="D1037" i="11"/>
  <c r="H1037" i="11" s="1"/>
  <c r="B1038" i="11"/>
  <c r="D1038" i="11"/>
  <c r="F1038" i="11"/>
  <c r="G1038" i="11"/>
  <c r="H1038" i="11"/>
  <c r="B1039" i="11"/>
  <c r="D1039" i="11"/>
  <c r="H1039" i="11" s="1"/>
  <c r="B1040" i="11"/>
  <c r="D1040" i="11"/>
  <c r="F1040" i="11"/>
  <c r="G1040" i="11"/>
  <c r="H1040" i="11"/>
  <c r="B1041" i="11"/>
  <c r="F1041" i="11" s="1"/>
  <c r="D1041" i="11"/>
  <c r="H1041" i="11" s="1"/>
  <c r="G1041" i="11"/>
  <c r="B1042" i="11"/>
  <c r="D1042" i="11"/>
  <c r="F1042" i="11"/>
  <c r="G1042" i="11"/>
  <c r="H1042" i="11"/>
  <c r="B1043" i="11"/>
  <c r="F1043" i="11" s="1"/>
  <c r="D1043" i="11"/>
  <c r="G1043" i="11"/>
  <c r="H1043" i="11"/>
  <c r="B1044" i="11"/>
  <c r="F1044" i="11" s="1"/>
  <c r="D1044" i="11"/>
  <c r="H1044" i="11"/>
  <c r="B1045" i="11"/>
  <c r="F1045" i="11" s="1"/>
  <c r="D1045" i="11"/>
  <c r="H1045" i="11"/>
  <c r="B1046" i="11"/>
  <c r="D1046" i="11"/>
  <c r="H1046" i="11" s="1"/>
  <c r="B1047" i="11"/>
  <c r="F1047" i="11" s="1"/>
  <c r="D1047" i="11"/>
  <c r="G1047" i="11"/>
  <c r="H1047" i="11"/>
  <c r="B1048" i="11"/>
  <c r="D1048" i="11"/>
  <c r="H1048" i="11" s="1"/>
  <c r="B1049" i="11"/>
  <c r="F1049" i="11" s="1"/>
  <c r="D1049" i="11"/>
  <c r="G1049" i="11"/>
  <c r="H1049" i="11"/>
  <c r="B1050" i="11"/>
  <c r="D1050" i="11"/>
  <c r="H1050" i="11" s="1"/>
  <c r="F1050" i="11"/>
  <c r="B1051" i="11"/>
  <c r="D1051" i="11"/>
  <c r="F1051" i="11"/>
  <c r="G1051" i="11"/>
  <c r="H1051" i="11"/>
  <c r="B1052" i="11"/>
  <c r="D1052" i="11"/>
  <c r="H1052" i="11" s="1"/>
  <c r="F1052" i="11"/>
  <c r="B1053" i="11"/>
  <c r="D1053" i="11"/>
  <c r="F1053" i="11"/>
  <c r="G1053" i="11"/>
  <c r="H1053" i="11"/>
  <c r="B1054" i="11"/>
  <c r="D1054" i="11"/>
  <c r="H1054" i="11" s="1"/>
  <c r="F1054" i="11"/>
  <c r="B1055" i="11"/>
  <c r="D1055" i="11"/>
  <c r="F1055" i="11"/>
  <c r="G1055" i="11"/>
  <c r="H1055" i="11"/>
  <c r="B1056" i="11"/>
  <c r="G1056" i="11" s="1"/>
  <c r="D1056" i="11"/>
  <c r="H1056" i="11" s="1"/>
  <c r="B1057" i="11"/>
  <c r="D1057" i="11"/>
  <c r="F1057" i="11"/>
  <c r="G1057" i="11"/>
  <c r="H1057" i="11"/>
  <c r="B1058" i="11"/>
  <c r="D1058" i="11"/>
  <c r="H1058" i="11" s="1"/>
  <c r="B1059" i="11"/>
  <c r="D1059" i="11"/>
  <c r="F1059" i="11"/>
  <c r="G1059" i="11"/>
  <c r="H1059" i="11"/>
  <c r="B1060" i="11"/>
  <c r="D1060" i="11"/>
  <c r="H1060" i="11" s="1"/>
  <c r="F1060" i="11"/>
  <c r="B1061" i="11"/>
  <c r="D1061" i="11"/>
  <c r="F1061" i="11"/>
  <c r="G1061" i="11"/>
  <c r="H1061" i="11"/>
  <c r="B1062" i="11"/>
  <c r="G1062" i="11" s="1"/>
  <c r="D1062" i="11"/>
  <c r="H1062" i="11" s="1"/>
  <c r="B1063" i="11"/>
  <c r="D1063" i="11"/>
  <c r="F1063" i="11"/>
  <c r="G1063" i="11"/>
  <c r="H1063" i="11"/>
  <c r="B1064" i="11"/>
  <c r="D1064" i="11"/>
  <c r="H1064" i="11" s="1"/>
  <c r="F1064" i="11"/>
  <c r="G1064" i="11"/>
  <c r="B1065" i="11"/>
  <c r="D1065" i="11"/>
  <c r="F1065" i="11"/>
  <c r="G1065" i="11"/>
  <c r="H1065" i="11"/>
  <c r="B1066" i="11"/>
  <c r="D1066" i="11"/>
  <c r="H1066" i="11" s="1"/>
  <c r="F1066" i="11"/>
  <c r="G1066" i="11"/>
  <c r="B1067" i="11"/>
  <c r="D1067" i="11"/>
  <c r="F1067" i="11"/>
  <c r="G1067" i="11"/>
  <c r="H1067" i="11"/>
  <c r="B1068" i="11"/>
  <c r="F1068" i="11" s="1"/>
  <c r="D1068" i="11"/>
  <c r="H1068" i="11" s="1"/>
  <c r="B1069" i="11"/>
  <c r="D1069" i="11"/>
  <c r="F1069" i="11"/>
  <c r="G1069" i="11"/>
  <c r="H1069" i="11"/>
  <c r="B1070" i="11"/>
  <c r="D1070" i="11"/>
  <c r="H1070" i="11" s="1"/>
  <c r="B1071" i="11"/>
  <c r="D1071" i="11"/>
  <c r="F1071" i="11"/>
  <c r="G1071" i="11"/>
  <c r="H1071" i="11"/>
  <c r="B1072" i="11"/>
  <c r="D1072" i="11"/>
  <c r="H1072" i="11" s="1"/>
  <c r="B1073" i="11"/>
  <c r="D1073" i="11"/>
  <c r="F1073" i="11"/>
  <c r="G1073" i="11"/>
  <c r="H1073" i="11"/>
  <c r="B1074" i="11"/>
  <c r="D1074" i="11"/>
  <c r="H1074" i="11" s="1"/>
  <c r="F1074" i="11"/>
  <c r="B1075" i="11"/>
  <c r="D1075" i="11"/>
  <c r="F1075" i="11"/>
  <c r="G1075" i="11"/>
  <c r="H1075" i="11"/>
  <c r="B1076" i="11"/>
  <c r="D1076" i="11"/>
  <c r="H1076" i="11" s="1"/>
  <c r="F1076" i="11"/>
  <c r="G1076" i="11"/>
  <c r="B1077" i="11"/>
  <c r="D1077" i="11"/>
  <c r="F1077" i="11"/>
  <c r="G1077" i="11"/>
  <c r="H1077" i="11"/>
  <c r="B1078" i="11"/>
  <c r="D1078" i="11"/>
  <c r="H1078" i="11" s="1"/>
  <c r="F1078" i="11"/>
  <c r="G1078" i="11"/>
  <c r="B1079" i="11"/>
  <c r="D1079" i="11"/>
  <c r="F1079" i="11"/>
  <c r="G1079" i="11"/>
  <c r="H1079" i="11"/>
  <c r="B1080" i="11"/>
  <c r="D1080" i="11"/>
  <c r="H1080" i="11" s="1"/>
  <c r="F1080" i="11"/>
  <c r="G1080" i="11"/>
  <c r="B1081" i="11"/>
  <c r="D1081" i="11"/>
  <c r="F1081" i="11"/>
  <c r="G1081" i="11"/>
  <c r="H1081" i="11"/>
  <c r="B1082" i="11"/>
  <c r="D1082" i="11"/>
  <c r="H1082" i="11" s="1"/>
  <c r="F1082" i="11"/>
  <c r="G1082" i="11"/>
  <c r="B1083" i="11"/>
  <c r="D1083" i="11"/>
  <c r="F1083" i="11"/>
  <c r="G1083" i="11"/>
  <c r="H1083" i="11"/>
  <c r="B1084" i="11"/>
  <c r="D1084" i="11"/>
  <c r="H1084" i="11" s="1"/>
  <c r="F1084" i="11"/>
  <c r="G1084" i="11"/>
  <c r="B1085" i="11"/>
  <c r="D1085" i="11"/>
  <c r="F1085" i="11"/>
  <c r="G1085" i="11"/>
  <c r="H1085" i="11"/>
  <c r="B1086" i="11"/>
  <c r="D1086" i="11"/>
  <c r="H1086" i="11" s="1"/>
  <c r="F1086" i="11"/>
  <c r="G1086" i="11"/>
  <c r="B1087" i="11"/>
  <c r="D1087" i="11"/>
  <c r="F1087" i="11"/>
  <c r="G1087" i="11"/>
  <c r="H1087" i="11"/>
  <c r="B1088" i="11"/>
  <c r="F1088" i="11" s="1"/>
  <c r="D1088" i="11"/>
  <c r="H1088" i="11" s="1"/>
  <c r="B1089" i="11"/>
  <c r="D1089" i="11"/>
  <c r="F1089" i="11"/>
  <c r="G1089" i="11"/>
  <c r="H1089" i="11"/>
  <c r="B1090" i="11"/>
  <c r="D1090" i="11"/>
  <c r="H1090" i="11" s="1"/>
  <c r="B1091" i="11"/>
  <c r="D1091" i="11"/>
  <c r="F1091" i="11"/>
  <c r="G1091" i="11"/>
  <c r="H1091" i="11"/>
  <c r="B1092" i="11"/>
  <c r="D1092" i="11"/>
  <c r="H1092" i="11" s="1"/>
  <c r="B1093" i="11"/>
  <c r="D1093" i="11"/>
  <c r="F1093" i="11"/>
  <c r="G1093" i="11"/>
  <c r="H1093" i="11"/>
  <c r="B1094" i="11"/>
  <c r="G1094" i="11" s="1"/>
  <c r="D1094" i="11"/>
  <c r="H1094" i="11" s="1"/>
  <c r="B1095" i="11"/>
  <c r="D1095" i="11"/>
  <c r="F1095" i="11"/>
  <c r="G1095" i="11"/>
  <c r="H1095" i="11"/>
  <c r="B1096" i="11"/>
  <c r="F1096" i="11" s="1"/>
  <c r="D1096" i="11"/>
  <c r="H1096" i="11" s="1"/>
  <c r="B1097" i="11"/>
  <c r="D1097" i="11"/>
  <c r="F1097" i="11"/>
  <c r="G1097" i="11"/>
  <c r="H1097" i="11"/>
  <c r="B1098" i="11"/>
  <c r="D1098" i="11"/>
  <c r="H1098" i="11" s="1"/>
  <c r="F1098" i="11"/>
  <c r="B1099" i="11"/>
  <c r="D1099" i="11"/>
  <c r="F1099" i="11"/>
  <c r="G1099" i="11"/>
  <c r="H1099" i="11"/>
  <c r="B1100" i="11"/>
  <c r="D1100" i="11"/>
  <c r="H1100" i="11" s="1"/>
  <c r="F1100" i="11"/>
  <c r="G1100" i="11"/>
  <c r="B1101" i="11"/>
  <c r="D1101" i="11"/>
  <c r="F1101" i="11"/>
  <c r="G1101" i="11"/>
  <c r="H1101" i="11"/>
  <c r="B1102" i="11"/>
  <c r="D1102" i="11"/>
  <c r="H1102" i="11" s="1"/>
  <c r="F1102" i="11"/>
  <c r="G1102" i="11"/>
  <c r="B1103" i="11"/>
  <c r="D1103" i="11"/>
  <c r="F1103" i="11"/>
  <c r="G1103" i="11"/>
  <c r="H1103" i="11"/>
  <c r="B1104" i="11"/>
  <c r="D1104" i="11"/>
  <c r="H1104" i="11" s="1"/>
  <c r="F1104" i="11"/>
  <c r="G1104" i="11"/>
  <c r="B1105" i="11"/>
  <c r="D1105" i="11"/>
  <c r="F1105" i="11"/>
  <c r="G1105" i="11"/>
  <c r="H1105" i="11"/>
  <c r="B1106" i="11"/>
  <c r="D1106" i="11"/>
  <c r="H1106" i="11" s="1"/>
  <c r="F1106" i="11"/>
  <c r="G1106" i="11"/>
  <c r="B1107" i="11"/>
  <c r="D1107" i="11"/>
  <c r="F1107" i="11"/>
  <c r="G1107" i="11"/>
  <c r="H1107" i="11"/>
  <c r="B1108" i="11"/>
  <c r="F1108" i="11" s="1"/>
  <c r="D1108" i="11"/>
  <c r="H1108" i="11" s="1"/>
  <c r="B1109" i="11"/>
  <c r="D1109" i="11"/>
  <c r="F1109" i="11"/>
  <c r="G1109" i="11"/>
  <c r="H1109" i="11"/>
  <c r="B1110" i="11"/>
  <c r="D1110" i="11"/>
  <c r="H1110" i="11" s="1"/>
  <c r="B1111" i="11"/>
  <c r="D1111" i="11"/>
  <c r="F1111" i="11"/>
  <c r="G1111" i="11"/>
  <c r="H1111" i="11"/>
  <c r="B1112" i="11"/>
  <c r="D1112" i="11"/>
  <c r="H1112" i="11" s="1"/>
  <c r="B1113" i="11"/>
  <c r="D1113" i="11"/>
  <c r="F1113" i="11"/>
  <c r="G1113" i="11"/>
  <c r="H1113" i="11"/>
  <c r="B1114" i="11"/>
  <c r="D1114" i="11"/>
  <c r="H1114" i="11" s="1"/>
  <c r="F1114" i="11"/>
  <c r="B1115" i="11"/>
  <c r="D1115" i="11"/>
  <c r="F1115" i="11"/>
  <c r="G1115" i="11"/>
  <c r="H1115" i="11"/>
  <c r="B1116" i="11"/>
  <c r="F1116" i="11" s="1"/>
  <c r="D1116" i="11"/>
  <c r="H1116" i="11" s="1"/>
  <c r="B1117" i="11"/>
  <c r="D1117" i="11"/>
  <c r="F1117" i="11"/>
  <c r="G1117" i="11"/>
  <c r="H1117" i="11"/>
  <c r="B1118" i="11"/>
  <c r="F1118" i="11" s="1"/>
  <c r="D1118" i="11"/>
  <c r="H1118" i="11" s="1"/>
  <c r="B1119" i="11"/>
  <c r="D1119" i="11"/>
  <c r="F1119" i="11"/>
  <c r="G1119" i="11"/>
  <c r="H1119" i="11"/>
  <c r="B1120" i="11"/>
  <c r="G1120" i="11" s="1"/>
  <c r="D1120" i="11"/>
  <c r="H1120" i="11" s="1"/>
  <c r="B1121" i="11"/>
  <c r="D1121" i="11"/>
  <c r="F1121" i="11"/>
  <c r="G1121" i="11"/>
  <c r="H1121" i="11"/>
  <c r="B1122" i="11"/>
  <c r="D1122" i="11"/>
  <c r="H1122" i="11" s="1"/>
  <c r="F1122" i="11"/>
  <c r="B1123" i="11"/>
  <c r="D1123" i="11"/>
  <c r="F1123" i="11"/>
  <c r="G1123" i="11"/>
  <c r="H1123" i="11"/>
  <c r="B1124" i="11"/>
  <c r="D1124" i="11"/>
  <c r="H1124" i="11" s="1"/>
  <c r="F1124" i="11"/>
  <c r="G1124" i="11"/>
  <c r="B1125" i="11"/>
  <c r="D1125" i="11"/>
  <c r="F1125" i="11"/>
  <c r="G1125" i="11"/>
  <c r="H1125" i="11"/>
  <c r="B1126" i="11"/>
  <c r="D1126" i="11"/>
  <c r="H1126" i="11" s="1"/>
  <c r="F1126" i="11"/>
  <c r="G1126" i="11"/>
  <c r="B1127" i="11"/>
  <c r="D1127" i="11"/>
  <c r="F1127" i="11"/>
  <c r="G1127" i="11"/>
  <c r="H1127" i="11"/>
  <c r="B1128" i="11"/>
  <c r="F1128" i="11" s="1"/>
  <c r="D1128" i="11"/>
  <c r="H1128" i="11" s="1"/>
  <c r="B1129" i="11"/>
  <c r="D1129" i="11"/>
  <c r="F1129" i="11"/>
  <c r="G1129" i="11"/>
  <c r="H1129" i="11"/>
  <c r="B1130" i="11"/>
  <c r="D1130" i="11"/>
  <c r="H1130" i="11" s="1"/>
  <c r="B1131" i="11"/>
  <c r="D1131" i="11"/>
  <c r="F1131" i="11"/>
  <c r="G1131" i="11"/>
  <c r="H1131" i="11"/>
  <c r="B1132" i="11"/>
  <c r="D1132" i="11"/>
  <c r="H1132" i="11" s="1"/>
  <c r="B1133" i="11"/>
  <c r="D1133" i="11"/>
  <c r="F1133" i="11"/>
  <c r="G1133" i="11"/>
  <c r="H1133" i="11"/>
  <c r="B1134" i="11"/>
  <c r="D1134" i="11"/>
  <c r="H1134" i="11" s="1"/>
  <c r="F1134" i="11"/>
  <c r="B1135" i="11"/>
  <c r="D1135" i="11"/>
  <c r="F1135" i="11"/>
  <c r="G1135" i="11"/>
  <c r="H1135" i="11"/>
  <c r="B1136" i="11"/>
  <c r="D1136" i="11"/>
  <c r="H1136" i="11" s="1"/>
  <c r="F1136" i="11"/>
  <c r="G1136" i="11"/>
  <c r="B1137" i="11"/>
  <c r="D1137" i="11"/>
  <c r="F1137" i="11"/>
  <c r="G1137" i="11"/>
  <c r="H1137" i="11"/>
  <c r="B1138" i="11"/>
  <c r="D1138" i="11"/>
  <c r="H1138" i="11" s="1"/>
  <c r="F1138" i="11"/>
  <c r="G1138" i="11"/>
  <c r="B1139" i="11"/>
  <c r="D1139" i="11"/>
  <c r="F1139" i="11"/>
  <c r="G1139" i="11"/>
  <c r="H1139" i="11"/>
  <c r="B1140" i="11"/>
  <c r="D1140" i="11"/>
  <c r="H1140" i="11" s="1"/>
  <c r="F1140" i="11"/>
  <c r="G1140" i="11"/>
  <c r="B1141" i="11"/>
  <c r="D1141" i="11"/>
  <c r="F1141" i="11"/>
  <c r="G1141" i="11"/>
  <c r="H1141" i="11"/>
  <c r="B1142" i="11"/>
  <c r="D1142" i="11"/>
  <c r="H1142" i="11" s="1"/>
  <c r="F1142" i="11"/>
  <c r="G1142" i="11"/>
  <c r="B1143" i="11"/>
  <c r="D1143" i="11"/>
  <c r="F1143" i="11"/>
  <c r="G1143" i="11"/>
  <c r="H1143" i="11"/>
  <c r="B1144" i="11"/>
  <c r="D1144" i="11"/>
  <c r="H1144" i="11" s="1"/>
  <c r="F1144" i="11"/>
  <c r="G1144" i="11"/>
  <c r="B1145" i="11"/>
  <c r="D1145" i="11"/>
  <c r="F1145" i="11"/>
  <c r="G1145" i="11"/>
  <c r="H1145" i="11"/>
  <c r="B1146" i="11"/>
  <c r="D1146" i="11"/>
  <c r="H1146" i="11" s="1"/>
  <c r="F1146" i="11"/>
  <c r="G1146" i="11"/>
  <c r="B1147" i="11"/>
  <c r="D1147" i="11"/>
  <c r="F1147" i="11"/>
  <c r="G1147" i="11"/>
  <c r="H1147" i="11"/>
  <c r="B1148" i="11"/>
  <c r="F1148" i="11" s="1"/>
  <c r="D1148" i="11"/>
  <c r="H1148" i="11" s="1"/>
  <c r="B1149" i="11"/>
  <c r="D1149" i="11"/>
  <c r="G1149" i="11" s="1"/>
  <c r="F1149" i="11"/>
  <c r="B1150" i="11"/>
  <c r="D1150" i="11"/>
  <c r="H1150" i="11" s="1"/>
  <c r="B1151" i="11"/>
  <c r="D1151" i="11"/>
  <c r="G1151" i="11" s="1"/>
  <c r="F1151" i="11"/>
  <c r="B1152" i="11"/>
  <c r="D1152" i="11"/>
  <c r="H1152" i="11" s="1"/>
  <c r="B1153" i="11"/>
  <c r="D1153" i="11"/>
  <c r="F1153" i="11"/>
  <c r="G1153" i="11"/>
  <c r="H1153" i="11"/>
  <c r="B1154" i="11"/>
  <c r="G1154" i="11" s="1"/>
  <c r="D1154" i="11"/>
  <c r="H1154" i="11" s="1"/>
  <c r="B1155" i="11"/>
  <c r="D1155" i="11"/>
  <c r="F1155" i="11"/>
  <c r="G1155" i="11"/>
  <c r="H1155" i="11"/>
  <c r="B1156" i="11"/>
  <c r="D1156" i="11"/>
  <c r="H1156" i="11" s="1"/>
  <c r="F1156" i="11"/>
  <c r="B1157" i="11"/>
  <c r="D1157" i="11"/>
  <c r="F1157" i="11"/>
  <c r="G1157" i="11"/>
  <c r="H1157" i="11"/>
  <c r="B1158" i="11"/>
  <c r="D1158" i="11"/>
  <c r="H1158" i="11" s="1"/>
  <c r="F1158" i="11"/>
  <c r="G1158" i="11"/>
  <c r="B1159" i="11"/>
  <c r="D1159" i="11"/>
  <c r="G1159" i="11" s="1"/>
  <c r="F1159" i="11"/>
  <c r="B1160" i="11"/>
  <c r="D1160" i="11"/>
  <c r="H1160" i="11" s="1"/>
  <c r="F1160" i="11"/>
  <c r="G1160" i="11"/>
  <c r="B1161" i="11"/>
  <c r="D1161" i="11"/>
  <c r="F1161" i="11"/>
  <c r="B1162" i="11"/>
  <c r="D1162" i="11"/>
  <c r="H1162" i="11" s="1"/>
  <c r="F1162" i="11"/>
  <c r="B1163" i="11"/>
  <c r="D1163" i="11"/>
  <c r="F1163" i="11"/>
  <c r="B1164" i="11"/>
  <c r="D1164" i="11"/>
  <c r="H1164" i="11" s="1"/>
  <c r="F1164" i="11"/>
  <c r="G1164" i="11"/>
  <c r="B1165" i="11"/>
  <c r="D1165" i="11"/>
  <c r="H1165" i="11" s="1"/>
  <c r="F1165" i="11"/>
  <c r="G1165" i="11"/>
  <c r="B1166" i="11"/>
  <c r="D1166" i="11"/>
  <c r="H1166" i="11" s="1"/>
  <c r="F1166" i="11"/>
  <c r="G1166" i="11"/>
  <c r="B1167" i="11"/>
  <c r="D1167" i="11"/>
  <c r="G1167" i="11" s="1"/>
  <c r="F1167" i="11"/>
  <c r="B1168" i="11"/>
  <c r="F1168" i="11" s="1"/>
  <c r="D1168" i="11"/>
  <c r="H1168" i="11" s="1"/>
  <c r="B1169" i="11"/>
  <c r="D1169" i="11"/>
  <c r="F1169" i="11"/>
  <c r="G1169" i="11"/>
  <c r="H1169" i="11"/>
  <c r="B1170" i="11"/>
  <c r="D1170" i="11"/>
  <c r="H1170" i="11" s="1"/>
  <c r="B1171" i="11"/>
  <c r="D1171" i="11"/>
  <c r="F1171" i="11"/>
  <c r="G1171" i="11"/>
  <c r="H1171" i="11"/>
  <c r="B1172" i="11"/>
  <c r="D1172" i="11"/>
  <c r="H1172" i="11" s="1"/>
  <c r="B1173" i="11"/>
  <c r="D1173" i="11"/>
  <c r="F1173" i="11"/>
  <c r="G1173" i="11"/>
  <c r="H1173" i="11"/>
  <c r="B1174" i="11"/>
  <c r="D1174" i="11"/>
  <c r="H1174" i="11" s="1"/>
  <c r="F1174" i="11"/>
  <c r="B1175" i="11"/>
  <c r="D1175" i="11"/>
  <c r="F1175" i="11"/>
  <c r="G1175" i="11"/>
  <c r="H1175" i="11"/>
  <c r="B1176" i="11"/>
  <c r="D1176" i="11"/>
  <c r="H1176" i="11" s="1"/>
  <c r="F1176" i="11"/>
  <c r="G1176" i="11"/>
  <c r="B1177" i="11"/>
  <c r="D1177" i="11"/>
  <c r="F1177" i="11"/>
  <c r="G1177" i="11"/>
  <c r="H1177" i="11"/>
  <c r="B1178" i="11"/>
  <c r="D1178" i="11"/>
  <c r="H1178" i="11" s="1"/>
  <c r="F1178" i="11"/>
  <c r="G1178" i="11"/>
  <c r="B1179" i="11"/>
  <c r="D1179" i="11"/>
  <c r="G1179" i="11" s="1"/>
  <c r="F1179" i="11"/>
  <c r="B1180" i="11"/>
  <c r="G1180" i="11" s="1"/>
  <c r="D1180" i="11"/>
  <c r="H1180" i="11" s="1"/>
  <c r="B1181" i="11"/>
  <c r="D1181" i="11"/>
  <c r="F1181" i="11"/>
  <c r="B1182" i="11"/>
  <c r="D1182" i="11"/>
  <c r="H1182" i="11" s="1"/>
  <c r="F1182" i="11"/>
  <c r="G1182" i="11"/>
  <c r="B1183" i="11"/>
  <c r="D1183" i="11"/>
  <c r="F1183" i="11"/>
  <c r="B1184" i="11"/>
  <c r="D1184" i="11"/>
  <c r="H1184" i="11" s="1"/>
  <c r="F1184" i="11"/>
  <c r="G1184" i="11"/>
  <c r="B1185" i="11"/>
  <c r="D1185" i="11"/>
  <c r="H1185" i="11" s="1"/>
  <c r="F1185" i="11"/>
  <c r="B1186" i="11"/>
  <c r="D1186" i="11"/>
  <c r="H1186" i="11" s="1"/>
  <c r="F1186" i="11"/>
  <c r="G1186" i="11"/>
  <c r="B1187" i="11"/>
  <c r="D1187" i="11"/>
  <c r="F1187" i="11"/>
  <c r="G1187" i="11"/>
  <c r="H1187" i="11"/>
  <c r="B1188" i="11"/>
  <c r="F1188" i="11" s="1"/>
  <c r="D1188" i="11"/>
  <c r="H1188" i="11" s="1"/>
  <c r="B1189" i="11"/>
  <c r="D1189" i="11"/>
  <c r="F1189" i="11"/>
  <c r="G1189" i="11"/>
  <c r="H1189" i="11"/>
  <c r="B1190" i="11"/>
  <c r="D1190" i="11"/>
  <c r="H1190" i="11" s="1"/>
  <c r="B1191" i="11"/>
  <c r="D1191" i="11"/>
  <c r="G1191" i="11" s="1"/>
  <c r="F1191" i="11"/>
  <c r="B1192" i="11"/>
  <c r="D1192" i="11"/>
  <c r="H1192" i="11" s="1"/>
  <c r="B1193" i="11"/>
  <c r="D1193" i="11"/>
  <c r="F1193" i="11"/>
  <c r="G1193" i="11"/>
  <c r="H1193" i="11"/>
  <c r="B1194" i="11"/>
  <c r="G1194" i="11" s="1"/>
  <c r="D1194" i="11"/>
  <c r="H1194" i="11" s="1"/>
  <c r="B1195" i="11"/>
  <c r="D1195" i="11"/>
  <c r="F1195" i="11"/>
  <c r="G1195" i="11"/>
  <c r="H1195" i="11"/>
  <c r="B1196" i="11"/>
  <c r="G1196" i="11" s="1"/>
  <c r="D1196" i="11"/>
  <c r="H1196" i="11" s="1"/>
  <c r="B1197" i="11"/>
  <c r="D1197" i="11"/>
  <c r="F1197" i="11"/>
  <c r="G1197" i="11"/>
  <c r="H1197" i="11"/>
  <c r="B1198" i="11"/>
  <c r="F1198" i="11" s="1"/>
  <c r="D1198" i="11"/>
  <c r="H1198" i="11" s="1"/>
  <c r="B1199" i="11"/>
  <c r="D1199" i="11"/>
  <c r="G1199" i="11" s="1"/>
  <c r="F1199" i="11"/>
  <c r="B1200" i="11"/>
  <c r="D1200" i="11"/>
  <c r="H1200" i="11" s="1"/>
  <c r="F1200" i="11"/>
  <c r="G1200" i="11"/>
  <c r="B1201" i="11"/>
  <c r="D1201" i="11"/>
  <c r="F1201" i="11"/>
  <c r="B1202" i="11"/>
  <c r="D1202" i="11"/>
  <c r="H1202" i="11" s="1"/>
  <c r="F1202" i="11"/>
  <c r="G1202" i="11"/>
  <c r="B1203" i="11"/>
  <c r="D1203" i="11"/>
  <c r="F1203" i="11"/>
  <c r="B1204" i="11"/>
  <c r="D1204" i="11"/>
  <c r="H1204" i="11" s="1"/>
  <c r="F1204" i="11"/>
  <c r="G1204" i="11"/>
  <c r="B1205" i="11"/>
  <c r="D1205" i="11"/>
  <c r="H1205" i="11" s="1"/>
  <c r="F1205" i="11"/>
  <c r="G1205" i="11"/>
  <c r="B1206" i="11"/>
  <c r="D1206" i="11"/>
  <c r="H1206" i="11" s="1"/>
  <c r="F1206" i="11"/>
  <c r="G1206" i="11"/>
  <c r="B1207" i="11"/>
  <c r="D1207" i="11"/>
  <c r="F1207" i="11"/>
  <c r="G1207" i="11"/>
  <c r="H1207" i="11"/>
  <c r="B1208" i="11"/>
  <c r="F1208" i="11" s="1"/>
  <c r="D1208" i="11"/>
  <c r="H1208" i="11" s="1"/>
  <c r="B1209" i="11"/>
  <c r="D1209" i="11"/>
  <c r="H1209" i="11" s="1"/>
  <c r="F1209" i="11"/>
  <c r="B1210" i="11"/>
  <c r="D1210" i="11"/>
  <c r="H1210" i="11" s="1"/>
  <c r="B1211" i="11"/>
  <c r="D1211" i="11"/>
  <c r="F1211" i="11"/>
  <c r="G1211" i="11"/>
  <c r="H1211" i="11"/>
  <c r="B1212" i="11"/>
  <c r="D1212" i="11"/>
  <c r="H1212" i="11" s="1"/>
  <c r="B1213" i="11"/>
  <c r="D1213" i="11"/>
  <c r="F1213" i="11"/>
  <c r="G1213" i="11"/>
  <c r="H1213" i="11"/>
  <c r="B1214" i="11"/>
  <c r="D1214" i="11"/>
  <c r="H1214" i="11" s="1"/>
  <c r="F1214" i="11"/>
  <c r="B1215" i="11"/>
  <c r="D1215" i="11"/>
  <c r="F1215" i="11"/>
  <c r="G1215" i="11"/>
  <c r="H1215" i="11"/>
  <c r="B1216" i="11"/>
  <c r="D1216" i="11"/>
  <c r="H1216" i="11" s="1"/>
  <c r="F1216" i="11"/>
  <c r="G1216" i="11"/>
  <c r="B1217" i="11"/>
  <c r="D1217" i="11"/>
  <c r="F1217" i="11"/>
  <c r="G1217" i="11"/>
  <c r="H1217" i="11"/>
  <c r="B1218" i="11"/>
  <c r="D1218" i="11"/>
  <c r="H1218" i="11" s="1"/>
  <c r="F1218" i="11"/>
  <c r="G1218" i="11"/>
  <c r="B1219" i="11"/>
  <c r="D1219" i="11"/>
  <c r="G1219" i="11" s="1"/>
  <c r="F1219" i="11"/>
  <c r="B1220" i="11"/>
  <c r="F1220" i="11" s="1"/>
  <c r="D1220" i="11"/>
  <c r="H1220" i="11" s="1"/>
  <c r="B1221" i="11"/>
  <c r="D1221" i="11"/>
  <c r="F1221" i="11"/>
  <c r="B1222" i="11"/>
  <c r="D1222" i="11"/>
  <c r="H1222" i="11" s="1"/>
  <c r="F1222" i="11"/>
  <c r="B1223" i="11"/>
  <c r="D1223" i="11"/>
  <c r="F1223" i="11"/>
  <c r="B1224" i="11"/>
  <c r="D1224" i="11"/>
  <c r="H1224" i="11" s="1"/>
  <c r="F1224" i="11"/>
  <c r="G1224" i="11"/>
  <c r="B1225" i="11"/>
  <c r="D1225" i="11"/>
  <c r="H1225" i="11" s="1"/>
  <c r="F1225" i="11"/>
  <c r="B1226" i="11"/>
  <c r="D1226" i="11"/>
  <c r="H1226" i="11" s="1"/>
  <c r="F1226" i="11"/>
  <c r="G1226" i="11"/>
  <c r="B1227" i="11"/>
  <c r="D1227" i="11"/>
  <c r="G1227" i="11" s="1"/>
  <c r="F1227" i="11"/>
  <c r="B1228" i="11"/>
  <c r="F1228" i="11" s="1"/>
  <c r="D1228" i="11"/>
  <c r="H1228" i="11" s="1"/>
  <c r="B1229" i="11"/>
  <c r="D1229" i="11"/>
  <c r="F1229" i="11"/>
  <c r="G1229" i="11"/>
  <c r="H1229" i="11"/>
  <c r="B1230" i="11"/>
  <c r="D1230" i="11"/>
  <c r="H1230" i="11" s="1"/>
  <c r="B1231" i="11"/>
  <c r="D1231" i="11"/>
  <c r="F1231" i="11"/>
  <c r="G1231" i="11"/>
  <c r="H1231" i="11"/>
  <c r="B1232" i="11"/>
  <c r="D1232" i="11"/>
  <c r="H1232" i="11" s="1"/>
  <c r="B1233" i="11"/>
  <c r="D1233" i="11"/>
  <c r="F1233" i="11"/>
  <c r="G1233" i="11"/>
  <c r="H1233" i="11"/>
  <c r="B1234" i="11"/>
  <c r="D1234" i="11"/>
  <c r="H1234" i="11" s="1"/>
  <c r="F1234" i="11"/>
  <c r="B1235" i="11"/>
  <c r="D1235" i="11"/>
  <c r="F1235" i="11"/>
  <c r="G1235" i="11"/>
  <c r="H1235" i="11"/>
  <c r="B1236" i="11"/>
  <c r="F1236" i="11" s="1"/>
  <c r="D1236" i="11"/>
  <c r="H1236" i="11" s="1"/>
  <c r="B1237" i="11"/>
  <c r="D1237" i="11"/>
  <c r="F1237" i="11"/>
  <c r="G1237" i="11"/>
  <c r="H1237" i="11"/>
  <c r="B1238" i="11"/>
  <c r="F1238" i="11" s="1"/>
  <c r="D1238" i="11"/>
  <c r="H1238" i="11" s="1"/>
  <c r="B1239" i="11"/>
  <c r="D1239" i="11"/>
  <c r="G1239" i="11" s="1"/>
  <c r="F1239" i="11"/>
  <c r="B1240" i="11"/>
  <c r="D1240" i="11"/>
  <c r="H1240" i="11" s="1"/>
  <c r="F1240" i="11"/>
  <c r="B1241" i="11"/>
  <c r="D1241" i="11"/>
  <c r="F1241" i="11"/>
  <c r="B1242" i="11"/>
  <c r="D1242" i="11"/>
  <c r="H1242" i="11" s="1"/>
  <c r="F1242" i="11"/>
  <c r="G1242" i="11"/>
  <c r="B1243" i="11"/>
  <c r="D1243" i="11"/>
  <c r="F1243" i="11"/>
  <c r="B1244" i="11"/>
  <c r="D1244" i="11"/>
  <c r="H1244" i="11" s="1"/>
  <c r="F1244" i="11"/>
  <c r="G1244" i="11"/>
  <c r="B1245" i="11"/>
  <c r="D1245" i="11"/>
  <c r="H1245" i="11" s="1"/>
  <c r="F1245" i="11"/>
  <c r="G1245" i="11"/>
  <c r="B1246" i="11"/>
  <c r="D1246" i="11"/>
  <c r="H1246" i="11" s="1"/>
  <c r="F1246" i="11"/>
  <c r="G1246" i="11"/>
  <c r="B1247" i="11"/>
  <c r="D1247" i="11"/>
  <c r="F1247" i="11"/>
  <c r="G1247" i="11"/>
  <c r="H1247" i="11"/>
  <c r="B1248" i="11"/>
  <c r="F1248" i="11" s="1"/>
  <c r="D1248" i="11"/>
  <c r="H1248" i="11" s="1"/>
  <c r="B1249" i="11"/>
  <c r="D1249" i="11"/>
  <c r="G1249" i="11" s="1"/>
  <c r="F1249" i="11"/>
  <c r="B1250" i="11"/>
  <c r="D1250" i="11"/>
  <c r="H1250" i="11" s="1"/>
  <c r="B1251" i="11"/>
  <c r="D1251" i="11"/>
  <c r="G1251" i="11" s="1"/>
  <c r="F1251" i="11"/>
  <c r="B1252" i="11"/>
  <c r="D1252" i="11"/>
  <c r="H1252" i="11" s="1"/>
  <c r="B1253" i="11"/>
  <c r="D1253" i="11"/>
  <c r="F1253" i="11"/>
  <c r="G1253" i="11"/>
  <c r="H1253" i="11"/>
  <c r="B1254" i="11"/>
  <c r="G1254" i="11" s="1"/>
  <c r="D1254" i="11"/>
  <c r="H1254" i="11" s="1"/>
  <c r="B1255" i="11"/>
  <c r="D1255" i="11"/>
  <c r="F1255" i="11"/>
  <c r="G1255" i="11"/>
  <c r="H1255" i="11"/>
  <c r="B1256" i="11"/>
  <c r="D1256" i="11"/>
  <c r="H1256" i="11" s="1"/>
  <c r="F1256" i="11"/>
  <c r="B1257" i="11"/>
  <c r="F1257" i="11" s="1"/>
  <c r="D1257" i="11"/>
  <c r="H1257" i="11"/>
  <c r="B1258" i="11"/>
  <c r="D1258" i="11"/>
  <c r="H1258" i="11" s="1"/>
  <c r="F1258" i="11"/>
  <c r="G1258" i="11"/>
  <c r="B1259" i="11"/>
  <c r="D1259" i="11"/>
  <c r="H1259" i="11" s="1"/>
  <c r="B1260" i="11"/>
  <c r="F1260" i="11" s="1"/>
  <c r="D1260" i="11"/>
  <c r="H1260" i="11" s="1"/>
  <c r="B1261" i="11"/>
  <c r="D1261" i="11"/>
  <c r="H1261" i="11" s="1"/>
  <c r="B1262" i="11"/>
  <c r="D1262" i="11"/>
  <c r="H1262" i="11" s="1"/>
  <c r="F1262" i="11"/>
  <c r="G1262" i="11"/>
  <c r="B1263" i="11"/>
  <c r="G1263" i="11" s="1"/>
  <c r="D1263" i="11"/>
  <c r="H1263" i="11" s="1"/>
  <c r="B1264" i="11"/>
  <c r="D1264" i="11"/>
  <c r="H1264" i="11" s="1"/>
  <c r="F1264" i="11"/>
  <c r="G1264" i="11"/>
  <c r="B1265" i="11"/>
  <c r="D1265" i="11"/>
  <c r="H1265" i="11" s="1"/>
  <c r="F1265" i="11"/>
  <c r="B1266" i="11"/>
  <c r="D1266" i="11"/>
  <c r="H1266" i="11" s="1"/>
  <c r="F1266" i="11"/>
  <c r="G1266" i="11"/>
  <c r="B1267" i="11"/>
  <c r="D1267" i="11"/>
  <c r="F1267" i="11"/>
  <c r="G1267" i="11"/>
  <c r="H1267" i="11"/>
  <c r="B1268" i="11"/>
  <c r="F1268" i="11" s="1"/>
  <c r="D1268" i="11"/>
  <c r="H1268" i="11" s="1"/>
  <c r="B1269" i="11"/>
  <c r="D1269" i="11"/>
  <c r="F1269" i="11"/>
  <c r="G1269" i="11"/>
  <c r="H1269" i="11"/>
  <c r="B1270" i="11"/>
  <c r="D1270" i="11"/>
  <c r="H1270" i="11" s="1"/>
  <c r="B1271" i="11"/>
  <c r="D1271" i="11"/>
  <c r="G1271" i="11" s="1"/>
  <c r="F1271" i="11"/>
  <c r="B1272" i="11"/>
  <c r="D1272" i="11"/>
  <c r="H1272" i="11" s="1"/>
  <c r="B1273" i="11"/>
  <c r="D1273" i="11"/>
  <c r="F1273" i="11"/>
  <c r="G1273" i="11"/>
  <c r="H1273" i="11"/>
  <c r="B1274" i="11"/>
  <c r="G1274" i="11" s="1"/>
  <c r="D1274" i="11"/>
  <c r="H1274" i="11" s="1"/>
  <c r="B1275" i="11"/>
  <c r="D1275" i="11"/>
  <c r="F1275" i="11"/>
  <c r="G1275" i="11"/>
  <c r="H1275" i="11"/>
  <c r="B1276" i="11"/>
  <c r="G1276" i="11" s="1"/>
  <c r="D1276" i="11"/>
  <c r="H1276" i="11" s="1"/>
  <c r="B1277" i="11"/>
  <c r="F1277" i="11" s="1"/>
  <c r="D1277" i="11"/>
  <c r="H1277" i="11"/>
  <c r="B1278" i="11"/>
  <c r="D1278" i="11"/>
  <c r="H1278" i="11" s="1"/>
  <c r="F1278" i="11"/>
  <c r="G1278" i="11"/>
  <c r="B1279" i="11"/>
  <c r="D1279" i="11"/>
  <c r="H1279" i="11" s="1"/>
  <c r="B1280" i="11"/>
  <c r="D1280" i="11"/>
  <c r="H1280" i="11" s="1"/>
  <c r="F1280" i="11"/>
  <c r="G1280" i="11"/>
  <c r="B1281" i="11"/>
  <c r="D1281" i="11"/>
  <c r="H1281" i="11" s="1"/>
  <c r="B1282" i="11"/>
  <c r="D1282" i="11"/>
  <c r="H1282" i="11" s="1"/>
  <c r="F1282" i="11"/>
  <c r="B1283" i="11"/>
  <c r="D1283" i="11"/>
  <c r="H1283" i="11" s="1"/>
  <c r="F1283" i="11"/>
  <c r="B1284" i="11"/>
  <c r="D1284" i="11"/>
  <c r="H1284" i="11" s="1"/>
  <c r="F1284" i="11"/>
  <c r="G1284" i="11"/>
  <c r="B1285" i="11"/>
  <c r="G1285" i="11" s="1"/>
  <c r="D1285" i="11"/>
  <c r="H1285" i="11" s="1"/>
  <c r="B1286" i="11"/>
  <c r="D1286" i="11"/>
  <c r="H1286" i="11" s="1"/>
  <c r="F1286" i="11"/>
  <c r="G1286" i="11"/>
  <c r="B1287" i="11"/>
  <c r="D1287" i="11"/>
  <c r="G1287" i="11" s="1"/>
  <c r="F1287" i="11"/>
  <c r="B1288" i="11"/>
  <c r="F1288" i="11" s="1"/>
  <c r="D1288" i="11"/>
  <c r="H1288" i="11" s="1"/>
  <c r="B1289" i="11"/>
  <c r="D1289" i="11"/>
  <c r="F1289" i="11"/>
  <c r="G1289" i="11"/>
  <c r="H1289" i="11"/>
  <c r="B1290" i="11"/>
  <c r="D1290" i="11"/>
  <c r="H1290" i="11" s="1"/>
  <c r="B1291" i="11"/>
  <c r="D1291" i="11"/>
  <c r="F1291" i="11"/>
  <c r="G1291" i="11"/>
  <c r="H1291" i="11"/>
  <c r="B1292" i="11"/>
  <c r="D1292" i="11"/>
  <c r="H1292" i="11" s="1"/>
  <c r="B1293" i="11"/>
  <c r="D1293" i="11"/>
  <c r="F1293" i="11"/>
  <c r="G1293" i="11"/>
  <c r="H1293" i="11"/>
  <c r="B1294" i="11"/>
  <c r="D1294" i="11"/>
  <c r="H1294" i="11" s="1"/>
  <c r="F1294" i="11"/>
  <c r="B1295" i="11"/>
  <c r="D1295" i="11"/>
  <c r="F1295" i="11"/>
  <c r="G1295" i="11"/>
  <c r="H1295" i="11"/>
  <c r="B1296" i="11"/>
  <c r="F1296" i="11" s="1"/>
  <c r="D1296" i="11"/>
  <c r="H1296" i="11" s="1"/>
  <c r="B1297" i="11"/>
  <c r="F1297" i="11" s="1"/>
  <c r="D1297" i="11"/>
  <c r="H1297" i="11"/>
  <c r="B1298" i="11"/>
  <c r="F1298" i="11" s="1"/>
  <c r="D1298" i="11"/>
  <c r="H1298" i="11" s="1"/>
  <c r="B1299" i="11"/>
  <c r="D1299" i="11"/>
  <c r="H1299" i="11" s="1"/>
  <c r="B1300" i="11"/>
  <c r="D1300" i="11"/>
  <c r="H1300" i="11" s="1"/>
  <c r="F1300" i="11"/>
  <c r="G1300" i="11"/>
  <c r="B1301" i="11"/>
  <c r="D1301" i="11"/>
  <c r="H1301" i="11" s="1"/>
  <c r="B1302" i="11"/>
  <c r="D1302" i="11"/>
  <c r="H1302" i="11" s="1"/>
  <c r="F1302" i="11"/>
  <c r="B1303" i="11"/>
  <c r="D1303" i="11"/>
  <c r="H1303" i="11" s="1"/>
  <c r="F1303" i="11"/>
  <c r="B1304" i="11"/>
  <c r="D1304" i="11"/>
  <c r="F1304" i="11"/>
  <c r="G1304" i="11"/>
  <c r="H1304" i="11"/>
  <c r="B1305" i="11"/>
  <c r="D1305" i="11"/>
  <c r="H1305" i="11" s="1"/>
  <c r="F1305" i="11"/>
  <c r="B1306" i="11"/>
  <c r="D1306" i="11"/>
  <c r="F1306" i="11"/>
  <c r="G1306" i="11"/>
  <c r="H1306" i="11"/>
  <c r="B1307" i="11"/>
  <c r="G1307" i="11" s="1"/>
  <c r="D1307" i="11"/>
  <c r="H1307" i="11" s="1"/>
  <c r="B1308" i="11"/>
  <c r="D1308" i="11"/>
  <c r="F1308" i="11"/>
  <c r="G1308" i="11"/>
  <c r="H1308" i="11"/>
  <c r="B1309" i="11"/>
  <c r="D1309" i="11"/>
  <c r="H1309" i="11" s="1"/>
  <c r="F1309" i="11"/>
  <c r="B1310" i="11"/>
  <c r="D1310" i="11"/>
  <c r="F1310" i="11"/>
  <c r="G1310" i="11"/>
  <c r="H1310" i="11"/>
  <c r="B1311" i="11"/>
  <c r="D1311" i="11"/>
  <c r="H1311" i="11" s="1"/>
  <c r="F1311" i="11"/>
  <c r="B1312" i="11"/>
  <c r="D1312" i="11"/>
  <c r="F1312" i="11"/>
  <c r="G1312" i="11"/>
  <c r="H1312" i="11"/>
  <c r="B1313" i="11"/>
  <c r="D1313" i="11"/>
  <c r="H1313" i="11" s="1"/>
  <c r="F1313" i="11"/>
  <c r="B1314" i="11"/>
  <c r="D1314" i="11"/>
  <c r="F1314" i="11"/>
  <c r="G1314" i="11"/>
  <c r="H1314" i="11"/>
  <c r="B1315" i="11"/>
  <c r="D1315" i="11"/>
  <c r="H1315" i="11" s="1"/>
  <c r="F1315" i="11"/>
  <c r="B1316" i="11"/>
  <c r="D1316" i="11"/>
  <c r="F1316" i="11"/>
  <c r="G1316" i="11"/>
  <c r="H1316" i="11"/>
  <c r="B1317" i="11"/>
  <c r="G1317" i="11" s="1"/>
  <c r="D1317" i="11"/>
  <c r="H1317" i="11" s="1"/>
  <c r="B1318" i="11"/>
  <c r="D1318" i="11"/>
  <c r="F1318" i="11"/>
  <c r="G1318" i="11"/>
  <c r="H1318" i="11"/>
  <c r="B1319" i="11"/>
  <c r="D1319" i="11"/>
  <c r="H1319" i="11" s="1"/>
  <c r="F1319" i="11"/>
  <c r="B1320" i="11"/>
  <c r="D1320" i="11"/>
  <c r="F1320" i="11"/>
  <c r="G1320" i="11"/>
  <c r="H1320" i="11"/>
  <c r="B1321" i="11"/>
  <c r="D1321" i="11"/>
  <c r="H1321" i="11" s="1"/>
  <c r="F1321" i="11"/>
  <c r="B1322" i="11"/>
  <c r="D1322" i="11"/>
  <c r="F1322" i="11"/>
  <c r="G1322" i="11"/>
  <c r="H1322" i="11"/>
  <c r="B1323" i="11"/>
  <c r="D1323" i="11"/>
  <c r="H1323" i="11" s="1"/>
  <c r="F1323" i="11"/>
  <c r="B1324" i="11"/>
  <c r="D1324" i="11"/>
  <c r="F1324" i="11"/>
  <c r="G1324" i="11"/>
  <c r="H1324" i="11"/>
  <c r="B1325" i="11"/>
  <c r="D1325" i="11"/>
  <c r="H1325" i="11" s="1"/>
  <c r="F1325" i="11"/>
  <c r="B1326" i="11"/>
  <c r="D1326" i="11"/>
  <c r="F1326" i="11"/>
  <c r="G1326" i="11"/>
  <c r="H1326" i="11"/>
  <c r="B1327" i="11"/>
  <c r="G1327" i="11" s="1"/>
  <c r="D1327" i="11"/>
  <c r="H1327" i="11" s="1"/>
  <c r="B1328" i="11"/>
  <c r="D1328" i="11"/>
  <c r="F1328" i="11"/>
  <c r="G1328" i="11"/>
  <c r="H1328" i="11"/>
  <c r="B1329" i="11"/>
  <c r="D1329" i="11"/>
  <c r="H1329" i="11" s="1"/>
  <c r="F1329" i="11"/>
  <c r="B1330" i="11"/>
  <c r="D1330" i="11"/>
  <c r="F1330" i="11"/>
  <c r="G1330" i="11"/>
  <c r="H1330" i="11"/>
  <c r="B1331" i="11"/>
  <c r="D1331" i="11"/>
  <c r="H1331" i="11" s="1"/>
  <c r="F1331" i="11"/>
  <c r="B1332" i="11"/>
  <c r="D1332" i="11"/>
  <c r="F1332" i="11"/>
  <c r="G1332" i="11"/>
  <c r="H1332" i="11"/>
  <c r="B1333" i="11"/>
  <c r="D1333" i="11"/>
  <c r="H1333" i="11" s="1"/>
  <c r="F1333" i="11"/>
  <c r="B1334" i="11"/>
  <c r="D1334" i="11"/>
  <c r="F1334" i="11"/>
  <c r="G1334" i="11"/>
  <c r="H1334" i="11"/>
  <c r="B1335" i="11"/>
  <c r="D1335" i="11"/>
  <c r="H1335" i="11" s="1"/>
  <c r="F1335" i="11"/>
  <c r="B1336" i="11"/>
  <c r="D1336" i="11"/>
  <c r="F1336" i="11"/>
  <c r="G1336" i="11"/>
  <c r="H1336" i="11"/>
  <c r="B1337" i="11"/>
  <c r="G1337" i="11" s="1"/>
  <c r="D1337" i="11"/>
  <c r="H1337" i="11" s="1"/>
  <c r="B1338" i="11"/>
  <c r="D1338" i="11"/>
  <c r="F1338" i="11"/>
  <c r="G1338" i="11"/>
  <c r="H1338" i="11"/>
  <c r="B1339" i="11"/>
  <c r="D1339" i="11"/>
  <c r="H1339" i="11" s="1"/>
  <c r="F1339" i="11"/>
  <c r="B1340" i="11"/>
  <c r="D1340" i="11"/>
  <c r="F1340" i="11"/>
  <c r="G1340" i="11"/>
  <c r="H1340" i="11"/>
  <c r="B1341" i="11"/>
  <c r="D1341" i="11"/>
  <c r="H1341" i="11" s="1"/>
  <c r="F1341" i="11"/>
  <c r="B1342" i="11"/>
  <c r="D1342" i="11"/>
  <c r="F1342" i="11"/>
  <c r="G1342" i="11"/>
  <c r="H1342" i="11"/>
  <c r="B1343" i="11"/>
  <c r="D1343" i="11"/>
  <c r="H1343" i="11" s="1"/>
  <c r="F1343" i="11"/>
  <c r="B1344" i="11"/>
  <c r="D1344" i="11"/>
  <c r="F1344" i="11"/>
  <c r="G1344" i="11"/>
  <c r="H1344" i="11"/>
  <c r="B1345" i="11"/>
  <c r="D1345" i="11"/>
  <c r="H1345" i="11" s="1"/>
  <c r="F1345" i="11"/>
  <c r="B1346" i="11"/>
  <c r="D1346" i="11"/>
  <c r="F1346" i="11"/>
  <c r="G1346" i="11"/>
  <c r="H1346" i="11"/>
  <c r="B1347" i="11"/>
  <c r="G1347" i="11" s="1"/>
  <c r="D1347" i="11"/>
  <c r="H1347" i="11" s="1"/>
  <c r="B1348" i="11"/>
  <c r="D1348" i="11"/>
  <c r="F1348" i="11"/>
  <c r="G1348" i="11"/>
  <c r="H1348" i="11"/>
  <c r="B1349" i="11"/>
  <c r="D1349" i="11"/>
  <c r="H1349" i="11" s="1"/>
  <c r="F1349" i="11"/>
  <c r="B1350" i="11"/>
  <c r="D1350" i="11"/>
  <c r="F1350" i="11"/>
  <c r="G1350" i="11"/>
  <c r="H1350" i="11"/>
  <c r="B1351" i="11"/>
  <c r="D1351" i="11"/>
  <c r="H1351" i="11" s="1"/>
  <c r="F1351" i="11"/>
  <c r="B1352" i="11"/>
  <c r="D1352" i="11"/>
  <c r="F1352" i="11"/>
  <c r="G1352" i="11"/>
  <c r="H1352" i="11"/>
  <c r="B1353" i="11"/>
  <c r="D1353" i="11"/>
  <c r="H1353" i="11" s="1"/>
  <c r="F1353" i="11"/>
  <c r="G1353" i="11"/>
  <c r="B1354" i="11"/>
  <c r="D1354" i="11"/>
  <c r="F1354" i="11"/>
  <c r="G1354" i="11"/>
  <c r="H1354" i="11"/>
  <c r="B1355" i="11"/>
  <c r="D1355" i="11"/>
  <c r="H1355" i="11" s="1"/>
  <c r="F1355" i="11"/>
  <c r="G1355" i="11"/>
  <c r="B1356" i="11"/>
  <c r="D1356" i="11"/>
  <c r="F1356" i="11"/>
  <c r="G1356" i="11"/>
  <c r="H1356" i="11"/>
  <c r="B1357" i="11"/>
  <c r="D1357" i="11"/>
  <c r="H1357" i="11" s="1"/>
  <c r="F1357" i="11"/>
  <c r="G1357" i="11"/>
  <c r="B1358" i="11"/>
  <c r="D1358" i="11"/>
  <c r="F1358" i="11"/>
  <c r="G1358" i="11"/>
  <c r="H1358" i="11"/>
  <c r="B1359" i="11"/>
  <c r="F1359" i="11" s="1"/>
  <c r="D1359" i="11"/>
  <c r="H1359" i="11" s="1"/>
  <c r="B1360" i="11"/>
  <c r="D1360" i="11"/>
  <c r="F1360" i="11"/>
  <c r="G1360" i="11"/>
  <c r="H1360" i="11"/>
  <c r="B1361" i="11"/>
  <c r="F1361" i="11" s="1"/>
  <c r="D1361" i="11"/>
  <c r="H1361" i="11" s="1"/>
  <c r="B1362" i="11"/>
  <c r="D1362" i="11"/>
  <c r="F1362" i="11"/>
  <c r="G1362" i="11"/>
  <c r="H1362" i="11"/>
  <c r="B1363" i="11"/>
  <c r="G1363" i="11" s="1"/>
  <c r="D1363" i="11"/>
  <c r="H1363" i="11" s="1"/>
  <c r="B1364" i="11"/>
  <c r="D1364" i="11"/>
  <c r="F1364" i="11"/>
  <c r="G1364" i="11"/>
  <c r="H1364" i="11"/>
  <c r="B1365" i="11"/>
  <c r="G1365" i="11" s="1"/>
  <c r="D1365" i="11"/>
  <c r="H1365" i="11" s="1"/>
  <c r="F1365" i="11"/>
  <c r="B1366" i="11"/>
  <c r="D1366" i="11"/>
  <c r="F1366" i="11"/>
  <c r="G1366" i="11"/>
  <c r="H1366" i="11"/>
  <c r="B1367" i="11"/>
  <c r="D1367" i="11"/>
  <c r="H1367" i="11" s="1"/>
  <c r="F1367" i="11"/>
  <c r="G1367" i="11"/>
  <c r="B1368" i="11"/>
  <c r="D1368" i="11"/>
  <c r="F1368" i="11"/>
  <c r="G1368" i="11"/>
  <c r="H1368" i="11"/>
  <c r="B1369" i="11"/>
  <c r="D1369" i="11"/>
  <c r="H1369" i="11" s="1"/>
  <c r="F1369" i="11"/>
  <c r="G1369" i="11"/>
  <c r="B1370" i="11"/>
  <c r="D1370" i="11"/>
  <c r="F1370" i="11"/>
  <c r="G1370" i="11"/>
  <c r="H1370" i="11"/>
  <c r="B1371" i="11"/>
  <c r="D1371" i="11"/>
  <c r="H1371" i="11" s="1"/>
  <c r="F1371" i="11"/>
  <c r="G1371" i="11"/>
  <c r="B1372" i="11"/>
  <c r="D1372" i="11"/>
  <c r="F1372" i="11"/>
  <c r="G1372" i="11"/>
  <c r="H1372" i="11"/>
  <c r="B1373" i="11"/>
  <c r="D1373" i="11"/>
  <c r="H1373" i="11" s="1"/>
  <c r="F1373" i="11"/>
  <c r="G1373" i="11"/>
  <c r="B1374" i="11"/>
  <c r="D1374" i="11"/>
  <c r="F1374" i="11"/>
  <c r="G1374" i="11"/>
  <c r="H1374" i="11"/>
  <c r="B1375" i="11"/>
  <c r="D1375" i="11"/>
  <c r="H1375" i="11" s="1"/>
  <c r="F1375" i="11"/>
  <c r="G1375" i="11"/>
  <c r="B1376" i="11"/>
  <c r="D1376" i="11"/>
  <c r="F1376" i="11"/>
  <c r="G1376" i="11"/>
  <c r="H1376" i="11"/>
  <c r="B1377" i="11"/>
  <c r="D1377" i="11"/>
  <c r="H1377" i="11" s="1"/>
  <c r="F1377" i="11"/>
  <c r="G1377" i="11"/>
  <c r="B1378" i="11"/>
  <c r="D1378" i="11"/>
  <c r="F1378" i="11"/>
  <c r="G1378" i="11"/>
  <c r="H1378" i="11"/>
  <c r="B1379" i="11"/>
  <c r="F1379" i="11" s="1"/>
  <c r="D1379" i="11"/>
  <c r="H1379" i="11" s="1"/>
  <c r="B1380" i="11"/>
  <c r="D1380" i="11"/>
  <c r="F1380" i="11"/>
  <c r="G1380" i="11"/>
  <c r="H1380" i="11"/>
  <c r="B1381" i="11"/>
  <c r="F1381" i="11" s="1"/>
  <c r="D1381" i="11"/>
  <c r="H1381" i="11" s="1"/>
  <c r="B1382" i="11"/>
  <c r="D1382" i="11"/>
  <c r="F1382" i="11"/>
  <c r="G1382" i="11"/>
  <c r="H1382" i="11"/>
  <c r="B1383" i="11"/>
  <c r="G1383" i="11" s="1"/>
  <c r="D1383" i="11"/>
  <c r="H1383" i="11" s="1"/>
  <c r="B1384" i="11"/>
  <c r="D1384" i="11"/>
  <c r="F1384" i="11"/>
  <c r="G1384" i="11"/>
  <c r="H1384" i="11"/>
  <c r="B1385" i="11"/>
  <c r="G1385" i="11" s="1"/>
  <c r="D1385" i="11"/>
  <c r="H1385" i="11" s="1"/>
  <c r="F1385" i="11"/>
  <c r="B1386" i="11"/>
  <c r="D1386" i="11"/>
  <c r="F1386" i="11"/>
  <c r="G1386" i="11"/>
  <c r="H1386" i="11"/>
  <c r="B1387" i="11"/>
  <c r="D1387" i="11"/>
  <c r="H1387" i="11" s="1"/>
  <c r="F1387" i="11"/>
  <c r="G1387" i="11"/>
  <c r="B1388" i="11"/>
  <c r="D1388" i="11"/>
  <c r="F1388" i="11"/>
  <c r="G1388" i="11"/>
  <c r="H1388" i="11"/>
  <c r="B1389" i="11"/>
  <c r="D1389" i="11"/>
  <c r="H1389" i="11" s="1"/>
  <c r="F1389" i="11"/>
  <c r="G1389" i="11"/>
  <c r="B1390" i="11"/>
  <c r="D1390" i="11"/>
  <c r="F1390" i="11"/>
  <c r="G1390" i="11"/>
  <c r="H1390" i="11"/>
  <c r="B1391" i="11"/>
  <c r="D1391" i="11"/>
  <c r="H1391" i="11" s="1"/>
  <c r="F1391" i="11"/>
  <c r="G1391" i="11"/>
  <c r="B1392" i="11"/>
  <c r="D1392" i="11"/>
  <c r="F1392" i="11"/>
  <c r="G1392" i="11"/>
  <c r="H1392" i="11"/>
  <c r="B1393" i="11"/>
  <c r="D1393" i="11"/>
  <c r="H1393" i="11" s="1"/>
  <c r="F1393" i="11"/>
  <c r="G1393" i="11"/>
  <c r="B1394" i="11"/>
  <c r="D1394" i="11"/>
  <c r="F1394" i="11"/>
  <c r="G1394" i="11"/>
  <c r="H1394" i="11"/>
  <c r="B1395" i="11"/>
  <c r="D1395" i="11"/>
  <c r="H1395" i="11" s="1"/>
  <c r="F1395" i="11"/>
  <c r="G1395" i="11"/>
  <c r="B1396" i="11"/>
  <c r="D1396" i="11"/>
  <c r="F1396" i="11"/>
  <c r="G1396" i="11"/>
  <c r="H1396" i="11"/>
  <c r="B1397" i="11"/>
  <c r="D1397" i="11"/>
  <c r="H1397" i="11" s="1"/>
  <c r="F1397" i="11"/>
  <c r="G1397" i="11"/>
  <c r="B1398" i="11"/>
  <c r="D1398" i="11"/>
  <c r="F1398" i="11"/>
  <c r="G1398" i="11"/>
  <c r="H1398" i="11"/>
  <c r="B1399" i="11"/>
  <c r="F1399" i="11" s="1"/>
  <c r="D1399" i="11"/>
  <c r="H1399" i="11" s="1"/>
  <c r="B1400" i="11"/>
  <c r="D1400" i="11"/>
  <c r="F1400" i="11"/>
  <c r="G1400" i="11"/>
  <c r="H1400" i="11"/>
  <c r="B1401" i="11"/>
  <c r="F1401" i="11" s="1"/>
  <c r="D1401" i="11"/>
  <c r="H1401" i="11" s="1"/>
  <c r="B1402" i="11"/>
  <c r="D1402" i="11"/>
  <c r="F1402" i="11"/>
  <c r="G1402" i="11"/>
  <c r="H1402" i="11"/>
  <c r="B1403" i="11"/>
  <c r="G1403" i="11" s="1"/>
  <c r="D1403" i="11"/>
  <c r="H1403" i="11" s="1"/>
  <c r="B1404" i="11"/>
  <c r="D1404" i="11"/>
  <c r="F1404" i="11"/>
  <c r="G1404" i="11"/>
  <c r="H1404" i="11"/>
  <c r="B1405" i="11"/>
  <c r="G1405" i="11" s="1"/>
  <c r="D1405" i="11"/>
  <c r="H1405" i="11" s="1"/>
  <c r="F1405" i="11"/>
  <c r="B1406" i="11"/>
  <c r="D1406" i="11"/>
  <c r="F1406" i="11"/>
  <c r="G1406" i="11"/>
  <c r="H1406" i="11"/>
  <c r="B1407" i="11"/>
  <c r="D1407" i="11"/>
  <c r="H1407" i="11" s="1"/>
  <c r="F1407" i="11"/>
  <c r="G1407" i="11"/>
  <c r="B1408" i="11"/>
  <c r="D1408" i="11"/>
  <c r="F1408" i="11"/>
  <c r="G1408" i="11"/>
  <c r="H1408" i="11"/>
  <c r="B1409" i="11"/>
  <c r="D1409" i="11"/>
  <c r="H1409" i="11" s="1"/>
  <c r="F1409" i="11"/>
  <c r="G1409" i="11"/>
  <c r="B1410" i="11"/>
  <c r="D1410" i="11"/>
  <c r="F1410" i="11"/>
  <c r="G1410" i="11"/>
  <c r="H1410" i="11"/>
  <c r="B1411" i="11"/>
  <c r="D1411" i="11"/>
  <c r="H1411" i="11" s="1"/>
  <c r="F1411" i="11"/>
  <c r="G1411" i="11"/>
  <c r="B1412" i="11"/>
  <c r="D1412" i="11"/>
  <c r="F1412" i="11"/>
  <c r="G1412" i="11"/>
  <c r="H1412" i="11"/>
  <c r="B1413" i="11"/>
  <c r="D1413" i="11"/>
  <c r="H1413" i="11" s="1"/>
  <c r="F1413" i="11"/>
  <c r="G1413" i="11"/>
  <c r="B1414" i="11"/>
  <c r="D1414" i="11"/>
  <c r="F1414" i="11"/>
  <c r="G1414" i="11"/>
  <c r="H1414" i="11"/>
  <c r="B1415" i="11"/>
  <c r="D1415" i="11"/>
  <c r="H1415" i="11" s="1"/>
  <c r="F1415" i="11"/>
  <c r="G1415" i="11"/>
  <c r="B1416" i="11"/>
  <c r="D1416" i="11"/>
  <c r="F1416" i="11"/>
  <c r="G1416" i="11"/>
  <c r="H1416" i="11"/>
  <c r="B1417" i="11"/>
  <c r="D1417" i="11"/>
  <c r="H1417" i="11" s="1"/>
  <c r="F1417" i="11"/>
  <c r="G1417" i="11"/>
  <c r="B1418" i="11"/>
  <c r="D1418" i="11"/>
  <c r="F1418" i="11"/>
  <c r="G1418" i="11"/>
  <c r="H1418" i="11"/>
  <c r="B1419" i="11"/>
  <c r="F1419" i="11" s="1"/>
  <c r="D1419" i="11"/>
  <c r="H1419" i="11" s="1"/>
  <c r="B1420" i="11"/>
  <c r="D1420" i="11"/>
  <c r="F1420" i="11"/>
  <c r="G1420" i="11"/>
  <c r="H1420" i="11"/>
  <c r="B1421" i="11"/>
  <c r="F1421" i="11" s="1"/>
  <c r="D1421" i="11"/>
  <c r="H1421" i="11" s="1"/>
  <c r="B1422" i="11"/>
  <c r="D1422" i="11"/>
  <c r="F1422" i="11"/>
  <c r="G1422" i="11"/>
  <c r="H1422" i="11"/>
  <c r="B1423" i="11"/>
  <c r="G1423" i="11" s="1"/>
  <c r="D1423" i="11"/>
  <c r="H1423" i="11" s="1"/>
  <c r="B1424" i="11"/>
  <c r="D1424" i="11"/>
  <c r="F1424" i="11"/>
  <c r="G1424" i="11"/>
  <c r="H1424" i="11"/>
  <c r="B1425" i="11"/>
  <c r="F1425" i="11" s="1"/>
  <c r="D1425" i="11"/>
  <c r="H1425" i="11" s="1"/>
  <c r="B1426" i="11"/>
  <c r="D1426" i="11"/>
  <c r="F1426" i="11"/>
  <c r="G1426" i="11"/>
  <c r="H1426" i="11"/>
  <c r="B1427" i="11"/>
  <c r="D1427" i="11"/>
  <c r="H1427" i="11" s="1"/>
  <c r="F1427" i="11"/>
  <c r="G1427" i="11"/>
  <c r="B1428" i="11"/>
  <c r="D1428" i="11"/>
  <c r="F1428" i="11"/>
  <c r="G1428" i="11"/>
  <c r="H1428" i="11"/>
  <c r="B1429" i="11"/>
  <c r="D1429" i="11"/>
  <c r="H1429" i="11" s="1"/>
  <c r="F1429" i="11"/>
  <c r="G1429" i="11"/>
  <c r="B1430" i="11"/>
  <c r="D1430" i="11"/>
  <c r="F1430" i="11"/>
  <c r="G1430" i="11"/>
  <c r="H1430" i="11"/>
  <c r="B1431" i="11"/>
  <c r="D1431" i="11"/>
  <c r="H1431" i="11" s="1"/>
  <c r="F1431" i="11"/>
  <c r="G1431" i="11"/>
  <c r="B1432" i="11"/>
  <c r="D1432" i="11"/>
  <c r="F1432" i="11"/>
  <c r="G1432" i="11"/>
  <c r="H1432" i="11"/>
  <c r="B1433" i="11"/>
  <c r="D1433" i="11"/>
  <c r="H1433" i="11" s="1"/>
  <c r="F1433" i="11"/>
  <c r="G1433" i="11"/>
  <c r="B1434" i="11"/>
  <c r="D1434" i="11"/>
  <c r="F1434" i="11"/>
  <c r="G1434" i="11"/>
  <c r="H1434" i="11"/>
  <c r="B1435" i="11"/>
  <c r="D1435" i="11"/>
  <c r="H1435" i="11" s="1"/>
  <c r="F1435" i="11"/>
  <c r="G1435" i="11"/>
  <c r="B1436" i="11"/>
  <c r="D1436" i="11"/>
  <c r="F1436" i="11"/>
  <c r="G1436" i="11"/>
  <c r="H1436" i="11"/>
  <c r="B1437" i="11"/>
  <c r="D1437" i="11"/>
  <c r="H1437" i="11" s="1"/>
  <c r="F1437" i="11"/>
  <c r="G1437" i="11"/>
  <c r="B1438" i="11"/>
  <c r="D1438" i="11"/>
  <c r="F1438" i="11"/>
  <c r="G1438" i="11"/>
  <c r="H1438" i="11"/>
  <c r="B1439" i="11"/>
  <c r="F1439" i="11" s="1"/>
  <c r="D1439" i="11"/>
  <c r="H1439" i="11" s="1"/>
  <c r="B1440" i="11"/>
  <c r="D1440" i="11"/>
  <c r="F1440" i="11"/>
  <c r="G1440" i="11"/>
  <c r="H1440" i="11"/>
  <c r="B1441" i="11"/>
  <c r="F1441" i="11" s="1"/>
  <c r="D1441" i="11"/>
  <c r="H1441" i="11" s="1"/>
  <c r="B1442" i="11"/>
  <c r="D1442" i="11"/>
  <c r="F1442" i="11"/>
  <c r="G1442" i="11"/>
  <c r="H1442" i="11"/>
  <c r="B1443" i="11"/>
  <c r="G1443" i="11" s="1"/>
  <c r="D1443" i="11"/>
  <c r="H1443" i="11" s="1"/>
  <c r="B1444" i="11"/>
  <c r="D1444" i="11"/>
  <c r="F1444" i="11"/>
  <c r="G1444" i="11"/>
  <c r="H1444" i="11"/>
  <c r="B1445" i="11"/>
  <c r="G1445" i="11" s="1"/>
  <c r="D1445" i="11"/>
  <c r="H1445" i="11" s="1"/>
  <c r="F1445" i="11"/>
  <c r="B1446" i="11"/>
  <c r="D1446" i="11"/>
  <c r="F1446" i="11"/>
  <c r="G1446" i="11"/>
  <c r="H1446" i="11"/>
  <c r="B1447" i="11"/>
  <c r="D1447" i="11"/>
  <c r="H1447" i="11" s="1"/>
  <c r="F1447" i="11"/>
  <c r="G1447" i="11"/>
  <c r="B1448" i="11"/>
  <c r="D1448" i="11"/>
  <c r="F1448" i="11"/>
  <c r="G1448" i="11"/>
  <c r="H1448" i="11"/>
  <c r="B1449" i="11"/>
  <c r="D1449" i="11"/>
  <c r="H1449" i="11" s="1"/>
  <c r="F1449" i="11"/>
  <c r="G1449" i="11"/>
  <c r="B1450" i="11"/>
  <c r="D1450" i="11"/>
  <c r="G1450" i="11" s="1"/>
  <c r="F1450" i="11"/>
  <c r="B1451" i="11"/>
  <c r="D1451" i="11"/>
  <c r="H1451" i="11" s="1"/>
  <c r="F1451" i="11"/>
  <c r="G1451" i="11"/>
  <c r="B1452" i="11"/>
  <c r="D1452" i="11"/>
  <c r="G1452" i="11" s="1"/>
  <c r="F1452" i="11"/>
  <c r="B1453" i="11"/>
  <c r="D1453" i="11"/>
  <c r="H1453" i="11" s="1"/>
  <c r="F1453" i="11"/>
  <c r="G1453" i="11"/>
  <c r="B1454" i="11"/>
  <c r="D1454" i="11"/>
  <c r="H1454" i="11" s="1"/>
  <c r="F1454" i="11"/>
  <c r="B1455" i="11"/>
  <c r="D1455" i="11"/>
  <c r="H1455" i="11" s="1"/>
  <c r="F1455" i="11"/>
  <c r="G1455" i="11"/>
  <c r="B1456" i="11"/>
  <c r="D1456" i="11"/>
  <c r="H1456" i="11" s="1"/>
  <c r="F1456" i="11"/>
  <c r="G1456" i="11"/>
  <c r="B1457" i="11"/>
  <c r="D1457" i="11"/>
  <c r="H1457" i="11" s="1"/>
  <c r="F1457" i="11"/>
  <c r="G1457" i="11"/>
  <c r="B1458" i="11"/>
  <c r="D1458" i="11"/>
  <c r="F1458" i="11"/>
  <c r="G1458" i="11"/>
  <c r="H1458" i="11"/>
  <c r="B1459" i="11"/>
  <c r="F1459" i="11" s="1"/>
  <c r="D1459" i="11"/>
  <c r="H1459" i="11" s="1"/>
  <c r="B1460" i="11"/>
  <c r="D1460" i="11"/>
  <c r="F1460" i="11"/>
  <c r="G1460" i="11"/>
  <c r="H1460" i="11"/>
  <c r="B1461" i="11"/>
  <c r="F1461" i="11" s="1"/>
  <c r="D1461" i="11"/>
  <c r="H1461" i="11" s="1"/>
  <c r="B1462" i="11"/>
  <c r="D1462" i="11"/>
  <c r="F1462" i="11"/>
  <c r="G1462" i="11"/>
  <c r="H1462" i="11"/>
  <c r="B1463" i="11"/>
  <c r="G1463" i="11" s="1"/>
  <c r="D1463" i="11"/>
  <c r="H1463" i="11" s="1"/>
  <c r="B1464" i="11"/>
  <c r="D1464" i="11"/>
  <c r="F1464" i="11"/>
  <c r="G1464" i="11"/>
  <c r="H1464" i="11"/>
  <c r="B1465" i="11"/>
  <c r="G1465" i="11" s="1"/>
  <c r="D1465" i="11"/>
  <c r="H1465" i="11" s="1"/>
  <c r="F1465" i="11"/>
  <c r="B1466" i="11"/>
  <c r="D1466" i="11"/>
  <c r="F1466" i="11"/>
  <c r="G1466" i="11"/>
  <c r="H1466" i="11"/>
  <c r="B1467" i="11"/>
  <c r="D1467" i="11"/>
  <c r="H1467" i="11" s="1"/>
  <c r="F1467" i="11"/>
  <c r="G1467" i="11"/>
  <c r="B1468" i="11"/>
  <c r="D1468" i="11"/>
  <c r="F1468" i="11"/>
  <c r="G1468" i="11"/>
  <c r="H1468" i="11"/>
  <c r="B1469" i="11"/>
  <c r="D1469" i="11"/>
  <c r="H1469" i="11" s="1"/>
  <c r="F1469" i="11"/>
  <c r="G1469" i="11"/>
  <c r="B1470" i="11"/>
  <c r="D1470" i="11"/>
  <c r="G1470" i="11" s="1"/>
  <c r="F1470" i="11"/>
  <c r="B1471" i="11"/>
  <c r="D1471" i="11"/>
  <c r="H1471" i="11" s="1"/>
  <c r="F1471" i="11"/>
  <c r="G1471" i="11"/>
  <c r="B1472" i="11"/>
  <c r="D1472" i="11"/>
  <c r="G1472" i="11" s="1"/>
  <c r="F1472" i="11"/>
  <c r="B1473" i="11"/>
  <c r="D1473" i="11"/>
  <c r="H1473" i="11" s="1"/>
  <c r="F1473" i="11"/>
  <c r="G1473" i="11"/>
  <c r="B1474" i="11"/>
  <c r="G1474" i="11" s="1"/>
  <c r="D1474" i="11"/>
  <c r="H1474" i="11" s="1"/>
  <c r="F1474" i="11"/>
  <c r="B1475" i="11"/>
  <c r="D1475" i="11"/>
  <c r="H1475" i="11" s="1"/>
  <c r="F1475" i="11"/>
  <c r="G1475" i="11"/>
  <c r="B1476" i="11"/>
  <c r="D1476" i="11"/>
  <c r="H1476" i="11" s="1"/>
  <c r="F1476" i="11"/>
  <c r="G1476" i="11"/>
  <c r="B1477" i="11"/>
  <c r="D1477" i="11"/>
  <c r="H1477" i="11" s="1"/>
  <c r="F1477" i="11"/>
  <c r="G1477" i="11"/>
  <c r="B1478" i="11"/>
  <c r="D1478" i="11"/>
  <c r="F1478" i="11"/>
  <c r="G1478" i="11"/>
  <c r="H1478" i="11"/>
  <c r="B1479" i="11"/>
  <c r="F1479" i="11" s="1"/>
  <c r="D1479" i="11"/>
  <c r="H1479" i="11" s="1"/>
  <c r="B1480" i="11"/>
  <c r="D1480" i="11"/>
  <c r="F1480" i="11"/>
  <c r="G1480" i="11"/>
  <c r="H1480" i="11"/>
  <c r="B1481" i="11"/>
  <c r="F1481" i="11" s="1"/>
  <c r="D1481" i="11"/>
  <c r="H1481" i="11" s="1"/>
  <c r="B1482" i="11"/>
  <c r="D1482" i="11"/>
  <c r="F1482" i="11"/>
  <c r="G1482" i="11"/>
  <c r="H1482" i="11"/>
  <c r="B1483" i="11"/>
  <c r="G1483" i="11" s="1"/>
  <c r="D1483" i="11"/>
  <c r="H1483" i="11" s="1"/>
  <c r="B1484" i="11"/>
  <c r="D1484" i="11"/>
  <c r="F1484" i="11"/>
  <c r="G1484" i="11"/>
  <c r="H1484" i="11"/>
  <c r="B1485" i="11"/>
  <c r="G1485" i="11" s="1"/>
  <c r="D1485" i="11"/>
  <c r="H1485" i="11" s="1"/>
  <c r="F1485" i="11"/>
  <c r="B1486" i="11"/>
  <c r="D1486" i="11"/>
  <c r="F1486" i="11"/>
  <c r="G1486" i="11"/>
  <c r="H1486" i="11"/>
  <c r="B1487" i="11"/>
  <c r="D1487" i="11"/>
  <c r="H1487" i="11" s="1"/>
  <c r="F1487" i="11"/>
  <c r="G1487" i="11"/>
  <c r="B1488" i="11"/>
  <c r="F1488" i="11" s="1"/>
  <c r="D1488" i="11"/>
  <c r="H1488" i="11"/>
  <c r="B1489" i="11"/>
  <c r="D1489" i="11"/>
  <c r="H1489" i="11" s="1"/>
  <c r="F1489" i="11"/>
  <c r="G1489" i="11"/>
  <c r="B1490" i="11"/>
  <c r="F1490" i="11" s="1"/>
  <c r="D1490" i="11"/>
  <c r="H1490" i="11" s="1"/>
  <c r="B1491" i="11"/>
  <c r="D1491" i="11"/>
  <c r="H1491" i="11" s="1"/>
  <c r="F1491" i="11"/>
  <c r="G1491" i="11"/>
  <c r="B1492" i="11"/>
  <c r="G1492" i="11" s="1"/>
  <c r="D1492" i="11"/>
  <c r="H1492" i="11" s="1"/>
  <c r="B1493" i="11"/>
  <c r="D1493" i="11"/>
  <c r="H1493" i="11" s="1"/>
  <c r="F1493" i="11"/>
  <c r="G1493" i="11"/>
  <c r="B1494" i="11"/>
  <c r="G1494" i="11" s="1"/>
  <c r="D1494" i="11"/>
  <c r="H1494" i="11" s="1"/>
  <c r="F1494" i="11"/>
  <c r="B1495" i="11"/>
  <c r="D1495" i="11"/>
  <c r="H1495" i="11" s="1"/>
  <c r="F1495" i="11"/>
  <c r="G1495" i="11"/>
  <c r="B1496" i="11"/>
  <c r="D1496" i="11"/>
  <c r="H1496" i="11" s="1"/>
  <c r="F1496" i="11"/>
  <c r="G1496" i="11"/>
  <c r="B1497" i="11"/>
  <c r="D1497" i="11"/>
  <c r="H1497" i="11" s="1"/>
  <c r="F1497" i="11"/>
  <c r="G1497" i="11"/>
  <c r="B1498" i="11"/>
  <c r="D1498" i="11"/>
  <c r="F1498" i="11"/>
  <c r="G1498" i="11"/>
  <c r="H1498" i="11"/>
  <c r="B1499" i="11"/>
  <c r="F1499" i="11" s="1"/>
  <c r="D1499" i="11"/>
  <c r="H1499" i="11" s="1"/>
  <c r="B1500" i="11"/>
  <c r="D1500" i="11"/>
  <c r="F1500" i="11"/>
  <c r="G1500" i="11"/>
  <c r="H1500" i="11"/>
  <c r="B1501" i="11"/>
  <c r="F1501" i="11" s="1"/>
  <c r="D1501" i="11"/>
  <c r="H1501" i="11" s="1"/>
  <c r="B1502" i="11"/>
  <c r="D1502" i="11"/>
  <c r="F1502" i="11"/>
  <c r="G1502" i="11"/>
  <c r="H1502" i="11"/>
  <c r="B1503" i="11"/>
  <c r="G1503" i="11" s="1"/>
  <c r="D1503" i="11"/>
  <c r="H1503" i="11" s="1"/>
  <c r="B1504" i="11"/>
  <c r="D1504" i="11"/>
  <c r="F1504" i="11"/>
  <c r="G1504" i="11"/>
  <c r="H1504" i="11"/>
  <c r="B1505" i="11"/>
  <c r="G1505" i="11" s="1"/>
  <c r="D1505" i="11"/>
  <c r="H1505" i="11" s="1"/>
  <c r="F1505" i="11"/>
  <c r="B1506" i="11"/>
  <c r="D1506" i="11"/>
  <c r="F1506" i="11"/>
  <c r="G1506" i="11"/>
  <c r="H1506" i="11"/>
  <c r="B1507" i="11"/>
  <c r="D1507" i="11"/>
  <c r="H1507" i="11" s="1"/>
  <c r="F1507" i="11"/>
  <c r="G1507" i="11"/>
  <c r="B1508" i="11"/>
  <c r="F1508" i="11" s="1"/>
  <c r="D1508" i="11"/>
  <c r="H1508" i="11"/>
  <c r="B1509" i="11"/>
  <c r="D1509" i="11"/>
  <c r="H1509" i="11" s="1"/>
  <c r="F1509" i="11"/>
  <c r="G1509" i="11"/>
  <c r="B1510" i="11"/>
  <c r="F1510" i="11" s="1"/>
  <c r="D1510" i="11"/>
  <c r="H1510" i="11" s="1"/>
  <c r="B1511" i="11"/>
  <c r="D1511" i="11"/>
  <c r="H1511" i="11" s="1"/>
  <c r="F1511" i="11"/>
  <c r="G1511" i="11"/>
  <c r="B1512" i="11"/>
  <c r="G1512" i="11" s="1"/>
  <c r="D1512" i="11"/>
  <c r="H1512" i="11" s="1"/>
  <c r="B1513" i="11"/>
  <c r="D1513" i="11"/>
  <c r="H1513" i="11" s="1"/>
  <c r="F1513" i="11"/>
  <c r="G1513" i="11"/>
  <c r="B1514" i="11"/>
  <c r="G1514" i="11" s="1"/>
  <c r="D1514" i="11"/>
  <c r="H1514" i="11" s="1"/>
  <c r="F1514" i="11"/>
  <c r="B1515" i="11"/>
  <c r="D1515" i="11"/>
  <c r="H1515" i="11" s="1"/>
  <c r="F1515" i="11"/>
  <c r="G1515" i="11"/>
  <c r="B1516" i="11"/>
  <c r="D1516" i="11"/>
  <c r="H1516" i="11" s="1"/>
  <c r="F1516" i="11"/>
  <c r="G1516" i="11"/>
  <c r="B1517" i="11"/>
  <c r="D1517" i="11"/>
  <c r="H1517" i="11" s="1"/>
  <c r="F1517" i="11"/>
  <c r="G1517" i="11"/>
  <c r="B1518" i="11"/>
  <c r="D1518" i="11"/>
  <c r="F1518" i="11"/>
  <c r="G1518" i="11"/>
  <c r="H1518" i="11"/>
  <c r="B1519" i="11"/>
  <c r="F1519" i="11" s="1"/>
  <c r="D1519" i="11"/>
  <c r="H1519" i="11" s="1"/>
  <c r="B1520" i="11"/>
  <c r="D1520" i="11"/>
  <c r="F1520" i="11"/>
  <c r="G1520" i="11"/>
  <c r="H1520" i="11"/>
  <c r="B1521" i="11"/>
  <c r="F1521" i="11" s="1"/>
  <c r="D1521" i="11"/>
  <c r="H1521" i="11" s="1"/>
  <c r="B1522" i="11"/>
  <c r="D1522" i="11"/>
  <c r="F1522" i="11"/>
  <c r="G1522" i="11"/>
  <c r="H1522" i="11"/>
  <c r="B1523" i="11"/>
  <c r="G1523" i="11" s="1"/>
  <c r="D1523" i="11"/>
  <c r="H1523" i="11" s="1"/>
  <c r="B1524" i="11"/>
  <c r="D1524" i="11"/>
  <c r="F1524" i="11"/>
  <c r="G1524" i="11"/>
  <c r="H1524" i="11"/>
  <c r="B1525" i="11"/>
  <c r="G1525" i="11" s="1"/>
  <c r="D1525" i="11"/>
  <c r="H1525" i="11" s="1"/>
  <c r="F1525" i="11"/>
  <c r="B1526" i="11"/>
  <c r="D1526" i="11"/>
  <c r="F1526" i="11"/>
  <c r="G1526" i="11"/>
  <c r="H1526" i="11"/>
  <c r="B1527" i="11"/>
  <c r="D1527" i="11"/>
  <c r="H1527" i="11" s="1"/>
  <c r="F1527" i="11"/>
  <c r="G1527" i="11"/>
  <c r="B1528" i="11"/>
  <c r="F1528" i="11" s="1"/>
  <c r="D1528" i="11"/>
  <c r="H1528" i="11"/>
  <c r="B1529" i="11"/>
  <c r="D1529" i="11"/>
  <c r="H1529" i="11" s="1"/>
  <c r="F1529" i="11"/>
  <c r="G1529" i="11"/>
  <c r="B1530" i="11"/>
  <c r="F1530" i="11" s="1"/>
  <c r="D1530" i="11"/>
  <c r="H1530" i="11" s="1"/>
  <c r="B1531" i="11"/>
  <c r="D1531" i="11"/>
  <c r="H1531" i="11" s="1"/>
  <c r="F1531" i="11"/>
  <c r="G1531" i="11"/>
  <c r="B1532" i="11"/>
  <c r="G1532" i="11" s="1"/>
  <c r="D1532" i="11"/>
  <c r="H1532" i="11" s="1"/>
  <c r="B1533" i="11"/>
  <c r="D1533" i="11"/>
  <c r="H1533" i="11" s="1"/>
  <c r="F1533" i="11"/>
  <c r="G1533" i="11"/>
  <c r="B1534" i="11"/>
  <c r="G1534" i="11" s="1"/>
  <c r="D1534" i="11"/>
  <c r="H1534" i="11" s="1"/>
  <c r="F1534" i="11"/>
  <c r="B1535" i="11"/>
  <c r="D1535" i="11"/>
  <c r="H1535" i="11" s="1"/>
  <c r="F1535" i="11"/>
  <c r="G1535" i="11"/>
  <c r="B1536" i="11"/>
  <c r="D1536" i="11"/>
  <c r="H1536" i="11" s="1"/>
  <c r="F1536" i="11"/>
  <c r="G1536" i="11"/>
  <c r="B1537" i="11"/>
  <c r="D1537" i="11"/>
  <c r="H1537" i="11" s="1"/>
  <c r="F1537" i="11"/>
  <c r="G1537" i="11"/>
  <c r="B1538" i="11"/>
  <c r="D1538" i="11"/>
  <c r="F1538" i="11"/>
  <c r="G1538" i="11"/>
  <c r="H1538" i="11"/>
  <c r="B1539" i="11"/>
  <c r="D1539" i="11"/>
  <c r="H1539" i="11" s="1"/>
  <c r="F1539" i="11"/>
  <c r="G1539" i="11"/>
  <c r="B1540" i="11"/>
  <c r="D1540" i="11"/>
  <c r="F1540" i="11"/>
  <c r="G1540" i="11"/>
  <c r="H1540" i="11"/>
  <c r="B1541" i="11"/>
  <c r="F1541" i="11" s="1"/>
  <c r="D1541" i="11"/>
  <c r="H1541" i="11" s="1"/>
  <c r="B1542" i="11"/>
  <c r="D1542" i="11"/>
  <c r="F1542" i="11"/>
  <c r="G1542" i="11"/>
  <c r="H1542" i="11"/>
  <c r="B1543" i="11"/>
  <c r="G1543" i="11" s="1"/>
  <c r="D1543" i="11"/>
  <c r="H1543" i="11" s="1"/>
  <c r="B1544" i="11"/>
  <c r="D1544" i="11"/>
  <c r="F1544" i="11"/>
  <c r="G1544" i="11"/>
  <c r="H1544" i="11"/>
  <c r="B1545" i="11"/>
  <c r="G1545" i="11" s="1"/>
  <c r="D1545" i="11"/>
  <c r="H1545" i="11" s="1"/>
  <c r="F1545" i="11"/>
  <c r="B1546" i="11"/>
  <c r="D1546" i="11"/>
  <c r="F1546" i="11"/>
  <c r="G1546" i="11"/>
  <c r="H1546" i="11"/>
  <c r="B1547" i="11"/>
  <c r="D1547" i="11"/>
  <c r="H1547" i="11" s="1"/>
  <c r="F1547" i="11"/>
  <c r="G1547" i="11"/>
  <c r="B1548" i="11"/>
  <c r="F1548" i="11" s="1"/>
  <c r="D1548" i="11"/>
  <c r="H1548" i="11"/>
  <c r="B1549" i="11"/>
  <c r="D1549" i="11"/>
  <c r="H1549" i="11" s="1"/>
  <c r="F1549" i="11"/>
  <c r="G1549" i="11"/>
  <c r="B1550" i="11"/>
  <c r="F1550" i="11" s="1"/>
  <c r="D1550" i="11"/>
  <c r="H1550" i="11" s="1"/>
  <c r="B1551" i="11"/>
  <c r="D1551" i="11"/>
  <c r="H1551" i="11" s="1"/>
  <c r="F1551" i="11"/>
  <c r="G1551" i="11"/>
  <c r="B1552" i="11"/>
  <c r="G1552" i="11" s="1"/>
  <c r="D1552" i="11"/>
  <c r="H1552" i="11" s="1"/>
  <c r="B1553" i="11"/>
  <c r="D1553" i="11"/>
  <c r="H1553" i="11" s="1"/>
  <c r="F1553" i="11"/>
  <c r="G1553" i="11"/>
  <c r="B1554" i="11"/>
  <c r="G1554" i="11" s="1"/>
  <c r="D1554" i="11"/>
  <c r="H1554" i="11" s="1"/>
  <c r="F1554" i="11"/>
  <c r="B1555" i="11"/>
  <c r="D1555" i="11"/>
  <c r="H1555" i="11" s="1"/>
  <c r="F1555" i="11"/>
  <c r="G1555" i="11"/>
  <c r="B1556" i="11"/>
  <c r="D1556" i="11"/>
  <c r="H1556" i="11" s="1"/>
  <c r="F1556" i="11"/>
  <c r="G1556" i="11"/>
  <c r="B1557" i="11"/>
  <c r="D1557" i="11"/>
  <c r="H1557" i="11" s="1"/>
  <c r="F1557" i="11"/>
  <c r="G1557" i="11"/>
  <c r="B1558" i="11"/>
  <c r="D1558" i="11"/>
  <c r="F1558" i="11"/>
  <c r="G1558" i="11"/>
  <c r="H1558" i="11"/>
  <c r="B1559" i="11"/>
  <c r="F1559" i="11" s="1"/>
  <c r="D1559" i="11"/>
  <c r="H1559" i="11" s="1"/>
  <c r="G1559" i="11"/>
  <c r="B1560" i="11"/>
  <c r="D1560" i="11"/>
  <c r="F1560" i="11"/>
  <c r="G1560" i="11"/>
  <c r="H1560" i="11"/>
  <c r="B1561" i="11"/>
  <c r="F1561" i="11" s="1"/>
  <c r="D1561" i="11"/>
  <c r="H1561" i="11" s="1"/>
  <c r="B1562" i="11"/>
  <c r="D1562" i="11"/>
  <c r="F1562" i="11"/>
  <c r="G1562" i="11"/>
  <c r="H1562" i="11"/>
  <c r="B1563" i="11"/>
  <c r="G1563" i="11" s="1"/>
  <c r="D1563" i="11"/>
  <c r="H1563" i="11" s="1"/>
  <c r="B1564" i="11"/>
  <c r="D1564" i="11"/>
  <c r="F1564" i="11"/>
  <c r="G1564" i="11"/>
  <c r="H1564" i="11"/>
  <c r="B1565" i="11"/>
  <c r="G1565" i="11" s="1"/>
  <c r="D1565" i="11"/>
  <c r="H1565" i="11" s="1"/>
  <c r="F1565" i="11"/>
  <c r="B1566" i="11"/>
  <c r="D1566" i="11"/>
  <c r="F1566" i="11"/>
  <c r="G1566" i="11"/>
  <c r="H1566" i="11"/>
  <c r="B1567" i="11"/>
  <c r="D1567" i="11"/>
  <c r="H1567" i="11" s="1"/>
  <c r="F1567" i="11"/>
  <c r="G1567" i="11"/>
  <c r="B1568" i="11"/>
  <c r="F1568" i="11" s="1"/>
  <c r="D1568" i="11"/>
  <c r="G1568" i="11"/>
  <c r="H1568" i="11"/>
  <c r="B1569" i="11"/>
  <c r="D1569" i="11"/>
  <c r="H1569" i="11" s="1"/>
  <c r="F1569" i="11"/>
  <c r="G1569" i="11"/>
  <c r="B1570" i="11"/>
  <c r="F1570" i="11" s="1"/>
  <c r="D1570" i="11"/>
  <c r="H1570" i="11"/>
  <c r="B1571" i="11"/>
  <c r="D1571" i="11"/>
  <c r="H1571" i="11" s="1"/>
  <c r="F1571" i="11"/>
  <c r="G1571" i="11"/>
  <c r="B1572" i="11"/>
  <c r="G1572" i="11" s="1"/>
  <c r="D1572" i="11"/>
  <c r="H1572" i="11" s="1"/>
  <c r="B1573" i="11"/>
  <c r="D1573" i="11"/>
  <c r="H1573" i="11" s="1"/>
  <c r="F1573" i="11"/>
  <c r="G1573" i="11"/>
  <c r="B1574" i="11"/>
  <c r="G1574" i="11" s="1"/>
  <c r="D1574" i="11"/>
  <c r="H1574" i="11" s="1"/>
  <c r="F1574" i="11"/>
  <c r="B1575" i="11"/>
  <c r="D1575" i="11"/>
  <c r="H1575" i="11" s="1"/>
  <c r="F1575" i="11"/>
  <c r="G1575" i="11"/>
  <c r="B1576" i="11"/>
  <c r="D1576" i="11"/>
  <c r="H1576" i="11" s="1"/>
  <c r="F1576" i="11"/>
  <c r="G1576" i="11"/>
  <c r="B1577" i="11"/>
  <c r="D1577" i="11"/>
  <c r="H1577" i="11" s="1"/>
  <c r="F1577" i="11"/>
  <c r="G1577" i="11"/>
  <c r="B1578" i="11"/>
  <c r="D1578" i="11"/>
  <c r="F1578" i="11"/>
  <c r="G1578" i="11"/>
  <c r="H1578" i="11"/>
  <c r="B1579" i="11"/>
  <c r="F1579" i="11" s="1"/>
  <c r="D1579" i="11"/>
  <c r="H1579" i="11" s="1"/>
  <c r="G1579" i="11"/>
  <c r="B1580" i="11"/>
  <c r="D1580" i="11"/>
  <c r="F1580" i="11"/>
  <c r="G1580" i="11"/>
  <c r="H1580" i="11"/>
  <c r="B1581" i="11"/>
  <c r="F1581" i="11" s="1"/>
  <c r="D1581" i="11"/>
  <c r="H1581" i="11" s="1"/>
  <c r="B1582" i="11"/>
  <c r="D1582" i="11"/>
  <c r="F1582" i="11"/>
  <c r="G1582" i="11"/>
  <c r="H1582" i="11"/>
  <c r="B1583" i="11"/>
  <c r="G1583" i="11" s="1"/>
  <c r="D1583" i="11"/>
  <c r="H1583" i="11" s="1"/>
  <c r="B1584" i="11"/>
  <c r="D1584" i="11"/>
  <c r="F1584" i="11"/>
  <c r="G1584" i="11"/>
  <c r="H1584" i="11"/>
  <c r="B1585" i="11"/>
  <c r="G1585" i="11" s="1"/>
  <c r="D1585" i="11"/>
  <c r="H1585" i="11" s="1"/>
  <c r="F1585" i="11"/>
  <c r="B1586" i="11"/>
  <c r="D1586" i="11"/>
  <c r="F1586" i="11"/>
  <c r="G1586" i="11"/>
  <c r="H1586" i="11"/>
  <c r="B1587" i="11"/>
  <c r="D1587" i="11"/>
  <c r="H1587" i="11" s="1"/>
  <c r="F1587" i="11"/>
  <c r="G1587" i="11"/>
  <c r="B1588" i="11"/>
  <c r="D1588" i="11"/>
  <c r="F1588" i="11"/>
  <c r="G1588" i="11"/>
  <c r="H1588" i="11"/>
  <c r="B1589" i="11"/>
  <c r="D1589" i="11"/>
  <c r="H1589" i="11" s="1"/>
  <c r="F1589" i="11"/>
  <c r="G1589" i="11"/>
  <c r="B1590" i="11"/>
  <c r="D1590" i="11"/>
  <c r="F1590" i="11"/>
  <c r="G1590" i="11"/>
  <c r="H1590" i="11"/>
  <c r="B1591" i="11"/>
  <c r="D1591" i="11"/>
  <c r="H1591" i="11" s="1"/>
  <c r="F1591" i="11"/>
  <c r="G1591" i="11"/>
  <c r="B1592" i="11"/>
  <c r="D1592" i="11"/>
  <c r="F1592" i="11"/>
  <c r="G1592" i="11"/>
  <c r="H1592" i="11"/>
  <c r="B1593" i="11"/>
  <c r="D1593" i="11"/>
  <c r="H1593" i="11" s="1"/>
  <c r="F1593" i="11"/>
  <c r="G1593" i="11"/>
  <c r="B1594" i="11"/>
  <c r="D1594" i="11"/>
  <c r="F1594" i="11"/>
  <c r="G1594" i="11"/>
  <c r="H1594" i="11"/>
  <c r="B1595" i="11"/>
  <c r="D1595" i="11"/>
  <c r="H1595" i="11" s="1"/>
  <c r="F1595" i="11"/>
  <c r="G1595" i="11"/>
  <c r="B1596" i="11"/>
  <c r="D1596" i="11"/>
  <c r="F1596" i="11"/>
  <c r="G1596" i="11"/>
  <c r="H1596" i="11"/>
  <c r="B1597" i="11"/>
  <c r="D1597" i="11"/>
  <c r="H1597" i="11" s="1"/>
  <c r="F1597" i="11"/>
  <c r="G1597" i="11"/>
  <c r="B1598" i="11"/>
  <c r="D1598" i="11"/>
  <c r="F1598" i="11"/>
  <c r="G1598" i="11"/>
  <c r="H1598" i="11"/>
  <c r="B1599" i="11"/>
  <c r="D1599" i="11"/>
  <c r="H1599" i="11" s="1"/>
  <c r="F1599" i="11"/>
  <c r="G1599" i="11"/>
  <c r="B1600" i="11"/>
  <c r="D1600" i="11"/>
  <c r="F1600" i="11"/>
  <c r="G1600" i="11"/>
  <c r="H1600" i="11"/>
  <c r="B1601" i="11"/>
  <c r="D1601" i="11"/>
  <c r="H1601" i="11" s="1"/>
  <c r="F1601" i="11"/>
  <c r="G1601" i="11"/>
  <c r="B1602" i="11"/>
  <c r="D1602" i="11"/>
  <c r="F1602" i="11"/>
  <c r="G1602" i="11"/>
  <c r="H1602" i="11"/>
  <c r="B1603" i="11"/>
  <c r="D1603" i="11"/>
  <c r="H1603" i="11" s="1"/>
  <c r="F1603" i="11"/>
  <c r="G1603" i="11"/>
  <c r="B1604" i="11"/>
  <c r="D1604" i="11"/>
  <c r="F1604" i="11"/>
  <c r="G1604" i="11"/>
  <c r="H1604" i="11"/>
  <c r="B1605" i="11"/>
  <c r="D1605" i="11"/>
  <c r="H1605" i="11" s="1"/>
  <c r="F1605" i="11"/>
  <c r="G1605" i="11"/>
  <c r="B1606" i="11"/>
  <c r="D1606" i="11"/>
  <c r="F1606" i="11"/>
  <c r="G1606" i="11"/>
  <c r="H1606" i="11"/>
  <c r="B1607" i="11"/>
  <c r="D1607" i="11"/>
  <c r="H1607" i="11" s="1"/>
  <c r="F1607" i="11"/>
  <c r="G1607" i="11"/>
  <c r="B1608" i="11"/>
  <c r="D1608" i="11"/>
  <c r="F1608" i="11"/>
  <c r="G1608" i="11"/>
  <c r="H1608" i="11"/>
  <c r="B1609" i="11"/>
  <c r="D1609" i="11"/>
  <c r="H1609" i="11" s="1"/>
  <c r="F1609" i="11"/>
  <c r="G1609" i="11"/>
  <c r="B1610" i="11"/>
  <c r="D1610" i="11"/>
  <c r="F1610" i="11"/>
  <c r="G1610" i="11"/>
  <c r="H1610" i="11"/>
  <c r="B1611" i="11"/>
  <c r="D1611" i="11"/>
  <c r="H1611" i="11" s="1"/>
  <c r="F1611" i="11"/>
  <c r="G1611" i="11"/>
  <c r="B1612" i="11"/>
  <c r="D1612" i="11"/>
  <c r="F1612" i="11"/>
  <c r="G1612" i="11"/>
  <c r="H1612" i="11"/>
  <c r="B1613" i="11"/>
  <c r="D1613" i="11"/>
  <c r="H1613" i="11" s="1"/>
  <c r="F1613" i="11"/>
  <c r="G1613" i="11"/>
  <c r="B1614" i="11"/>
  <c r="D1614" i="11"/>
  <c r="F1614" i="11"/>
  <c r="G1614" i="11"/>
  <c r="H1614" i="11"/>
  <c r="B1615" i="11"/>
  <c r="D1615" i="11"/>
  <c r="H1615" i="11" s="1"/>
  <c r="F1615" i="11"/>
  <c r="G1615" i="11"/>
  <c r="B1616" i="11"/>
  <c r="D1616" i="11"/>
  <c r="F1616" i="11"/>
  <c r="G1616" i="11"/>
  <c r="H1616" i="11"/>
  <c r="B1617" i="11"/>
  <c r="D1617" i="11"/>
  <c r="H1617" i="11" s="1"/>
  <c r="F1617" i="11"/>
  <c r="G1617" i="11"/>
  <c r="B1618" i="11"/>
  <c r="D1618" i="11"/>
  <c r="F1618" i="11"/>
  <c r="G1618" i="11"/>
  <c r="H1618" i="11"/>
  <c r="B1619" i="11"/>
  <c r="D1619" i="11"/>
  <c r="H1619" i="11" s="1"/>
  <c r="F1619" i="11"/>
  <c r="G1619" i="11"/>
  <c r="B1620" i="11"/>
  <c r="D1620" i="11"/>
  <c r="F1620" i="11"/>
  <c r="G1620" i="11"/>
  <c r="H1620" i="11"/>
  <c r="B1621" i="11"/>
  <c r="D1621" i="11"/>
  <c r="H1621" i="11" s="1"/>
  <c r="F1621" i="11"/>
  <c r="G1621" i="11"/>
  <c r="B1622" i="11"/>
  <c r="D1622" i="11"/>
  <c r="F1622" i="11"/>
  <c r="G1622" i="11"/>
  <c r="H1622" i="11"/>
  <c r="B1623" i="11"/>
  <c r="D1623" i="11"/>
  <c r="H1623" i="11" s="1"/>
  <c r="F1623" i="11"/>
  <c r="G1623" i="11"/>
  <c r="B1624" i="11"/>
  <c r="D1624" i="11"/>
  <c r="F1624" i="11"/>
  <c r="G1624" i="11"/>
  <c r="H1624" i="11"/>
  <c r="B1625" i="11"/>
  <c r="D1625" i="11"/>
  <c r="H1625" i="11" s="1"/>
  <c r="F1625" i="11"/>
  <c r="G1625" i="11"/>
  <c r="B1626" i="11"/>
  <c r="D1626" i="11"/>
  <c r="F1626" i="11"/>
  <c r="G1626" i="11"/>
  <c r="H1626" i="11"/>
  <c r="B1627" i="11"/>
  <c r="D1627" i="11"/>
  <c r="H1627" i="11" s="1"/>
  <c r="F1627" i="11"/>
  <c r="G1627" i="11"/>
  <c r="B1628" i="11"/>
  <c r="D1628" i="11"/>
  <c r="F1628" i="11"/>
  <c r="G1628" i="11"/>
  <c r="H1628" i="11"/>
  <c r="B1629" i="11"/>
  <c r="D1629" i="11"/>
  <c r="H1629" i="11" s="1"/>
  <c r="F1629" i="11"/>
  <c r="G1629" i="11"/>
  <c r="B1630" i="11"/>
  <c r="D1630" i="11"/>
  <c r="F1630" i="11"/>
  <c r="G1630" i="11"/>
  <c r="H1630" i="11"/>
  <c r="B3" i="3"/>
  <c r="P690" i="11"/>
  <c r="P691" i="11"/>
  <c r="Q691" i="11"/>
  <c r="Q692" i="11"/>
  <c r="P693" i="11"/>
  <c r="Q693" i="11"/>
  <c r="P697" i="11"/>
  <c r="P698" i="11"/>
  <c r="Q698" i="11"/>
  <c r="Q699" i="11"/>
  <c r="D5" i="11" s="1"/>
  <c r="P700" i="11"/>
  <c r="Q700" i="11"/>
  <c r="D6" i="11"/>
  <c r="D7" i="11"/>
  <c r="Q704" i="11"/>
  <c r="P705" i="11"/>
  <c r="Q705" i="11"/>
  <c r="P707" i="11"/>
  <c r="P708" i="11"/>
  <c r="Q708" i="11"/>
  <c r="M768" i="11"/>
  <c r="G2309" i="11" l="1"/>
  <c r="H2309" i="11"/>
  <c r="G2289" i="11"/>
  <c r="H2289" i="11"/>
  <c r="H2185" i="11"/>
  <c r="G2185" i="11"/>
  <c r="F2552" i="11"/>
  <c r="F2543" i="11"/>
  <c r="F2532" i="11"/>
  <c r="F2523" i="11"/>
  <c r="F2512" i="11"/>
  <c r="F2503" i="11"/>
  <c r="F2492" i="11"/>
  <c r="F2483" i="11"/>
  <c r="F2472" i="11"/>
  <c r="F2463" i="11"/>
  <c r="F2452" i="11"/>
  <c r="F2443" i="11"/>
  <c r="F2432" i="11"/>
  <c r="F2423" i="11"/>
  <c r="F2412" i="11"/>
  <c r="F2403" i="11"/>
  <c r="F2392" i="11"/>
  <c r="G2385" i="11"/>
  <c r="F2372" i="11"/>
  <c r="G2365" i="11"/>
  <c r="F2352" i="11"/>
  <c r="G2345" i="11"/>
  <c r="F2332" i="11"/>
  <c r="G2325" i="11"/>
  <c r="G2302" i="11"/>
  <c r="G2282" i="11"/>
  <c r="G2262" i="11"/>
  <c r="G2247" i="11"/>
  <c r="H2247" i="11"/>
  <c r="G2237" i="11"/>
  <c r="F2222" i="11"/>
  <c r="G2222" i="11"/>
  <c r="G2201" i="11"/>
  <c r="H2201" i="11"/>
  <c r="G2191" i="11"/>
  <c r="G2173" i="11"/>
  <c r="F2122" i="11"/>
  <c r="G2122" i="11"/>
  <c r="F2112" i="11"/>
  <c r="G2112" i="11"/>
  <c r="F2100" i="11"/>
  <c r="G2054" i="11"/>
  <c r="F2054" i="11"/>
  <c r="G1974" i="11"/>
  <c r="F1974" i="11"/>
  <c r="G1873" i="11"/>
  <c r="F1873" i="11"/>
  <c r="G1827" i="11"/>
  <c r="F1827" i="11"/>
  <c r="G2227" i="11"/>
  <c r="H2227" i="11"/>
  <c r="F2176" i="11"/>
  <c r="G2176" i="11"/>
  <c r="F2090" i="11"/>
  <c r="G2090" i="11"/>
  <c r="F2080" i="11"/>
  <c r="G2080" i="11"/>
  <c r="F2070" i="11"/>
  <c r="G2070" i="11"/>
  <c r="G1728" i="11"/>
  <c r="F1728" i="11"/>
  <c r="G1648" i="11"/>
  <c r="F1648" i="11"/>
  <c r="G2551" i="11"/>
  <c r="G2511" i="11"/>
  <c r="G2491" i="11"/>
  <c r="G2451" i="11"/>
  <c r="G2411" i="11"/>
  <c r="G2351" i="11"/>
  <c r="G2311" i="11"/>
  <c r="G2249" i="11"/>
  <c r="H2249" i="11"/>
  <c r="F2160" i="11"/>
  <c r="G2160" i="11"/>
  <c r="F2150" i="11"/>
  <c r="G2150" i="11"/>
  <c r="G2134" i="11"/>
  <c r="F2134" i="11"/>
  <c r="G2114" i="11"/>
  <c r="G2056" i="11"/>
  <c r="G2018" i="11"/>
  <c r="F2018" i="11"/>
  <c r="G1996" i="11"/>
  <c r="G1976" i="11"/>
  <c r="F1958" i="11"/>
  <c r="G1958" i="11"/>
  <c r="F1939" i="11"/>
  <c r="G1939" i="11"/>
  <c r="G1923" i="11"/>
  <c r="F1923" i="11"/>
  <c r="F1917" i="11"/>
  <c r="G1917" i="11"/>
  <c r="G1893" i="11"/>
  <c r="F1893" i="11"/>
  <c r="G1736" i="11"/>
  <c r="H1736" i="11"/>
  <c r="G1668" i="11"/>
  <c r="F1668" i="11"/>
  <c r="F1644" i="11"/>
  <c r="G1644" i="11"/>
  <c r="G2229" i="11"/>
  <c r="H2229" i="11"/>
  <c r="G2213" i="11"/>
  <c r="H2213" i="11"/>
  <c r="H2208" i="11"/>
  <c r="G2208" i="11"/>
  <c r="F2178" i="11"/>
  <c r="G2178" i="11"/>
  <c r="F2082" i="11"/>
  <c r="G2082" i="11"/>
  <c r="F2072" i="11"/>
  <c r="G2072" i="11"/>
  <c r="F2012" i="11"/>
  <c r="G2012" i="11"/>
  <c r="F1911" i="11"/>
  <c r="G1911" i="11"/>
  <c r="F1795" i="11"/>
  <c r="G1795" i="11"/>
  <c r="G1748" i="11"/>
  <c r="F1748" i="11"/>
  <c r="G2214" i="11"/>
  <c r="F2296" i="11"/>
  <c r="G2296" i="11"/>
  <c r="F2276" i="11"/>
  <c r="G2276" i="11"/>
  <c r="F2256" i="11"/>
  <c r="G2256" i="11"/>
  <c r="F2032" i="11"/>
  <c r="G2032" i="11"/>
  <c r="F1952" i="11"/>
  <c r="G1952" i="11"/>
  <c r="G1903" i="11"/>
  <c r="G1811" i="11"/>
  <c r="F1811" i="11"/>
  <c r="G1792" i="11"/>
  <c r="F2236" i="11"/>
  <c r="G2236" i="11"/>
  <c r="F2152" i="11"/>
  <c r="G2152" i="11"/>
  <c r="G2020" i="11"/>
  <c r="G1960" i="11"/>
  <c r="F1960" i="11"/>
  <c r="G1931" i="11"/>
  <c r="G1925" i="11"/>
  <c r="F1925" i="11"/>
  <c r="F1919" i="11"/>
  <c r="G1919" i="11"/>
  <c r="F1805" i="11"/>
  <c r="G1805" i="11"/>
  <c r="G1776" i="11"/>
  <c r="H1776" i="11"/>
  <c r="H2084" i="11"/>
  <c r="G2084" i="11"/>
  <c r="G2508" i="11"/>
  <c r="G2448" i="11"/>
  <c r="G2408" i="11"/>
  <c r="G2388" i="11"/>
  <c r="G2328" i="11"/>
  <c r="F2298" i="11"/>
  <c r="G2298" i="11"/>
  <c r="F2278" i="11"/>
  <c r="G2278" i="11"/>
  <c r="F2258" i="11"/>
  <c r="G2258" i="11"/>
  <c r="H2235" i="11"/>
  <c r="F2220" i="11"/>
  <c r="G2220" i="11"/>
  <c r="H2217" i="11"/>
  <c r="G2180" i="11"/>
  <c r="F2130" i="11"/>
  <c r="G2130" i="11"/>
  <c r="F2120" i="11"/>
  <c r="G2120" i="11"/>
  <c r="F2110" i="11"/>
  <c r="G2110" i="11"/>
  <c r="G2096" i="11"/>
  <c r="G2094" i="11"/>
  <c r="F2094" i="11"/>
  <c r="G2074" i="11"/>
  <c r="F2042" i="11"/>
  <c r="G2042" i="11"/>
  <c r="G1941" i="11"/>
  <c r="F1941" i="11"/>
  <c r="F1913" i="11"/>
  <c r="G1913" i="11"/>
  <c r="F1871" i="11"/>
  <c r="G1871" i="11"/>
  <c r="F1825" i="11"/>
  <c r="G1825" i="11"/>
  <c r="G1815" i="11"/>
  <c r="H1875" i="11"/>
  <c r="G1875" i="11"/>
  <c r="G1847" i="11"/>
  <c r="F1847" i="11"/>
  <c r="G2550" i="11"/>
  <c r="G2541" i="11"/>
  <c r="G2530" i="11"/>
  <c r="G2521" i="11"/>
  <c r="G2510" i="11"/>
  <c r="G2501" i="11"/>
  <c r="G2490" i="11"/>
  <c r="G2481" i="11"/>
  <c r="G2470" i="11"/>
  <c r="G2461" i="11"/>
  <c r="G2450" i="11"/>
  <c r="G2441" i="11"/>
  <c r="G2430" i="11"/>
  <c r="G2421" i="11"/>
  <c r="G2410" i="11"/>
  <c r="G2401" i="11"/>
  <c r="G2390" i="11"/>
  <c r="G2381" i="11"/>
  <c r="G2370" i="11"/>
  <c r="G2350" i="11"/>
  <c r="G2341" i="11"/>
  <c r="G2330" i="11"/>
  <c r="G2321" i="11"/>
  <c r="G2300" i="11"/>
  <c r="H2297" i="11"/>
  <c r="G2280" i="11"/>
  <c r="H2277" i="11"/>
  <c r="G2260" i="11"/>
  <c r="H2257" i="11"/>
  <c r="H2250" i="11"/>
  <c r="F2238" i="11"/>
  <c r="G2238" i="11"/>
  <c r="F2192" i="11"/>
  <c r="G2192" i="11"/>
  <c r="H2189" i="11"/>
  <c r="G2184" i="11"/>
  <c r="G2171" i="11"/>
  <c r="H2171" i="11"/>
  <c r="H2164" i="11"/>
  <c r="G2164" i="11"/>
  <c r="G2098" i="11"/>
  <c r="G2034" i="11"/>
  <c r="F2034" i="11"/>
  <c r="G1964" i="11"/>
  <c r="G1954" i="11"/>
  <c r="F1954" i="11"/>
  <c r="G1833" i="11"/>
  <c r="F1833" i="11"/>
  <c r="G1817" i="11"/>
  <c r="G1813" i="11"/>
  <c r="G2269" i="11"/>
  <c r="H2269" i="11"/>
  <c r="F2206" i="11"/>
  <c r="G2206" i="11"/>
  <c r="H2124" i="11"/>
  <c r="G2124" i="11"/>
  <c r="F2162" i="11"/>
  <c r="G2162" i="11"/>
  <c r="G2383" i="11"/>
  <c r="G2363" i="11"/>
  <c r="G2343" i="11"/>
  <c r="G2323" i="11"/>
  <c r="G2307" i="11"/>
  <c r="H2307" i="11"/>
  <c r="G2287" i="11"/>
  <c r="H2287" i="11"/>
  <c r="G2267" i="11"/>
  <c r="H2267" i="11"/>
  <c r="G2240" i="11"/>
  <c r="F2194" i="11"/>
  <c r="G2154" i="11"/>
  <c r="H2044" i="11"/>
  <c r="G2044" i="11"/>
  <c r="G1962" i="11"/>
  <c r="F1835" i="11"/>
  <c r="G1994" i="11"/>
  <c r="F1994" i="11"/>
  <c r="F1972" i="11"/>
  <c r="G1972" i="11"/>
  <c r="F1885" i="11"/>
  <c r="G1885" i="11"/>
  <c r="G1786" i="11"/>
  <c r="F1786" i="11"/>
  <c r="F1752" i="11"/>
  <c r="G1752" i="11"/>
  <c r="H1743" i="11"/>
  <c r="G1743" i="11"/>
  <c r="G1688" i="11"/>
  <c r="F1664" i="11"/>
  <c r="G1664" i="11"/>
  <c r="G1708" i="11"/>
  <c r="G2040" i="11"/>
  <c r="G2036" i="11"/>
  <c r="G2014" i="11"/>
  <c r="F2014" i="11"/>
  <c r="F1992" i="11"/>
  <c r="G1992" i="11"/>
  <c r="G1982" i="11"/>
  <c r="H1787" i="11"/>
  <c r="G1787" i="11"/>
  <c r="F1765" i="11"/>
  <c r="G1765" i="11"/>
  <c r="F2132" i="11"/>
  <c r="G2132" i="11"/>
  <c r="F2092" i="11"/>
  <c r="G2092" i="11"/>
  <c r="F2052" i="11"/>
  <c r="G2052" i="11"/>
  <c r="F2016" i="11"/>
  <c r="G1984" i="11"/>
  <c r="H1943" i="11"/>
  <c r="G1943" i="11"/>
  <c r="G1783" i="11"/>
  <c r="G1761" i="11"/>
  <c r="G1956" i="11"/>
  <c r="G1891" i="11"/>
  <c r="F1891" i="11"/>
  <c r="G1869" i="11"/>
  <c r="G1849" i="11"/>
  <c r="F1831" i="11"/>
  <c r="G1831" i="11"/>
  <c r="G1809" i="11"/>
  <c r="F1809" i="11"/>
  <c r="G1790" i="11"/>
  <c r="F1790" i="11"/>
  <c r="G1768" i="11"/>
  <c r="F1768" i="11"/>
  <c r="F1764" i="11"/>
  <c r="G1764" i="11"/>
  <c r="G1929" i="11"/>
  <c r="F1929" i="11"/>
  <c r="G1867" i="11"/>
  <c r="F1867" i="11"/>
  <c r="F1845" i="11"/>
  <c r="G1845" i="11"/>
  <c r="F1784" i="11"/>
  <c r="G1784" i="11"/>
  <c r="G1754" i="11"/>
  <c r="F1754" i="11"/>
  <c r="G2050" i="11"/>
  <c r="G2030" i="11"/>
  <c r="G2010" i="11"/>
  <c r="G1990" i="11"/>
  <c r="G1970" i="11"/>
  <c r="G1950" i="11"/>
  <c r="G1948" i="11"/>
  <c r="G1927" i="11"/>
  <c r="F1927" i="11"/>
  <c r="G1887" i="11"/>
  <c r="F1887" i="11"/>
  <c r="F1865" i="11"/>
  <c r="G1865" i="11"/>
  <c r="G1855" i="11"/>
  <c r="F1797" i="11"/>
  <c r="G1797" i="11"/>
  <c r="H1772" i="11"/>
  <c r="G1746" i="11"/>
  <c r="F1746" i="11"/>
  <c r="G1726" i="11"/>
  <c r="F1726" i="11"/>
  <c r="F1684" i="11"/>
  <c r="G1684" i="11"/>
  <c r="G1921" i="11"/>
  <c r="F1921" i="11"/>
  <c r="F1915" i="11"/>
  <c r="G1915" i="11"/>
  <c r="F1889" i="11"/>
  <c r="G1857" i="11"/>
  <c r="F1775" i="11"/>
  <c r="G1775" i="11"/>
  <c r="H1745" i="11"/>
  <c r="F1704" i="11"/>
  <c r="G1704" i="11"/>
  <c r="F1901" i="11"/>
  <c r="G1901" i="11"/>
  <c r="G1829" i="11"/>
  <c r="G1807" i="11"/>
  <c r="F1807" i="11"/>
  <c r="F1781" i="11"/>
  <c r="G1781" i="11"/>
  <c r="F1734" i="11"/>
  <c r="G1734" i="11"/>
  <c r="G1706" i="11"/>
  <c r="F1706" i="11"/>
  <c r="G1883" i="11"/>
  <c r="G1863" i="11"/>
  <c r="G1843" i="11"/>
  <c r="G1823" i="11"/>
  <c r="G1803" i="11"/>
  <c r="F1777" i="11"/>
  <c r="G1777" i="11"/>
  <c r="G1732" i="11"/>
  <c r="F1724" i="11"/>
  <c r="G1724" i="11"/>
  <c r="H1716" i="11"/>
  <c r="G1714" i="11"/>
  <c r="G1646" i="11"/>
  <c r="F1646" i="11"/>
  <c r="G1779" i="11"/>
  <c r="G1766" i="11"/>
  <c r="F1766" i="11"/>
  <c r="F1744" i="11"/>
  <c r="G1744" i="11"/>
  <c r="G1666" i="11"/>
  <c r="F1666" i="11"/>
  <c r="G1788" i="11"/>
  <c r="H1757" i="11"/>
  <c r="G1757" i="11"/>
  <c r="G1686" i="11"/>
  <c r="F1686" i="11"/>
  <c r="G1782" i="11"/>
  <c r="G1762" i="11"/>
  <c r="G1742" i="11"/>
  <c r="G1722" i="11"/>
  <c r="G1702" i="11"/>
  <c r="G1682" i="11"/>
  <c r="G1662" i="11"/>
  <c r="G1642" i="11"/>
  <c r="G1793" i="11"/>
  <c r="G1773" i="11"/>
  <c r="H1755" i="11"/>
  <c r="F1583" i="11"/>
  <c r="F1572" i="11"/>
  <c r="F1563" i="11"/>
  <c r="F1552" i="11"/>
  <c r="F1543" i="11"/>
  <c r="F1532" i="11"/>
  <c r="F1523" i="11"/>
  <c r="F1512" i="11"/>
  <c r="F1503" i="11"/>
  <c r="F1492" i="11"/>
  <c r="F1483" i="11"/>
  <c r="F1463" i="11"/>
  <c r="G1454" i="11"/>
  <c r="F1443" i="11"/>
  <c r="G1425" i="11"/>
  <c r="F1423" i="11"/>
  <c r="F1403" i="11"/>
  <c r="F1383" i="11"/>
  <c r="F1363" i="11"/>
  <c r="G1298" i="11"/>
  <c r="H1287" i="11"/>
  <c r="F1285" i="11"/>
  <c r="G1282" i="11"/>
  <c r="F1276" i="11"/>
  <c r="F1254" i="11"/>
  <c r="H1251" i="11"/>
  <c r="H1227" i="11"/>
  <c r="G1222" i="11"/>
  <c r="G1209" i="11"/>
  <c r="G1198" i="11"/>
  <c r="F1196" i="11"/>
  <c r="H1183" i="11"/>
  <c r="G1183" i="11"/>
  <c r="F1180" i="11"/>
  <c r="F1170" i="11"/>
  <c r="G1170" i="11"/>
  <c r="F1154" i="11"/>
  <c r="H1151" i="11"/>
  <c r="G1122" i="11"/>
  <c r="F1120" i="11"/>
  <c r="G1096" i="11"/>
  <c r="G1034" i="11"/>
  <c r="F1034" i="11"/>
  <c r="F930" i="11"/>
  <c r="G930" i="11"/>
  <c r="G894" i="11"/>
  <c r="G877" i="11"/>
  <c r="F1279" i="11"/>
  <c r="G1279" i="11"/>
  <c r="G1265" i="11"/>
  <c r="G1256" i="11"/>
  <c r="G1240" i="11"/>
  <c r="G1212" i="11"/>
  <c r="F1212" i="11"/>
  <c r="G1201" i="11"/>
  <c r="H1201" i="11"/>
  <c r="G1185" i="11"/>
  <c r="G1156" i="11"/>
  <c r="G1098" i="11"/>
  <c r="G1072" i="11"/>
  <c r="F1072" i="11"/>
  <c r="F1006" i="11"/>
  <c r="G1006" i="11"/>
  <c r="G941" i="11"/>
  <c r="H941" i="11"/>
  <c r="G785" i="11"/>
  <c r="F785" i="11"/>
  <c r="G743" i="11"/>
  <c r="F743" i="11"/>
  <c r="F705" i="11"/>
  <c r="G705" i="11"/>
  <c r="F1290" i="11"/>
  <c r="G1290" i="11"/>
  <c r="H1243" i="11"/>
  <c r="G1243" i="11"/>
  <c r="F1230" i="11"/>
  <c r="G1230" i="11"/>
  <c r="G1132" i="11"/>
  <c r="F1132" i="11"/>
  <c r="F1110" i="11"/>
  <c r="G1110" i="11"/>
  <c r="G897" i="11"/>
  <c r="F897" i="11"/>
  <c r="F887" i="11"/>
  <c r="G887" i="11"/>
  <c r="F882" i="11"/>
  <c r="G882" i="11"/>
  <c r="G1349" i="11"/>
  <c r="G1339" i="11"/>
  <c r="G1329" i="11"/>
  <c r="G1319" i="11"/>
  <c r="G1309" i="11"/>
  <c r="G1301" i="11"/>
  <c r="F1301" i="11"/>
  <c r="F1259" i="11"/>
  <c r="G1259" i="11"/>
  <c r="G1172" i="11"/>
  <c r="F1172" i="11"/>
  <c r="G1161" i="11"/>
  <c r="H1161" i="11"/>
  <c r="F979" i="11"/>
  <c r="G979" i="11"/>
  <c r="G976" i="11"/>
  <c r="F890" i="11"/>
  <c r="G890" i="11"/>
  <c r="F699" i="11"/>
  <c r="G699" i="11"/>
  <c r="F1270" i="11"/>
  <c r="G1270" i="11"/>
  <c r="G1214" i="11"/>
  <c r="H1203" i="11"/>
  <c r="G1203" i="11"/>
  <c r="F1190" i="11"/>
  <c r="G1190" i="11"/>
  <c r="G1074" i="11"/>
  <c r="F1039" i="11"/>
  <c r="G1039" i="11"/>
  <c r="F1017" i="11"/>
  <c r="G1017" i="11"/>
  <c r="G1012" i="11"/>
  <c r="F946" i="11"/>
  <c r="G946" i="11"/>
  <c r="G935" i="11"/>
  <c r="F855" i="11"/>
  <c r="G855" i="11"/>
  <c r="F809" i="11"/>
  <c r="G809" i="11"/>
  <c r="G799" i="11"/>
  <c r="F799" i="11"/>
  <c r="G787" i="11"/>
  <c r="F759" i="11"/>
  <c r="G759" i="11"/>
  <c r="G745" i="11"/>
  <c r="G707" i="11"/>
  <c r="F707" i="11"/>
  <c r="G1351" i="11"/>
  <c r="G1341" i="11"/>
  <c r="G1331" i="11"/>
  <c r="G1321" i="11"/>
  <c r="G1311" i="11"/>
  <c r="G1292" i="11"/>
  <c r="F1292" i="11"/>
  <c r="G1281" i="11"/>
  <c r="F1281" i="11"/>
  <c r="G1232" i="11"/>
  <c r="F1232" i="11"/>
  <c r="G1221" i="11"/>
  <c r="H1221" i="11"/>
  <c r="G1134" i="11"/>
  <c r="G1112" i="11"/>
  <c r="F1112" i="11"/>
  <c r="F1090" i="11"/>
  <c r="G1090" i="11"/>
  <c r="G913" i="11"/>
  <c r="F913" i="11"/>
  <c r="F907" i="11"/>
  <c r="G907" i="11"/>
  <c r="F902" i="11"/>
  <c r="G902" i="11"/>
  <c r="F1250" i="11"/>
  <c r="G1250" i="11"/>
  <c r="G1174" i="11"/>
  <c r="H1163" i="11"/>
  <c r="G1163" i="11"/>
  <c r="F1150" i="11"/>
  <c r="G1150" i="11"/>
  <c r="G1058" i="11"/>
  <c r="F1058" i="11"/>
  <c r="G990" i="11"/>
  <c r="F960" i="11"/>
  <c r="G960" i="11"/>
  <c r="G823" i="11"/>
  <c r="F823" i="11"/>
  <c r="G1548" i="11"/>
  <c r="G1528" i="11"/>
  <c r="G1519" i="11"/>
  <c r="G1508" i="11"/>
  <c r="G1499" i="11"/>
  <c r="G1488" i="11"/>
  <c r="G1479" i="11"/>
  <c r="H1470" i="11"/>
  <c r="G1459" i="11"/>
  <c r="H1450" i="11"/>
  <c r="G1439" i="11"/>
  <c r="G1419" i="11"/>
  <c r="G1399" i="11"/>
  <c r="G1379" i="11"/>
  <c r="G1359" i="11"/>
  <c r="G1343" i="11"/>
  <c r="G1333" i="11"/>
  <c r="G1323" i="11"/>
  <c r="G1313" i="11"/>
  <c r="G1303" i="11"/>
  <c r="G1296" i="11"/>
  <c r="G1272" i="11"/>
  <c r="F1272" i="11"/>
  <c r="G1261" i="11"/>
  <c r="F1261" i="11"/>
  <c r="H1249" i="11"/>
  <c r="G1236" i="11"/>
  <c r="G1220" i="11"/>
  <c r="G1192" i="11"/>
  <c r="F1192" i="11"/>
  <c r="G1181" i="11"/>
  <c r="H1181" i="11"/>
  <c r="H1149" i="11"/>
  <c r="G1116" i="11"/>
  <c r="G1050" i="11"/>
  <c r="G1028" i="11"/>
  <c r="F1028" i="11"/>
  <c r="H998" i="11"/>
  <c r="G998" i="11"/>
  <c r="G857" i="11"/>
  <c r="H857" i="11"/>
  <c r="G1581" i="11"/>
  <c r="G1570" i="11"/>
  <c r="G1561" i="11"/>
  <c r="G1530" i="11"/>
  <c r="G1510" i="11"/>
  <c r="G1501" i="11"/>
  <c r="G1490" i="11"/>
  <c r="H1472" i="11"/>
  <c r="G1461" i="11"/>
  <c r="H1452" i="11"/>
  <c r="G1441" i="11"/>
  <c r="G1421" i="11"/>
  <c r="G1401" i="11"/>
  <c r="G1381" i="11"/>
  <c r="G1361" i="11"/>
  <c r="G1302" i="11"/>
  <c r="G1294" i="11"/>
  <c r="F1274" i="11"/>
  <c r="H1271" i="11"/>
  <c r="G1260" i="11"/>
  <c r="G1238" i="11"/>
  <c r="G1234" i="11"/>
  <c r="H1223" i="11"/>
  <c r="G1223" i="11"/>
  <c r="F1210" i="11"/>
  <c r="G1210" i="11"/>
  <c r="F1194" i="11"/>
  <c r="H1191" i="11"/>
  <c r="H1167" i="11"/>
  <c r="G1162" i="11"/>
  <c r="G1118" i="11"/>
  <c r="G1114" i="11"/>
  <c r="G1092" i="11"/>
  <c r="F1092" i="11"/>
  <c r="F1070" i="11"/>
  <c r="G1070" i="11"/>
  <c r="F1001" i="11"/>
  <c r="G1001" i="11"/>
  <c r="F974" i="11"/>
  <c r="G974" i="11"/>
  <c r="H965" i="11"/>
  <c r="F954" i="11"/>
  <c r="G954" i="11"/>
  <c r="G1550" i="11"/>
  <c r="G1541" i="11"/>
  <c r="G1521" i="11"/>
  <c r="G1481" i="11"/>
  <c r="F1347" i="11"/>
  <c r="G1345" i="11"/>
  <c r="F1337" i="11"/>
  <c r="G1335" i="11"/>
  <c r="F1327" i="11"/>
  <c r="G1325" i="11"/>
  <c r="F1317" i="11"/>
  <c r="G1315" i="11"/>
  <c r="F1307" i="11"/>
  <c r="G1305" i="11"/>
  <c r="F1299" i="11"/>
  <c r="G1299" i="11"/>
  <c r="G1283" i="11"/>
  <c r="F1263" i="11"/>
  <c r="G1252" i="11"/>
  <c r="F1252" i="11"/>
  <c r="G1241" i="11"/>
  <c r="H1241" i="11"/>
  <c r="G1225" i="11"/>
  <c r="G1152" i="11"/>
  <c r="F1152" i="11"/>
  <c r="F1130" i="11"/>
  <c r="G1130" i="11"/>
  <c r="F1094" i="11"/>
  <c r="F1062" i="11"/>
  <c r="G1060" i="11"/>
  <c r="G1052" i="11"/>
  <c r="G1003" i="11"/>
  <c r="F968" i="11"/>
  <c r="G968" i="11"/>
  <c r="G963" i="11"/>
  <c r="G951" i="11"/>
  <c r="G927" i="11"/>
  <c r="F927" i="11"/>
  <c r="G921" i="11"/>
  <c r="F921" i="11"/>
  <c r="G875" i="11"/>
  <c r="F875" i="11"/>
  <c r="G1048" i="11"/>
  <c r="F1048" i="11"/>
  <c r="F949" i="11"/>
  <c r="G949" i="11"/>
  <c r="F933" i="11"/>
  <c r="G933" i="11"/>
  <c r="F869" i="11"/>
  <c r="G869" i="11"/>
  <c r="F815" i="11"/>
  <c r="G815" i="11"/>
  <c r="F1019" i="11"/>
  <c r="G1019" i="11"/>
  <c r="F997" i="11"/>
  <c r="G997" i="11"/>
  <c r="F986" i="11"/>
  <c r="G986" i="11"/>
  <c r="F909" i="11"/>
  <c r="G909" i="11"/>
  <c r="F893" i="11"/>
  <c r="G893" i="11"/>
  <c r="G831" i="11"/>
  <c r="F831" i="11"/>
  <c r="F1046" i="11"/>
  <c r="G1046" i="11"/>
  <c r="G1008" i="11"/>
  <c r="F1008" i="11"/>
  <c r="G970" i="11"/>
  <c r="F920" i="11"/>
  <c r="G920" i="11"/>
  <c r="F889" i="11"/>
  <c r="G889" i="11"/>
  <c r="F819" i="11"/>
  <c r="G819" i="11"/>
  <c r="H709" i="11"/>
  <c r="G709" i="11"/>
  <c r="G1297" i="11"/>
  <c r="G1288" i="11"/>
  <c r="G1277" i="11"/>
  <c r="G1268" i="11"/>
  <c r="G1257" i="11"/>
  <c r="G1248" i="11"/>
  <c r="H1239" i="11"/>
  <c r="G1228" i="11"/>
  <c r="H1219" i="11"/>
  <c r="G1208" i="11"/>
  <c r="H1199" i="11"/>
  <c r="G1188" i="11"/>
  <c r="H1179" i="11"/>
  <c r="G1168" i="11"/>
  <c r="H1159" i="11"/>
  <c r="G1148" i="11"/>
  <c r="G1128" i="11"/>
  <c r="G1108" i="11"/>
  <c r="G1088" i="11"/>
  <c r="G1068" i="11"/>
  <c r="G1032" i="11"/>
  <c r="G1030" i="11"/>
  <c r="G996" i="11"/>
  <c r="F947" i="11"/>
  <c r="G947" i="11"/>
  <c r="F942" i="11"/>
  <c r="G942" i="11"/>
  <c r="F928" i="11"/>
  <c r="G928" i="11"/>
  <c r="F873" i="11"/>
  <c r="G873" i="11"/>
  <c r="F867" i="11"/>
  <c r="G867" i="11"/>
  <c r="F847" i="11"/>
  <c r="G847" i="11"/>
  <c r="G761" i="11"/>
  <c r="F1056" i="11"/>
  <c r="G1054" i="11"/>
  <c r="G1045" i="11"/>
  <c r="H1029" i="11"/>
  <c r="G1023" i="11"/>
  <c r="F1010" i="11"/>
  <c r="G1007" i="11"/>
  <c r="F999" i="11"/>
  <c r="G999" i="11"/>
  <c r="F977" i="11"/>
  <c r="G977" i="11"/>
  <c r="G961" i="11"/>
  <c r="F961" i="11"/>
  <c r="G944" i="11"/>
  <c r="F914" i="11"/>
  <c r="G914" i="11"/>
  <c r="G853" i="11"/>
  <c r="G783" i="11"/>
  <c r="F783" i="11"/>
  <c r="G721" i="11"/>
  <c r="F721" i="11"/>
  <c r="F1037" i="11"/>
  <c r="G1037" i="11"/>
  <c r="F1026" i="11"/>
  <c r="G1026" i="11"/>
  <c r="G988" i="11"/>
  <c r="F988" i="11"/>
  <c r="G922" i="11"/>
  <c r="G916" i="11"/>
  <c r="G911" i="11"/>
  <c r="G895" i="11"/>
  <c r="F777" i="11"/>
  <c r="G777" i="11"/>
  <c r="F940" i="11"/>
  <c r="G940" i="11"/>
  <c r="F900" i="11"/>
  <c r="G900" i="11"/>
  <c r="F880" i="11"/>
  <c r="G880" i="11"/>
  <c r="F797" i="11"/>
  <c r="G797" i="11"/>
  <c r="F719" i="11"/>
  <c r="G719" i="11"/>
  <c r="F849" i="11"/>
  <c r="G849" i="11"/>
  <c r="G811" i="11"/>
  <c r="G723" i="11"/>
  <c r="G701" i="11"/>
  <c r="F701" i="11"/>
  <c r="G1044" i="11"/>
  <c r="G1024" i="11"/>
  <c r="G1004" i="11"/>
  <c r="G984" i="11"/>
  <c r="G959" i="11"/>
  <c r="G919" i="11"/>
  <c r="F779" i="11"/>
  <c r="G779" i="11"/>
  <c r="G769" i="11"/>
  <c r="F739" i="11"/>
  <c r="G739" i="11"/>
  <c r="G729" i="11"/>
  <c r="G1035" i="11"/>
  <c r="G1015" i="11"/>
  <c r="G995" i="11"/>
  <c r="G975" i="11"/>
  <c r="G966" i="11"/>
  <c r="G952" i="11"/>
  <c r="G926" i="11"/>
  <c r="G912" i="11"/>
  <c r="G891" i="11"/>
  <c r="G871" i="11"/>
  <c r="F851" i="11"/>
  <c r="F829" i="11"/>
  <c r="G829" i="11"/>
  <c r="F781" i="11"/>
  <c r="G771" i="11"/>
  <c r="F741" i="11"/>
  <c r="G731" i="11"/>
  <c r="F757" i="11"/>
  <c r="G757" i="11"/>
  <c r="G737" i="11"/>
  <c r="G717" i="11"/>
  <c r="G697" i="11"/>
  <c r="O701" i="11"/>
  <c r="D4" i="11" s="1"/>
  <c r="D631" i="11" s="1"/>
  <c r="O694" i="11"/>
  <c r="T720" i="11" s="1"/>
  <c r="P715" i="11"/>
  <c r="T714" i="11"/>
  <c r="P728" i="11"/>
  <c r="P725" i="11"/>
  <c r="T734" i="11"/>
  <c r="M769" i="11"/>
  <c r="P737" i="11"/>
  <c r="T748" i="11"/>
  <c r="T732" i="11"/>
  <c r="T739" i="11"/>
  <c r="T746" i="11"/>
  <c r="P736" i="11"/>
  <c r="P747" i="11"/>
  <c r="B4" i="11"/>
  <c r="T715" i="11"/>
  <c r="T723" i="11"/>
  <c r="T728" i="11"/>
  <c r="T712" i="11"/>
  <c r="T721" i="11"/>
  <c r="T713" i="11"/>
  <c r="T724" i="11"/>
  <c r="T741" i="11"/>
  <c r="T719" i="11"/>
  <c r="P719" i="11"/>
  <c r="B5" i="11"/>
  <c r="P721" i="11"/>
  <c r="P726" i="11"/>
  <c r="P717" i="11"/>
  <c r="P723" i="11"/>
  <c r="P712" i="11"/>
  <c r="P718" i="11"/>
  <c r="P724" i="11"/>
  <c r="P713" i="11"/>
  <c r="P734" i="11"/>
  <c r="P739" i="11"/>
  <c r="P744" i="11"/>
  <c r="C9" i="6"/>
  <c r="F3" i="12"/>
  <c r="D6" i="12"/>
  <c r="B5" i="3"/>
  <c r="F4" i="12"/>
  <c r="C11" i="6"/>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P720" i="11" l="1"/>
  <c r="P716" i="11"/>
  <c r="T722" i="11"/>
  <c r="P722" i="11"/>
  <c r="T716" i="11"/>
  <c r="P748" i="11"/>
  <c r="T718" i="11"/>
  <c r="P727" i="11"/>
  <c r="T717" i="11"/>
  <c r="T725" i="11"/>
  <c r="N769" i="11"/>
  <c r="N758" i="11"/>
  <c r="N759" i="11"/>
  <c r="N763" i="11"/>
  <c r="N760" i="11"/>
  <c r="N762" i="11"/>
  <c r="N764" i="11"/>
  <c r="N765" i="11"/>
  <c r="N756" i="11"/>
  <c r="N767" i="11"/>
  <c r="N761" i="11"/>
  <c r="N753" i="11"/>
  <c r="N755" i="11"/>
  <c r="N752" i="11"/>
  <c r="N754" i="11"/>
  <c r="N766" i="11"/>
  <c r="N757" i="11"/>
  <c r="N768" i="11"/>
  <c r="T726" i="11"/>
  <c r="T727" i="11"/>
  <c r="P714" i="11"/>
  <c r="B685" i="11"/>
  <c r="F685" i="11" s="1"/>
  <c r="T743" i="11"/>
  <c r="T733" i="11"/>
  <c r="T742" i="11"/>
  <c r="T738" i="11"/>
  <c r="P743" i="11"/>
  <c r="D52" i="11"/>
  <c r="H52" i="11" s="1"/>
  <c r="P732" i="11"/>
  <c r="T740" i="11"/>
  <c r="T735" i="11"/>
  <c r="M770" i="11"/>
  <c r="N770" i="11" s="1"/>
  <c r="T744" i="11"/>
  <c r="P742" i="11"/>
  <c r="T737" i="11"/>
  <c r="P746" i="11"/>
  <c r="P735" i="11"/>
  <c r="P740" i="11"/>
  <c r="P738" i="11"/>
  <c r="T747" i="11"/>
  <c r="P733" i="11"/>
  <c r="P745" i="11"/>
  <c r="P741" i="11"/>
  <c r="T736" i="11"/>
  <c r="T745" i="11"/>
  <c r="B10" i="11"/>
  <c r="B12" i="11"/>
  <c r="B14" i="11"/>
  <c r="B16" i="11"/>
  <c r="B18" i="11"/>
  <c r="B20" i="11"/>
  <c r="B22" i="11"/>
  <c r="B24" i="11"/>
  <c r="B26" i="11"/>
  <c r="B28" i="11"/>
  <c r="B30" i="11"/>
  <c r="B32" i="11"/>
  <c r="B34" i="11"/>
  <c r="B36" i="11"/>
  <c r="B38" i="11"/>
  <c r="B40" i="11"/>
  <c r="B42" i="11"/>
  <c r="B44" i="11"/>
  <c r="B46" i="11"/>
  <c r="B48" i="11"/>
  <c r="B50" i="11"/>
  <c r="B52" i="11"/>
  <c r="B54" i="11"/>
  <c r="B56" i="11"/>
  <c r="B58" i="11"/>
  <c r="B60" i="11"/>
  <c r="B62" i="11"/>
  <c r="B64" i="11"/>
  <c r="B66" i="11"/>
  <c r="B68" i="11"/>
  <c r="B70" i="11"/>
  <c r="B72" i="11"/>
  <c r="B74" i="11"/>
  <c r="B76" i="11"/>
  <c r="B78" i="11"/>
  <c r="B80" i="11"/>
  <c r="B82" i="11"/>
  <c r="B84" i="11"/>
  <c r="B86" i="11"/>
  <c r="B88" i="11"/>
  <c r="B90" i="11"/>
  <c r="B92" i="11"/>
  <c r="B94" i="11"/>
  <c r="B96" i="11"/>
  <c r="B98" i="11"/>
  <c r="B100" i="11"/>
  <c r="B102" i="11"/>
  <c r="B104" i="11"/>
  <c r="B106" i="11"/>
  <c r="B108" i="11"/>
  <c r="B110" i="11"/>
  <c r="B112" i="11"/>
  <c r="B114" i="11"/>
  <c r="B116" i="11"/>
  <c r="B27" i="11"/>
  <c r="B47" i="11"/>
  <c r="B67" i="11"/>
  <c r="B87" i="11"/>
  <c r="B107" i="11"/>
  <c r="B124" i="11"/>
  <c r="B135" i="11"/>
  <c r="B144" i="11"/>
  <c r="B155" i="11"/>
  <c r="B164" i="11"/>
  <c r="B175" i="11"/>
  <c r="B15" i="11"/>
  <c r="B33" i="11"/>
  <c r="B53" i="11"/>
  <c r="B73" i="11"/>
  <c r="B93" i="11"/>
  <c r="B115" i="11"/>
  <c r="B122" i="11"/>
  <c r="B133" i="11"/>
  <c r="B142" i="11"/>
  <c r="B153" i="11"/>
  <c r="B162" i="11"/>
  <c r="B173" i="11"/>
  <c r="B39" i="11"/>
  <c r="B59" i="11"/>
  <c r="B79" i="11"/>
  <c r="B99" i="11"/>
  <c r="B120" i="11"/>
  <c r="B131" i="11"/>
  <c r="B140" i="11"/>
  <c r="B151" i="11"/>
  <c r="B160" i="11"/>
  <c r="B171" i="11"/>
  <c r="B11" i="11"/>
  <c r="B21" i="11"/>
  <c r="B41" i="11"/>
  <c r="B61" i="11"/>
  <c r="B81" i="11"/>
  <c r="B13" i="11"/>
  <c r="B19" i="11"/>
  <c r="B57" i="11"/>
  <c r="B139" i="11"/>
  <c r="B149" i="11"/>
  <c r="B152" i="11"/>
  <c r="B177" i="11"/>
  <c r="B186" i="11"/>
  <c r="B196" i="11"/>
  <c r="B206" i="11"/>
  <c r="B216" i="11"/>
  <c r="B225" i="11"/>
  <c r="B234" i="11"/>
  <c r="B245" i="11"/>
  <c r="B254" i="11"/>
  <c r="B265" i="11"/>
  <c r="B274" i="11"/>
  <c r="B285" i="11"/>
  <c r="B294" i="11"/>
  <c r="B305" i="11"/>
  <c r="B314" i="11"/>
  <c r="B43" i="11"/>
  <c r="B117" i="11"/>
  <c r="B127" i="11"/>
  <c r="B130" i="11"/>
  <c r="B165" i="11"/>
  <c r="B168" i="11"/>
  <c r="B183" i="11"/>
  <c r="B191" i="11"/>
  <c r="B201" i="11"/>
  <c r="B211" i="11"/>
  <c r="B223" i="11"/>
  <c r="B232" i="11"/>
  <c r="B243" i="11"/>
  <c r="B252" i="11"/>
  <c r="B263" i="11"/>
  <c r="B272" i="11"/>
  <c r="B283" i="11"/>
  <c r="B9" i="11"/>
  <c r="B25" i="11"/>
  <c r="B29" i="11"/>
  <c r="B77" i="11"/>
  <c r="B118" i="11"/>
  <c r="B143" i="11"/>
  <c r="B146" i="11"/>
  <c r="B156" i="11"/>
  <c r="B178" i="11"/>
  <c r="B194" i="11"/>
  <c r="B204" i="11"/>
  <c r="B214" i="11"/>
  <c r="B221" i="11"/>
  <c r="B230" i="11"/>
  <c r="B241" i="11"/>
  <c r="B250" i="11"/>
  <c r="B261" i="11"/>
  <c r="B270" i="11"/>
  <c r="B23" i="11"/>
  <c r="B71" i="11"/>
  <c r="B75" i="11"/>
  <c r="B89" i="11"/>
  <c r="B101" i="11"/>
  <c r="B123" i="11"/>
  <c r="B126" i="11"/>
  <c r="B136" i="11"/>
  <c r="B103" i="11"/>
  <c r="B121" i="11"/>
  <c r="B157" i="11"/>
  <c r="B167" i="11"/>
  <c r="B172" i="11"/>
  <c r="B180" i="11"/>
  <c r="B188" i="11"/>
  <c r="B192" i="11"/>
  <c r="B195" i="11"/>
  <c r="B199" i="11"/>
  <c r="B220" i="11"/>
  <c r="B255" i="11"/>
  <c r="B258" i="11"/>
  <c r="B268" i="11"/>
  <c r="B277" i="11"/>
  <c r="B293" i="11"/>
  <c r="B298" i="11"/>
  <c r="B303" i="11"/>
  <c r="B308" i="11"/>
  <c r="B320" i="11"/>
  <c r="B329" i="11"/>
  <c r="B17" i="11"/>
  <c r="B109" i="11"/>
  <c r="B137" i="11"/>
  <c r="B158" i="11"/>
  <c r="B163" i="11"/>
  <c r="B210" i="11"/>
  <c r="B213" i="11"/>
  <c r="B217" i="11"/>
  <c r="B233" i="11"/>
  <c r="B236" i="11"/>
  <c r="B246" i="11"/>
  <c r="B271" i="11"/>
  <c r="B280" i="11"/>
  <c r="B313" i="11"/>
  <c r="B318" i="11"/>
  <c r="B327" i="11"/>
  <c r="B338" i="11"/>
  <c r="B340" i="11"/>
  <c r="B342" i="11"/>
  <c r="B344" i="11"/>
  <c r="B346" i="11"/>
  <c r="B348" i="11"/>
  <c r="B350" i="11"/>
  <c r="B352" i="11"/>
  <c r="B354" i="11"/>
  <c r="B356" i="11"/>
  <c r="B358" i="11"/>
  <c r="B360" i="11"/>
  <c r="B362" i="11"/>
  <c r="B364" i="11"/>
  <c r="B366" i="11"/>
  <c r="B368" i="11"/>
  <c r="B370" i="11"/>
  <c r="B372" i="11"/>
  <c r="B374" i="11"/>
  <c r="B376" i="11"/>
  <c r="B378" i="11"/>
  <c r="B380" i="11"/>
  <c r="B382" i="11"/>
  <c r="B384" i="11"/>
  <c r="B386" i="11"/>
  <c r="B388" i="11"/>
  <c r="B390" i="11"/>
  <c r="B392" i="11"/>
  <c r="B394" i="11"/>
  <c r="B396" i="11"/>
  <c r="B398" i="11"/>
  <c r="B400" i="11"/>
  <c r="B402" i="11"/>
  <c r="B404" i="11"/>
  <c r="B406" i="11"/>
  <c r="B408" i="11"/>
  <c r="B410" i="11"/>
  <c r="B412" i="11"/>
  <c r="B414" i="11"/>
  <c r="B416" i="11"/>
  <c r="B418" i="11"/>
  <c r="B420" i="11"/>
  <c r="B422" i="11"/>
  <c r="B424" i="11"/>
  <c r="B426" i="11"/>
  <c r="B428" i="11"/>
  <c r="B430" i="11"/>
  <c r="B432" i="11"/>
  <c r="B434" i="11"/>
  <c r="B436" i="11"/>
  <c r="B438" i="11"/>
  <c r="B440" i="11"/>
  <c r="B442" i="11"/>
  <c r="B444" i="11"/>
  <c r="B446" i="11"/>
  <c r="B448" i="11"/>
  <c r="B450" i="11"/>
  <c r="B452" i="11"/>
  <c r="B454" i="11"/>
  <c r="B456" i="11"/>
  <c r="B458" i="11"/>
  <c r="B460" i="11"/>
  <c r="B462" i="11"/>
  <c r="B464" i="11"/>
  <c r="B466" i="11"/>
  <c r="B468" i="11"/>
  <c r="B470" i="11"/>
  <c r="B472" i="11"/>
  <c r="B474" i="11"/>
  <c r="B476" i="11"/>
  <c r="B478" i="11"/>
  <c r="B480" i="11"/>
  <c r="B482" i="11"/>
  <c r="B484" i="11"/>
  <c r="B35" i="11"/>
  <c r="B51" i="11"/>
  <c r="B83" i="11"/>
  <c r="B91" i="11"/>
  <c r="B111" i="11"/>
  <c r="B132" i="11"/>
  <c r="B138" i="11"/>
  <c r="B159" i="11"/>
  <c r="B181" i="11"/>
  <c r="B189" i="11"/>
  <c r="B224" i="11"/>
  <c r="B249" i="11"/>
  <c r="B259" i="11"/>
  <c r="B262" i="11"/>
  <c r="B286" i="11"/>
  <c r="B291" i="11"/>
  <c r="B296" i="11"/>
  <c r="B301" i="11"/>
  <c r="B306" i="11"/>
  <c r="B325" i="11"/>
  <c r="B45" i="11"/>
  <c r="B97" i="11"/>
  <c r="B49" i="11"/>
  <c r="B65" i="11"/>
  <c r="B95" i="11"/>
  <c r="B141" i="11"/>
  <c r="B147" i="11"/>
  <c r="B176" i="11"/>
  <c r="B229" i="11"/>
  <c r="B239" i="11"/>
  <c r="B242" i="11"/>
  <c r="B267" i="11"/>
  <c r="B113" i="11"/>
  <c r="B134" i="11"/>
  <c r="B166" i="11"/>
  <c r="B174" i="11"/>
  <c r="B182" i="11"/>
  <c r="B205" i="11"/>
  <c r="B212" i="11"/>
  <c r="B218" i="11"/>
  <c r="B260" i="11"/>
  <c r="B266" i="11"/>
  <c r="B288" i="11"/>
  <c r="B292" i="11"/>
  <c r="B295" i="11"/>
  <c r="B299" i="11"/>
  <c r="B326" i="11"/>
  <c r="B335" i="11"/>
  <c r="B492" i="11"/>
  <c r="B503" i="11"/>
  <c r="B512" i="11"/>
  <c r="B55" i="11"/>
  <c r="B169" i="11"/>
  <c r="B207" i="11"/>
  <c r="B240" i="11"/>
  <c r="B276" i="11"/>
  <c r="B281" i="11"/>
  <c r="B343" i="11"/>
  <c r="B353" i="11"/>
  <c r="B363" i="11"/>
  <c r="B373" i="11"/>
  <c r="B383" i="11"/>
  <c r="B393" i="11"/>
  <c r="B403" i="11"/>
  <c r="B413" i="11"/>
  <c r="B423" i="11"/>
  <c r="B433" i="11"/>
  <c r="B443" i="11"/>
  <c r="B453" i="11"/>
  <c r="B463" i="11"/>
  <c r="B473" i="11"/>
  <c r="B483" i="11"/>
  <c r="B490" i="11"/>
  <c r="B501" i="11"/>
  <c r="B510" i="11"/>
  <c r="B105" i="11"/>
  <c r="B125" i="11"/>
  <c r="B219" i="11"/>
  <c r="B256" i="11"/>
  <c r="B289" i="11"/>
  <c r="B310" i="11"/>
  <c r="B317" i="11"/>
  <c r="B330" i="11"/>
  <c r="B154" i="11"/>
  <c r="B150" i="11"/>
  <c r="B187" i="11"/>
  <c r="B193" i="11"/>
  <c r="B200" i="11"/>
  <c r="B238" i="11"/>
  <c r="B244" i="11"/>
  <c r="B284" i="11"/>
  <c r="B302" i="11"/>
  <c r="B309" i="11"/>
  <c r="B323" i="11"/>
  <c r="B332" i="11"/>
  <c r="B345" i="11"/>
  <c r="B355" i="11"/>
  <c r="B365" i="11"/>
  <c r="B375" i="11"/>
  <c r="B385" i="11"/>
  <c r="B395" i="11"/>
  <c r="B405" i="11"/>
  <c r="B415" i="11"/>
  <c r="B425" i="11"/>
  <c r="B185" i="11"/>
  <c r="B290" i="11"/>
  <c r="B319" i="11"/>
  <c r="B339" i="11"/>
  <c r="B347" i="11"/>
  <c r="B381" i="11"/>
  <c r="B389" i="11"/>
  <c r="B397" i="11"/>
  <c r="B449" i="11"/>
  <c r="B455" i="11"/>
  <c r="B471" i="11"/>
  <c r="B477" i="11"/>
  <c r="B489" i="11"/>
  <c r="B506" i="11"/>
  <c r="B514" i="11"/>
  <c r="B517" i="11"/>
  <c r="B527" i="11"/>
  <c r="B537" i="11"/>
  <c r="B547" i="11"/>
  <c r="B557" i="11"/>
  <c r="B567" i="11"/>
  <c r="B577" i="11"/>
  <c r="B584" i="11"/>
  <c r="B37" i="11"/>
  <c r="B69" i="11"/>
  <c r="B215" i="11"/>
  <c r="B251" i="11"/>
  <c r="B278" i="11"/>
  <c r="B495" i="11"/>
  <c r="B522" i="11"/>
  <c r="B532" i="11"/>
  <c r="B542" i="11"/>
  <c r="B552" i="11"/>
  <c r="B562" i="11"/>
  <c r="B572" i="11"/>
  <c r="B582" i="11"/>
  <c r="B128" i="11"/>
  <c r="B161" i="11"/>
  <c r="B197" i="11"/>
  <c r="B235" i="11"/>
  <c r="B269" i="11"/>
  <c r="B297" i="11"/>
  <c r="B321" i="11"/>
  <c r="B336" i="11"/>
  <c r="B361" i="11"/>
  <c r="B369" i="11"/>
  <c r="B377" i="11"/>
  <c r="B411" i="11"/>
  <c r="B419" i="11"/>
  <c r="B427" i="11"/>
  <c r="B431" i="11"/>
  <c r="B437" i="11"/>
  <c r="B459" i="11"/>
  <c r="B465" i="11"/>
  <c r="B481" i="11"/>
  <c r="B498" i="11"/>
  <c r="B509" i="11"/>
  <c r="B525" i="11"/>
  <c r="B535" i="11"/>
  <c r="B545" i="11"/>
  <c r="B555" i="11"/>
  <c r="B565" i="11"/>
  <c r="B575" i="11"/>
  <c r="B145" i="11"/>
  <c r="B208" i="11"/>
  <c r="B226" i="11"/>
  <c r="B253" i="11"/>
  <c r="B304" i="11"/>
  <c r="B331" i="11"/>
  <c r="B119" i="11"/>
  <c r="B184" i="11"/>
  <c r="B222" i="11"/>
  <c r="B307" i="11"/>
  <c r="B324" i="11"/>
  <c r="B334" i="11"/>
  <c r="B500" i="11"/>
  <c r="B511" i="11"/>
  <c r="B524" i="11"/>
  <c r="B534" i="11"/>
  <c r="B544" i="11"/>
  <c r="B554" i="11"/>
  <c r="B564" i="11"/>
  <c r="B574" i="11"/>
  <c r="B586" i="11"/>
  <c r="B63" i="11"/>
  <c r="B179" i="11"/>
  <c r="B202" i="11"/>
  <c r="B257" i="11"/>
  <c r="B287" i="11"/>
  <c r="B300" i="11"/>
  <c r="B322" i="11"/>
  <c r="B357" i="11"/>
  <c r="B371" i="11"/>
  <c r="B399" i="11"/>
  <c r="B469" i="11"/>
  <c r="B479" i="11"/>
  <c r="B521" i="11"/>
  <c r="B529" i="11"/>
  <c r="B563" i="11"/>
  <c r="B571" i="11"/>
  <c r="B579" i="11"/>
  <c r="B590" i="11"/>
  <c r="B600" i="11"/>
  <c r="B610" i="11"/>
  <c r="B620" i="11"/>
  <c r="B630" i="11"/>
  <c r="B640" i="11"/>
  <c r="B650" i="11"/>
  <c r="B660" i="11"/>
  <c r="B670" i="11"/>
  <c r="B680" i="11"/>
  <c r="B203" i="11"/>
  <c r="B275" i="11"/>
  <c r="B312" i="11"/>
  <c r="B499" i="11"/>
  <c r="B504" i="11"/>
  <c r="B508" i="11"/>
  <c r="B530" i="11"/>
  <c r="B538" i="11"/>
  <c r="B546" i="11"/>
  <c r="B580" i="11"/>
  <c r="B591" i="11"/>
  <c r="B601" i="11"/>
  <c r="B611" i="11"/>
  <c r="B621" i="11"/>
  <c r="B631" i="11"/>
  <c r="B641" i="11"/>
  <c r="B651" i="11"/>
  <c r="B661" i="11"/>
  <c r="B671" i="11"/>
  <c r="B681" i="11"/>
  <c r="B129" i="11"/>
  <c r="B190" i="11"/>
  <c r="B227" i="11"/>
  <c r="B279" i="11"/>
  <c r="B315" i="11"/>
  <c r="B351" i="11"/>
  <c r="B379" i="11"/>
  <c r="B407" i="11"/>
  <c r="B421" i="11"/>
  <c r="B475" i="11"/>
  <c r="B485" i="11"/>
  <c r="B494" i="11"/>
  <c r="B513" i="11"/>
  <c r="B543" i="11"/>
  <c r="B551" i="11"/>
  <c r="B559" i="11"/>
  <c r="B594" i="11"/>
  <c r="B604" i="11"/>
  <c r="B614" i="11"/>
  <c r="B624" i="11"/>
  <c r="B634" i="11"/>
  <c r="B644" i="11"/>
  <c r="B654" i="11"/>
  <c r="B664" i="11"/>
  <c r="B674" i="11"/>
  <c r="B684" i="11"/>
  <c r="B209" i="11"/>
  <c r="B228" i="11"/>
  <c r="B316" i="11"/>
  <c r="B518" i="11"/>
  <c r="B526" i="11"/>
  <c r="B560" i="11"/>
  <c r="B273" i="11"/>
  <c r="B333" i="11"/>
  <c r="B507" i="11"/>
  <c r="B516" i="11"/>
  <c r="B550" i="11"/>
  <c r="B558" i="11"/>
  <c r="B566" i="11"/>
  <c r="B583" i="11"/>
  <c r="B587" i="11"/>
  <c r="B597" i="11"/>
  <c r="B607" i="11"/>
  <c r="B617" i="11"/>
  <c r="B627" i="11"/>
  <c r="B637" i="11"/>
  <c r="B647" i="11"/>
  <c r="B657" i="11"/>
  <c r="B667" i="11"/>
  <c r="B677" i="11"/>
  <c r="B520" i="11"/>
  <c r="B528" i="11"/>
  <c r="B536" i="11"/>
  <c r="B569" i="11"/>
  <c r="B616" i="11"/>
  <c r="B622" i="11"/>
  <c r="B628" i="11"/>
  <c r="B666" i="11"/>
  <c r="B672" i="11"/>
  <c r="B678" i="11"/>
  <c r="B311" i="11"/>
  <c r="B349" i="11"/>
  <c r="B391" i="11"/>
  <c r="B417" i="11"/>
  <c r="B493" i="11"/>
  <c r="B502" i="11"/>
  <c r="B570" i="11"/>
  <c r="B623" i="11"/>
  <c r="B629" i="11"/>
  <c r="B635" i="11"/>
  <c r="B673" i="11"/>
  <c r="B679" i="11"/>
  <c r="B337" i="11"/>
  <c r="B486" i="11"/>
  <c r="B523" i="11"/>
  <c r="B531" i="11"/>
  <c r="B539" i="11"/>
  <c r="B585" i="11"/>
  <c r="B606" i="11"/>
  <c r="B612" i="11"/>
  <c r="B618" i="11"/>
  <c r="B656" i="11"/>
  <c r="B662" i="11"/>
  <c r="B668" i="11"/>
  <c r="B31" i="11"/>
  <c r="B264" i="11"/>
  <c r="B487" i="11"/>
  <c r="B496" i="11"/>
  <c r="B515" i="11"/>
  <c r="B540" i="11"/>
  <c r="B548" i="11"/>
  <c r="B556" i="11"/>
  <c r="B578" i="11"/>
  <c r="B613" i="11"/>
  <c r="B619" i="11"/>
  <c r="B625" i="11"/>
  <c r="B663" i="11"/>
  <c r="B669" i="11"/>
  <c r="B675" i="11"/>
  <c r="B170" i="11"/>
  <c r="B248" i="11"/>
  <c r="B282" i="11"/>
  <c r="B441" i="11"/>
  <c r="B451" i="11"/>
  <c r="B461" i="11"/>
  <c r="B519" i="11"/>
  <c r="B553" i="11"/>
  <c r="B561" i="11"/>
  <c r="B576" i="11"/>
  <c r="B589" i="11"/>
  <c r="B595" i="11"/>
  <c r="B633" i="11"/>
  <c r="B639" i="11"/>
  <c r="B645" i="11"/>
  <c r="B683" i="11"/>
  <c r="B401" i="11"/>
  <c r="B599" i="11"/>
  <c r="B643" i="11"/>
  <c r="B655" i="11"/>
  <c r="B247" i="11"/>
  <c r="B429" i="11"/>
  <c r="B491" i="11"/>
  <c r="B588" i="11"/>
  <c r="B632" i="11"/>
  <c r="B676" i="11"/>
  <c r="B409" i="11"/>
  <c r="B435" i="11"/>
  <c r="B602" i="11"/>
  <c r="B646" i="11"/>
  <c r="B658" i="11"/>
  <c r="B603" i="11"/>
  <c r="B615" i="11"/>
  <c r="B659" i="11"/>
  <c r="B148" i="11"/>
  <c r="B447" i="11"/>
  <c r="B467" i="11"/>
  <c r="B541" i="11"/>
  <c r="B598" i="11"/>
  <c r="B642" i="11"/>
  <c r="B231" i="11"/>
  <c r="B445" i="11"/>
  <c r="B608" i="11"/>
  <c r="B652" i="11"/>
  <c r="B237" i="11"/>
  <c r="B341" i="11"/>
  <c r="B488" i="11"/>
  <c r="B609" i="11"/>
  <c r="B653" i="11"/>
  <c r="B457" i="11"/>
  <c r="B497" i="11"/>
  <c r="B533" i="11"/>
  <c r="B592" i="11"/>
  <c r="B636" i="11"/>
  <c r="B638" i="11"/>
  <c r="B682" i="11"/>
  <c r="B367" i="11"/>
  <c r="B573" i="11"/>
  <c r="B85" i="11"/>
  <c r="B359" i="11"/>
  <c r="B568" i="11"/>
  <c r="B593" i="11"/>
  <c r="B198" i="11"/>
  <c r="B387" i="11"/>
  <c r="B439" i="11"/>
  <c r="B328" i="11"/>
  <c r="B626" i="11"/>
  <c r="B505" i="11"/>
  <c r="B596" i="11"/>
  <c r="B581" i="11"/>
  <c r="B649" i="11"/>
  <c r="B665" i="11"/>
  <c r="B605" i="11"/>
  <c r="B549" i="11"/>
  <c r="B648" i="11"/>
  <c r="D12" i="11"/>
  <c r="H12" i="11" s="1"/>
  <c r="D16" i="11"/>
  <c r="H16" i="11" s="1"/>
  <c r="D18" i="11"/>
  <c r="H18" i="11" s="1"/>
  <c r="D62" i="11"/>
  <c r="H62" i="11" s="1"/>
  <c r="D82" i="11"/>
  <c r="H82" i="11" s="1"/>
  <c r="D86" i="11"/>
  <c r="H86" i="11" s="1"/>
  <c r="D183" i="11"/>
  <c r="H183" i="11" s="1"/>
  <c r="D197" i="11"/>
  <c r="H197" i="11" s="1"/>
  <c r="D205" i="11"/>
  <c r="H205" i="11" s="1"/>
  <c r="D211" i="11"/>
  <c r="H211" i="11" s="1"/>
  <c r="D237" i="11"/>
  <c r="H237" i="11" s="1"/>
  <c r="D255" i="11"/>
  <c r="H255" i="11" s="1"/>
  <c r="D283" i="11"/>
  <c r="H283" i="11" s="1"/>
  <c r="D309" i="11"/>
  <c r="H309" i="11" s="1"/>
  <c r="D110" i="11"/>
  <c r="H110" i="11" s="1"/>
  <c r="D73" i="11"/>
  <c r="H73" i="11" s="1"/>
  <c r="D93" i="11"/>
  <c r="H93" i="11" s="1"/>
  <c r="D142" i="11"/>
  <c r="H142" i="11" s="1"/>
  <c r="D216" i="11"/>
  <c r="H216" i="11" s="1"/>
  <c r="D234" i="11"/>
  <c r="H234" i="11" s="1"/>
  <c r="D254" i="11"/>
  <c r="H254" i="11" s="1"/>
  <c r="D120" i="11"/>
  <c r="H120" i="11" s="1"/>
  <c r="D176" i="11"/>
  <c r="H176" i="11" s="1"/>
  <c r="D242" i="11"/>
  <c r="H242" i="11" s="1"/>
  <c r="D214" i="11"/>
  <c r="H214" i="11" s="1"/>
  <c r="D119" i="11"/>
  <c r="H119" i="11" s="1"/>
  <c r="D125" i="11"/>
  <c r="H125" i="11" s="1"/>
  <c r="D226" i="11"/>
  <c r="H226" i="11" s="1"/>
  <c r="D306" i="11"/>
  <c r="H306" i="11" s="1"/>
  <c r="D405" i="11"/>
  <c r="H405" i="11" s="1"/>
  <c r="D25" i="11"/>
  <c r="H25" i="11" s="1"/>
  <c r="D348" i="11"/>
  <c r="H348" i="11" s="1"/>
  <c r="D428" i="11"/>
  <c r="H428" i="11" s="1"/>
  <c r="D45" i="11"/>
  <c r="H45" i="11" s="1"/>
  <c r="D118" i="11"/>
  <c r="H118" i="11" s="1"/>
  <c r="D151" i="11"/>
  <c r="H151" i="11" s="1"/>
  <c r="D314" i="11"/>
  <c r="H314" i="11" s="1"/>
  <c r="D324" i="11"/>
  <c r="H324" i="11" s="1"/>
  <c r="D364" i="11"/>
  <c r="H364" i="11" s="1"/>
  <c r="D325" i="11"/>
  <c r="H325" i="11" s="1"/>
  <c r="D430" i="11"/>
  <c r="H430" i="11" s="1"/>
  <c r="D477" i="11"/>
  <c r="H477" i="11" s="1"/>
  <c r="D484" i="11"/>
  <c r="H484" i="11" s="1"/>
  <c r="D79" i="11"/>
  <c r="H79" i="11" s="1"/>
  <c r="D128" i="11"/>
  <c r="H128" i="11" s="1"/>
  <c r="D321" i="11"/>
  <c r="H321" i="11" s="1"/>
  <c r="D401" i="11"/>
  <c r="H401" i="11" s="1"/>
  <c r="D486" i="11"/>
  <c r="H486" i="11" s="1"/>
  <c r="D592" i="11"/>
  <c r="H592" i="11" s="1"/>
  <c r="D612" i="11"/>
  <c r="H612" i="11" s="1"/>
  <c r="D628" i="11"/>
  <c r="H628" i="11" s="1"/>
  <c r="D646" i="11"/>
  <c r="H646" i="11" s="1"/>
  <c r="D648" i="11"/>
  <c r="H648" i="11" s="1"/>
  <c r="D650" i="11"/>
  <c r="H650" i="11" s="1"/>
  <c r="D426" i="11"/>
  <c r="H426" i="11" s="1"/>
  <c r="D432" i="11"/>
  <c r="H432" i="11" s="1"/>
  <c r="D516" i="11"/>
  <c r="H516" i="11" s="1"/>
  <c r="D657" i="11"/>
  <c r="H657" i="11" s="1"/>
  <c r="D667" i="11"/>
  <c r="H667" i="11" s="1"/>
  <c r="D677" i="11"/>
  <c r="H677" i="11" s="1"/>
  <c r="D444" i="11"/>
  <c r="H444" i="11" s="1"/>
  <c r="D454" i="11"/>
  <c r="H454" i="11" s="1"/>
  <c r="D464" i="11"/>
  <c r="H464" i="11" s="1"/>
  <c r="D530" i="11"/>
  <c r="H530" i="11" s="1"/>
  <c r="D611" i="11"/>
  <c r="H611" i="11" s="1"/>
  <c r="D671" i="11"/>
  <c r="H671" i="11" s="1"/>
  <c r="D535" i="11"/>
  <c r="H535" i="11" s="1"/>
  <c r="D551" i="11"/>
  <c r="H551" i="11" s="1"/>
  <c r="D463" i="11"/>
  <c r="H463" i="11" s="1"/>
  <c r="D493" i="11"/>
  <c r="H493" i="11" s="1"/>
  <c r="D502" i="11"/>
  <c r="H502" i="11" s="1"/>
  <c r="D310" i="11"/>
  <c r="H310" i="11" s="1"/>
  <c r="D683" i="11"/>
  <c r="H683" i="11" s="1"/>
  <c r="D362" i="11"/>
  <c r="H362" i="11" s="1"/>
  <c r="D376" i="11"/>
  <c r="H376" i="11" s="1"/>
  <c r="D679" i="11"/>
  <c r="H679" i="11" s="1"/>
  <c r="D337" i="11"/>
  <c r="H337" i="11" s="1"/>
  <c r="D585" i="11"/>
  <c r="H585" i="11" s="1"/>
  <c r="D643" i="11"/>
  <c r="H643" i="11" s="1"/>
  <c r="D655" i="11"/>
  <c r="H655" i="11" s="1"/>
  <c r="D31" i="11"/>
  <c r="H31" i="11" s="1"/>
  <c r="D578" i="11"/>
  <c r="H578" i="11" s="1"/>
  <c r="D669" i="11"/>
  <c r="H669" i="11" s="1"/>
  <c r="D556" i="11"/>
  <c r="H556" i="11" s="1"/>
  <c r="D615" i="11"/>
  <c r="H615" i="11" s="1"/>
  <c r="D663" i="11"/>
  <c r="H663" i="11" s="1"/>
  <c r="D387" i="11"/>
  <c r="H387" i="11" s="1"/>
  <c r="D603" i="11"/>
  <c r="H603" i="11" s="1"/>
  <c r="D573" i="11"/>
  <c r="H573" i="11" s="1"/>
  <c r="G12" i="12"/>
  <c r="G13" i="12"/>
  <c r="G102" i="12"/>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G34" i="12"/>
  <c r="G14" i="12"/>
  <c r="G15" i="12"/>
  <c r="G16" i="12"/>
  <c r="G22" i="12"/>
  <c r="B50" i="3"/>
  <c r="G39" i="12"/>
  <c r="D7" i="12"/>
  <c r="G36" i="12"/>
  <c r="G35" i="12"/>
  <c r="G23" i="12"/>
  <c r="G40" i="12"/>
  <c r="G18" i="12"/>
  <c r="G37" i="12"/>
  <c r="G17" i="12"/>
  <c r="G30" i="12"/>
  <c r="G29" i="12"/>
  <c r="G24" i="12"/>
  <c r="G28" i="12"/>
  <c r="G33" i="12"/>
  <c r="G21" i="12"/>
  <c r="G19" i="12"/>
  <c r="G26" i="12"/>
  <c r="G41" i="12"/>
  <c r="G38" i="12"/>
  <c r="G25" i="12"/>
  <c r="G31" i="12"/>
  <c r="G20" i="12"/>
  <c r="G27" i="12"/>
  <c r="G32" i="12"/>
  <c r="G42" i="12"/>
  <c r="D649" i="11" l="1"/>
  <c r="H649" i="11" s="1"/>
  <c r="D382" i="11"/>
  <c r="H382" i="11" s="1"/>
  <c r="D570" i="11"/>
  <c r="H570" i="11" s="1"/>
  <c r="D473" i="11"/>
  <c r="H473" i="11" s="1"/>
  <c r="D499" i="11"/>
  <c r="H499" i="11" s="1"/>
  <c r="D558" i="11"/>
  <c r="H558" i="11" s="1"/>
  <c r="D644" i="11"/>
  <c r="H644" i="11" s="1"/>
  <c r="D286" i="11"/>
  <c r="H286" i="11" s="1"/>
  <c r="D524" i="11"/>
  <c r="H524" i="11" s="1"/>
  <c r="D29" i="11"/>
  <c r="H29" i="11" s="1"/>
  <c r="D131" i="11"/>
  <c r="H131" i="11" s="1"/>
  <c r="D272" i="11"/>
  <c r="H272" i="11" s="1"/>
  <c r="D53" i="11"/>
  <c r="H53" i="11" s="1"/>
  <c r="D209" i="11"/>
  <c r="H209" i="11" s="1"/>
  <c r="D42" i="11"/>
  <c r="H42" i="11" s="1"/>
  <c r="D479" i="11"/>
  <c r="H479" i="11" s="1"/>
  <c r="D268" i="11"/>
  <c r="H268" i="11" s="1"/>
  <c r="D10" i="11"/>
  <c r="H10" i="11" s="1"/>
  <c r="D340" i="11"/>
  <c r="H340" i="11" s="1"/>
  <c r="D424" i="11"/>
  <c r="H424" i="11" s="1"/>
  <c r="D491" i="11"/>
  <c r="H491" i="11" s="1"/>
  <c r="D645" i="11"/>
  <c r="H645" i="11" s="1"/>
  <c r="D513" i="11"/>
  <c r="H513" i="11" s="1"/>
  <c r="D154" i="11"/>
  <c r="H154" i="11" s="1"/>
  <c r="D590" i="11"/>
  <c r="H590" i="11" s="1"/>
  <c r="D352" i="11"/>
  <c r="H352" i="11" s="1"/>
  <c r="D99" i="11"/>
  <c r="H99" i="11" s="1"/>
  <c r="D514" i="11"/>
  <c r="H514" i="11" s="1"/>
  <c r="D152" i="11"/>
  <c r="H152" i="11" s="1"/>
  <c r="D281" i="11"/>
  <c r="H281" i="11" s="1"/>
  <c r="D101" i="11"/>
  <c r="H101" i="11" s="1"/>
  <c r="D361" i="11"/>
  <c r="H361" i="11" s="1"/>
  <c r="D429" i="11"/>
  <c r="H429" i="11" s="1"/>
  <c r="D639" i="11"/>
  <c r="H639" i="11" s="1"/>
  <c r="D509" i="11"/>
  <c r="H509" i="11" s="1"/>
  <c r="D459" i="11"/>
  <c r="H459" i="11" s="1"/>
  <c r="D682" i="11"/>
  <c r="H682" i="11" s="1"/>
  <c r="D588" i="11"/>
  <c r="H588" i="11" s="1"/>
  <c r="D506" i="11"/>
  <c r="H506" i="11" s="1"/>
  <c r="D505" i="11"/>
  <c r="H505" i="11" s="1"/>
  <c r="D331" i="11"/>
  <c r="H331" i="11" s="1"/>
  <c r="D316" i="11"/>
  <c r="H316" i="11" s="1"/>
  <c r="D277" i="11"/>
  <c r="H277" i="11" s="1"/>
  <c r="D96" i="11"/>
  <c r="H96" i="11" s="1"/>
  <c r="D675" i="11"/>
  <c r="H675" i="11" s="1"/>
  <c r="D328" i="11"/>
  <c r="H328" i="11" s="1"/>
  <c r="D441" i="11"/>
  <c r="H441" i="11" s="1"/>
  <c r="D129" i="11"/>
  <c r="H129" i="11" s="1"/>
  <c r="D300" i="11"/>
  <c r="H300" i="11" s="1"/>
  <c r="D668" i="11"/>
  <c r="H668" i="11" s="1"/>
  <c r="D579" i="11"/>
  <c r="H579" i="11" s="1"/>
  <c r="D489" i="11"/>
  <c r="H489" i="11" s="1"/>
  <c r="D423" i="11"/>
  <c r="H423" i="11" s="1"/>
  <c r="D465" i="11"/>
  <c r="H465" i="11" s="1"/>
  <c r="D322" i="11"/>
  <c r="H322" i="11" s="1"/>
  <c r="D136" i="11"/>
  <c r="H136" i="11" s="1"/>
  <c r="D275" i="11"/>
  <c r="H275" i="11" s="1"/>
  <c r="D88" i="11"/>
  <c r="H88" i="11" s="1"/>
  <c r="D501" i="11"/>
  <c r="H501" i="11" s="1"/>
  <c r="D625" i="11"/>
  <c r="H625" i="11" s="1"/>
  <c r="D482" i="11"/>
  <c r="H482" i="11" s="1"/>
  <c r="D528" i="11"/>
  <c r="H528" i="11" s="1"/>
  <c r="D431" i="11"/>
  <c r="H431" i="11" s="1"/>
  <c r="D543" i="11"/>
  <c r="H543" i="11" s="1"/>
  <c r="D546" i="11"/>
  <c r="H546" i="11" s="1"/>
  <c r="D469" i="11"/>
  <c r="H469" i="11" s="1"/>
  <c r="D550" i="11"/>
  <c r="H550" i="11" s="1"/>
  <c r="D654" i="11"/>
  <c r="H654" i="11" s="1"/>
  <c r="D602" i="11"/>
  <c r="H602" i="11" s="1"/>
  <c r="D248" i="11"/>
  <c r="H248" i="11" s="1"/>
  <c r="D537" i="11"/>
  <c r="H537" i="11" s="1"/>
  <c r="D406" i="11"/>
  <c r="H406" i="11" s="1"/>
  <c r="D363" i="11"/>
  <c r="H363" i="11" s="1"/>
  <c r="D212" i="11"/>
  <c r="H212" i="11" s="1"/>
  <c r="D150" i="11"/>
  <c r="H150" i="11" s="1"/>
  <c r="D172" i="11"/>
  <c r="H172" i="11" s="1"/>
  <c r="D43" i="11"/>
  <c r="H43" i="11" s="1"/>
  <c r="D162" i="11"/>
  <c r="H162" i="11" s="1"/>
  <c r="D295" i="11"/>
  <c r="H295" i="11" s="1"/>
  <c r="D217" i="11"/>
  <c r="H217" i="11" s="1"/>
  <c r="D100" i="11"/>
  <c r="H100" i="11" s="1"/>
  <c r="D30" i="11"/>
  <c r="H30" i="11" s="1"/>
  <c r="D369" i="11"/>
  <c r="H369" i="11" s="1"/>
  <c r="D609" i="11"/>
  <c r="H609" i="11" s="1"/>
  <c r="D510" i="11"/>
  <c r="H510" i="11" s="1"/>
  <c r="D635" i="11"/>
  <c r="H635" i="11" s="1"/>
  <c r="D576" i="11"/>
  <c r="H576" i="11" s="1"/>
  <c r="D457" i="11"/>
  <c r="H457" i="11" s="1"/>
  <c r="D661" i="11"/>
  <c r="H661" i="11" s="1"/>
  <c r="D208" i="11"/>
  <c r="H208" i="11" s="1"/>
  <c r="D647" i="11"/>
  <c r="H647" i="11" s="1"/>
  <c r="D674" i="11"/>
  <c r="H674" i="11" s="1"/>
  <c r="D624" i="11"/>
  <c r="H624" i="11" s="1"/>
  <c r="D467" i="11"/>
  <c r="H467" i="11" s="1"/>
  <c r="D456" i="11"/>
  <c r="H456" i="11" s="1"/>
  <c r="D564" i="11"/>
  <c r="H564" i="11" s="1"/>
  <c r="D222" i="11"/>
  <c r="H222" i="11" s="1"/>
  <c r="D408" i="11"/>
  <c r="H408" i="11" s="1"/>
  <c r="D355" i="11"/>
  <c r="H355" i="11" s="1"/>
  <c r="D143" i="11"/>
  <c r="H143" i="11" s="1"/>
  <c r="D109" i="11"/>
  <c r="H109" i="11" s="1"/>
  <c r="D180" i="11"/>
  <c r="H180" i="11" s="1"/>
  <c r="D47" i="11"/>
  <c r="H47" i="11" s="1"/>
  <c r="D251" i="11"/>
  <c r="H251" i="11" s="1"/>
  <c r="D157" i="11"/>
  <c r="H157" i="11" s="1"/>
  <c r="D56" i="11"/>
  <c r="H56" i="11" s="1"/>
  <c r="D341" i="11"/>
  <c r="H341" i="11" s="1"/>
  <c r="D560" i="11"/>
  <c r="H560" i="11" s="1"/>
  <c r="D629" i="11"/>
  <c r="H629" i="11" s="1"/>
  <c r="D545" i="11"/>
  <c r="H545" i="11" s="1"/>
  <c r="D453" i="11"/>
  <c r="H453" i="11" s="1"/>
  <c r="D651" i="11"/>
  <c r="H651" i="11" s="1"/>
  <c r="D521" i="11"/>
  <c r="H521" i="11" s="1"/>
  <c r="D637" i="11"/>
  <c r="H637" i="11" s="1"/>
  <c r="D672" i="11"/>
  <c r="H672" i="11" s="1"/>
  <c r="D622" i="11"/>
  <c r="H622" i="11" s="1"/>
  <c r="D461" i="11"/>
  <c r="H461" i="11" s="1"/>
  <c r="D394" i="11"/>
  <c r="H394" i="11" s="1"/>
  <c r="D554" i="11"/>
  <c r="H554" i="11" s="1"/>
  <c r="D159" i="11"/>
  <c r="H159" i="11" s="1"/>
  <c r="D368" i="11"/>
  <c r="H368" i="11" s="1"/>
  <c r="D345" i="11"/>
  <c r="H345" i="11" s="1"/>
  <c r="D116" i="11"/>
  <c r="H116" i="11" s="1"/>
  <c r="D17" i="11"/>
  <c r="H17" i="11" s="1"/>
  <c r="D174" i="11"/>
  <c r="H174" i="11" s="1"/>
  <c r="D27" i="11"/>
  <c r="H27" i="11" s="1"/>
  <c r="D241" i="11"/>
  <c r="H241" i="11" s="1"/>
  <c r="D146" i="11"/>
  <c r="H146" i="11" s="1"/>
  <c r="D54" i="11"/>
  <c r="H54" i="11" s="1"/>
  <c r="D460" i="11"/>
  <c r="H460" i="11" s="1"/>
  <c r="D416" i="11"/>
  <c r="H416" i="11" s="1"/>
  <c r="D411" i="11"/>
  <c r="H411" i="11" s="1"/>
  <c r="D374" i="11"/>
  <c r="H374" i="11" s="1"/>
  <c r="D623" i="11"/>
  <c r="H623" i="11" s="1"/>
  <c r="D451" i="11"/>
  <c r="H451" i="11" s="1"/>
  <c r="D377" i="11"/>
  <c r="H377" i="11" s="1"/>
  <c r="D621" i="11"/>
  <c r="H621" i="11" s="1"/>
  <c r="D490" i="11"/>
  <c r="H490" i="11" s="1"/>
  <c r="D583" i="11"/>
  <c r="H583" i="11" s="1"/>
  <c r="D670" i="11"/>
  <c r="H670" i="11" s="1"/>
  <c r="D614" i="11"/>
  <c r="H614" i="11" s="1"/>
  <c r="D439" i="11"/>
  <c r="H439" i="11" s="1"/>
  <c r="D386" i="11"/>
  <c r="H386" i="11" s="1"/>
  <c r="D534" i="11"/>
  <c r="H534" i="11" s="1"/>
  <c r="D132" i="11"/>
  <c r="H132" i="11" s="1"/>
  <c r="D358" i="11"/>
  <c r="H358" i="11" s="1"/>
  <c r="D323" i="11"/>
  <c r="H323" i="11" s="1"/>
  <c r="D329" i="11"/>
  <c r="H329" i="11" s="1"/>
  <c r="D9" i="11"/>
  <c r="H9" i="11" s="1"/>
  <c r="D161" i="11"/>
  <c r="H161" i="11" s="1"/>
  <c r="D317" i="11"/>
  <c r="H317" i="11" s="1"/>
  <c r="D239" i="11"/>
  <c r="H239" i="11" s="1"/>
  <c r="D117" i="11"/>
  <c r="H117" i="11" s="1"/>
  <c r="D22" i="11"/>
  <c r="H22" i="11" s="1"/>
  <c r="D46" i="11"/>
  <c r="H46" i="11" s="1"/>
  <c r="D68" i="11"/>
  <c r="H68" i="11" s="1"/>
  <c r="D90" i="11"/>
  <c r="H90" i="11" s="1"/>
  <c r="D21" i="11"/>
  <c r="H21" i="11" s="1"/>
  <c r="D177" i="11"/>
  <c r="H177" i="11" s="1"/>
  <c r="D199" i="11"/>
  <c r="H199" i="11" s="1"/>
  <c r="D221" i="11"/>
  <c r="H221" i="11" s="1"/>
  <c r="D243" i="11"/>
  <c r="H243" i="11" s="1"/>
  <c r="D265" i="11"/>
  <c r="H265" i="11" s="1"/>
  <c r="D289" i="11"/>
  <c r="H289" i="11" s="1"/>
  <c r="D311" i="11"/>
  <c r="H311" i="11" s="1"/>
  <c r="D135" i="11"/>
  <c r="H135" i="11" s="1"/>
  <c r="D115" i="11"/>
  <c r="H115" i="11" s="1"/>
  <c r="D23" i="11"/>
  <c r="H23" i="11" s="1"/>
  <c r="D256" i="11"/>
  <c r="H256" i="11" s="1"/>
  <c r="D186" i="11"/>
  <c r="H186" i="11" s="1"/>
  <c r="D127" i="11"/>
  <c r="H127" i="11" s="1"/>
  <c r="D37" i="11"/>
  <c r="H37" i="11" s="1"/>
  <c r="D65" i="11"/>
  <c r="H65" i="11" s="1"/>
  <c r="D103" i="11"/>
  <c r="H103" i="11" s="1"/>
  <c r="D298" i="11"/>
  <c r="H298" i="11" s="1"/>
  <c r="D280" i="11"/>
  <c r="H280" i="11" s="1"/>
  <c r="D184" i="11"/>
  <c r="H184" i="11" s="1"/>
  <c r="D244" i="11"/>
  <c r="H244" i="11" s="1"/>
  <c r="D375" i="11"/>
  <c r="H375" i="11" s="1"/>
  <c r="D475" i="11"/>
  <c r="H475" i="11" s="1"/>
  <c r="D224" i="11"/>
  <c r="H224" i="11" s="1"/>
  <c r="D378" i="11"/>
  <c r="H378" i="11" s="1"/>
  <c r="D478" i="11"/>
  <c r="H478" i="11" s="1"/>
  <c r="D240" i="11"/>
  <c r="H240" i="11" s="1"/>
  <c r="D105" i="11"/>
  <c r="H105" i="11" s="1"/>
  <c r="D360" i="11"/>
  <c r="H360" i="11" s="1"/>
  <c r="D330" i="11"/>
  <c r="H330" i="11" s="1"/>
  <c r="D474" i="11"/>
  <c r="H474" i="11" s="1"/>
  <c r="D586" i="11"/>
  <c r="H586" i="11" s="1"/>
  <c r="D443" i="11"/>
  <c r="H443" i="11" s="1"/>
  <c r="D557" i="11"/>
  <c r="H557" i="11" s="1"/>
  <c r="D402" i="11"/>
  <c r="H402" i="11" s="1"/>
  <c r="D552" i="11"/>
  <c r="H552" i="11" s="1"/>
  <c r="D156" i="11"/>
  <c r="H156" i="11" s="1"/>
  <c r="D409" i="11"/>
  <c r="H409" i="11" s="1"/>
  <c r="D529" i="11"/>
  <c r="H529" i="11" s="1"/>
  <c r="D596" i="11"/>
  <c r="H596" i="11" s="1"/>
  <c r="D616" i="11"/>
  <c r="H616" i="11" s="1"/>
  <c r="D636" i="11"/>
  <c r="H636" i="11" s="1"/>
  <c r="D656" i="11"/>
  <c r="H656" i="11" s="1"/>
  <c r="D676" i="11"/>
  <c r="H676" i="11" s="1"/>
  <c r="D26" i="11"/>
  <c r="H26" i="11" s="1"/>
  <c r="D48" i="11"/>
  <c r="H48" i="11" s="1"/>
  <c r="D70" i="11"/>
  <c r="H70" i="11" s="1"/>
  <c r="D92" i="11"/>
  <c r="H92" i="11" s="1"/>
  <c r="D41" i="11"/>
  <c r="H41" i="11" s="1"/>
  <c r="D179" i="11"/>
  <c r="H179" i="11" s="1"/>
  <c r="D201" i="11"/>
  <c r="H201" i="11" s="1"/>
  <c r="D223" i="11"/>
  <c r="H223" i="11" s="1"/>
  <c r="D245" i="11"/>
  <c r="H245" i="11" s="1"/>
  <c r="D269" i="11"/>
  <c r="H269" i="11" s="1"/>
  <c r="D291" i="11"/>
  <c r="H291" i="11" s="1"/>
  <c r="D313" i="11"/>
  <c r="H313" i="11" s="1"/>
  <c r="D144" i="11"/>
  <c r="H144" i="11" s="1"/>
  <c r="D122" i="11"/>
  <c r="H122" i="11" s="1"/>
  <c r="D71" i="11"/>
  <c r="H71" i="11" s="1"/>
  <c r="D276" i="11"/>
  <c r="H276" i="11" s="1"/>
  <c r="D196" i="11"/>
  <c r="H196" i="11" s="1"/>
  <c r="D130" i="11"/>
  <c r="H130" i="11" s="1"/>
  <c r="D85" i="11"/>
  <c r="H85" i="11" s="1"/>
  <c r="D95" i="11"/>
  <c r="H95" i="11" s="1"/>
  <c r="D121" i="11"/>
  <c r="H121" i="11" s="1"/>
  <c r="D308" i="11"/>
  <c r="H308" i="11" s="1"/>
  <c r="D318" i="11"/>
  <c r="H318" i="11" s="1"/>
  <c r="D198" i="11"/>
  <c r="H198" i="11" s="1"/>
  <c r="D250" i="11"/>
  <c r="H250" i="11" s="1"/>
  <c r="D385" i="11"/>
  <c r="H385" i="11" s="1"/>
  <c r="D485" i="11"/>
  <c r="H485" i="11" s="1"/>
  <c r="D260" i="11"/>
  <c r="H260" i="11" s="1"/>
  <c r="D388" i="11"/>
  <c r="H388" i="11" s="1"/>
  <c r="D492" i="11"/>
  <c r="H492" i="11" s="1"/>
  <c r="D343" i="11"/>
  <c r="H343" i="11" s="1"/>
  <c r="D69" i="11"/>
  <c r="H69" i="11" s="1"/>
  <c r="D370" i="11"/>
  <c r="H370" i="11" s="1"/>
  <c r="D334" i="11"/>
  <c r="H334" i="11" s="1"/>
  <c r="D480" i="11"/>
  <c r="H480" i="11" s="1"/>
  <c r="D290" i="11"/>
  <c r="H290" i="11" s="1"/>
  <c r="D449" i="11"/>
  <c r="H449" i="11" s="1"/>
  <c r="D567" i="11"/>
  <c r="H567" i="11" s="1"/>
  <c r="D434" i="11"/>
  <c r="H434" i="11" s="1"/>
  <c r="D562" i="11"/>
  <c r="H562" i="11" s="1"/>
  <c r="D170" i="11"/>
  <c r="H170" i="11" s="1"/>
  <c r="D417" i="11"/>
  <c r="H417" i="11" s="1"/>
  <c r="D539" i="11"/>
  <c r="H539" i="11" s="1"/>
  <c r="D598" i="11"/>
  <c r="H598" i="11" s="1"/>
  <c r="D618" i="11"/>
  <c r="H618" i="11" s="1"/>
  <c r="D638" i="11"/>
  <c r="H638" i="11" s="1"/>
  <c r="D658" i="11"/>
  <c r="H658" i="11" s="1"/>
  <c r="D678" i="11"/>
  <c r="H678" i="11" s="1"/>
  <c r="D442" i="11"/>
  <c r="H442" i="11" s="1"/>
  <c r="D617" i="11"/>
  <c r="H617" i="11" s="1"/>
  <c r="D357" i="11"/>
  <c r="H357" i="11" s="1"/>
  <c r="D563" i="11"/>
  <c r="H563" i="11" s="1"/>
  <c r="D504" i="11"/>
  <c r="H504" i="11" s="1"/>
  <c r="H631" i="11"/>
  <c r="D421" i="11"/>
  <c r="H421" i="11" s="1"/>
  <c r="D419" i="11"/>
  <c r="H419" i="11" s="1"/>
  <c r="D525" i="11"/>
  <c r="H525" i="11" s="1"/>
  <c r="D561" i="11"/>
  <c r="H561" i="11" s="1"/>
  <c r="D404" i="11"/>
  <c r="H404" i="11" s="1"/>
  <c r="D673" i="11"/>
  <c r="H673" i="11" s="1"/>
  <c r="D472" i="11"/>
  <c r="H472" i="11" s="1"/>
  <c r="D599" i="11"/>
  <c r="H599" i="11" s="1"/>
  <c r="D613" i="11"/>
  <c r="H613" i="11" s="1"/>
  <c r="D487" i="11"/>
  <c r="H487" i="11" s="1"/>
  <c r="D540" i="11"/>
  <c r="H540" i="11" s="1"/>
  <c r="D518" i="11"/>
  <c r="H518" i="11" s="1"/>
  <c r="D97" i="11"/>
  <c r="H97" i="11" s="1"/>
  <c r="D112" i="11"/>
  <c r="H112" i="11" s="1"/>
  <c r="D500" i="11"/>
  <c r="H500" i="11" s="1"/>
  <c r="D471" i="11"/>
  <c r="H471" i="11" s="1"/>
  <c r="D577" i="11"/>
  <c r="H577" i="11" s="1"/>
  <c r="D572" i="11"/>
  <c r="H572" i="11" s="1"/>
  <c r="D204" i="11"/>
  <c r="H204" i="11" s="1"/>
  <c r="D433" i="11"/>
  <c r="H433" i="11" s="1"/>
  <c r="D600" i="11"/>
  <c r="H600" i="11" s="1"/>
  <c r="D620" i="11"/>
  <c r="H620" i="11" s="1"/>
  <c r="D640" i="11"/>
  <c r="H640" i="11" s="1"/>
  <c r="D660" i="11"/>
  <c r="H660" i="11" s="1"/>
  <c r="D507" i="11"/>
  <c r="H507" i="11" s="1"/>
  <c r="D627" i="11"/>
  <c r="H627" i="11" s="1"/>
  <c r="D371" i="11"/>
  <c r="H371" i="11" s="1"/>
  <c r="D571" i="11"/>
  <c r="H571" i="11" s="1"/>
  <c r="D508" i="11"/>
  <c r="H508" i="11" s="1"/>
  <c r="D641" i="11"/>
  <c r="H641" i="11" s="1"/>
  <c r="D481" i="11"/>
  <c r="H481" i="11" s="1"/>
  <c r="D28" i="11"/>
  <c r="H28" i="11" s="1"/>
  <c r="D50" i="11"/>
  <c r="H50" i="11" s="1"/>
  <c r="D72" i="11"/>
  <c r="H72" i="11" s="1"/>
  <c r="D94" i="11"/>
  <c r="H94" i="11" s="1"/>
  <c r="D61" i="11"/>
  <c r="H61" i="11" s="1"/>
  <c r="D181" i="11"/>
  <c r="H181" i="11" s="1"/>
  <c r="D203" i="11"/>
  <c r="H203" i="11" s="1"/>
  <c r="D225" i="11"/>
  <c r="H225" i="11" s="1"/>
  <c r="D249" i="11"/>
  <c r="H249" i="11" s="1"/>
  <c r="D271" i="11"/>
  <c r="H271" i="11" s="1"/>
  <c r="D293" i="11"/>
  <c r="H293" i="11" s="1"/>
  <c r="D315" i="11"/>
  <c r="H315" i="11" s="1"/>
  <c r="D155" i="11"/>
  <c r="H155" i="11" s="1"/>
  <c r="D133" i="11"/>
  <c r="H133" i="11" s="1"/>
  <c r="D89" i="11"/>
  <c r="H89" i="11" s="1"/>
  <c r="D296" i="11"/>
  <c r="H296" i="11" s="1"/>
  <c r="D206" i="11"/>
  <c r="H206" i="11" s="1"/>
  <c r="D140" i="11"/>
  <c r="H140" i="11" s="1"/>
  <c r="D141" i="11"/>
  <c r="H141" i="11" s="1"/>
  <c r="D167" i="11"/>
  <c r="H167" i="11" s="1"/>
  <c r="D320" i="11"/>
  <c r="H320" i="11" s="1"/>
  <c r="D327" i="11"/>
  <c r="H327" i="11" s="1"/>
  <c r="D202" i="11"/>
  <c r="H202" i="11" s="1"/>
  <c r="D284" i="11"/>
  <c r="H284" i="11" s="1"/>
  <c r="D395" i="11"/>
  <c r="H395" i="11" s="1"/>
  <c r="D494" i="11"/>
  <c r="H494" i="11" s="1"/>
  <c r="D266" i="11"/>
  <c r="H266" i="11" s="1"/>
  <c r="D398" i="11"/>
  <c r="H398" i="11" s="1"/>
  <c r="D503" i="11"/>
  <c r="H503" i="11" s="1"/>
  <c r="D353" i="11"/>
  <c r="H353" i="11" s="1"/>
  <c r="D380" i="11"/>
  <c r="H380" i="11" s="1"/>
  <c r="D356" i="11"/>
  <c r="H356" i="11" s="1"/>
  <c r="D319" i="11"/>
  <c r="H319" i="11" s="1"/>
  <c r="D440" i="11"/>
  <c r="H440" i="11" s="1"/>
  <c r="D549" i="11"/>
  <c r="H549" i="11" s="1"/>
  <c r="D680" i="11"/>
  <c r="H680" i="11" s="1"/>
  <c r="D14" i="11"/>
  <c r="H14" i="11" s="1"/>
  <c r="D36" i="11"/>
  <c r="H36" i="11" s="1"/>
  <c r="D58" i="11"/>
  <c r="H58" i="11" s="1"/>
  <c r="D80" i="11"/>
  <c r="H80" i="11" s="1"/>
  <c r="D102" i="11"/>
  <c r="H102" i="11" s="1"/>
  <c r="D137" i="11"/>
  <c r="H137" i="11" s="1"/>
  <c r="D191" i="11"/>
  <c r="H191" i="11" s="1"/>
  <c r="D213" i="11"/>
  <c r="H213" i="11" s="1"/>
  <c r="D235" i="11"/>
  <c r="H235" i="11" s="1"/>
  <c r="D257" i="11"/>
  <c r="H257" i="11" s="1"/>
  <c r="D279" i="11"/>
  <c r="H279" i="11" s="1"/>
  <c r="D301" i="11"/>
  <c r="H301" i="11" s="1"/>
  <c r="D67" i="11"/>
  <c r="H67" i="11" s="1"/>
  <c r="D33" i="11"/>
  <c r="H33" i="11" s="1"/>
  <c r="D173" i="11"/>
  <c r="H173" i="11" s="1"/>
  <c r="D171" i="11"/>
  <c r="H171" i="11" s="1"/>
  <c r="D57" i="11"/>
  <c r="H57" i="11" s="1"/>
  <c r="D274" i="11"/>
  <c r="H274" i="11" s="1"/>
  <c r="D252" i="11"/>
  <c r="H252" i="11" s="1"/>
  <c r="D145" i="11"/>
  <c r="H145" i="11" s="1"/>
  <c r="D288" i="11"/>
  <c r="H288" i="11" s="1"/>
  <c r="D220" i="11"/>
  <c r="H220" i="11" s="1"/>
  <c r="D163" i="11"/>
  <c r="H163" i="11" s="1"/>
  <c r="D111" i="11"/>
  <c r="H111" i="11" s="1"/>
  <c r="D160" i="11"/>
  <c r="H160" i="11" s="1"/>
  <c r="D332" i="11"/>
  <c r="H332" i="11" s="1"/>
  <c r="D435" i="11"/>
  <c r="H435" i="11" s="1"/>
  <c r="D134" i="11"/>
  <c r="H134" i="11" s="1"/>
  <c r="D338" i="11"/>
  <c r="H338" i="11" s="1"/>
  <c r="D438" i="11"/>
  <c r="H438" i="11" s="1"/>
  <c r="D77" i="11"/>
  <c r="H77" i="11" s="1"/>
  <c r="D393" i="11"/>
  <c r="H393" i="11" s="1"/>
  <c r="D228" i="11"/>
  <c r="H228" i="11" s="1"/>
  <c r="D420" i="11"/>
  <c r="H420" i="11" s="1"/>
  <c r="D414" i="11"/>
  <c r="H414" i="11" s="1"/>
  <c r="D544" i="11"/>
  <c r="H544" i="11" s="1"/>
  <c r="D381" i="11"/>
  <c r="H381" i="11" s="1"/>
  <c r="D517" i="11"/>
  <c r="H517" i="11" s="1"/>
  <c r="D344" i="11"/>
  <c r="H344" i="11" s="1"/>
  <c r="D495" i="11"/>
  <c r="H495" i="11" s="1"/>
  <c r="D178" i="11"/>
  <c r="H178" i="11" s="1"/>
  <c r="D351" i="11"/>
  <c r="H351" i="11" s="1"/>
  <c r="D605" i="11"/>
  <c r="H605" i="11" s="1"/>
  <c r="D659" i="11"/>
  <c r="H659" i="11" s="1"/>
  <c r="D488" i="11"/>
  <c r="H488" i="11" s="1"/>
  <c r="D354" i="11"/>
  <c r="H354" i="11" s="1"/>
  <c r="D346" i="11"/>
  <c r="H346" i="11" s="1"/>
  <c r="D294" i="11"/>
  <c r="H294" i="11" s="1"/>
  <c r="D520" i="11"/>
  <c r="H520" i="11" s="1"/>
  <c r="D553" i="11"/>
  <c r="H553" i="11" s="1"/>
  <c r="D498" i="11"/>
  <c r="H498" i="11" s="1"/>
  <c r="D349" i="11"/>
  <c r="H349" i="11" s="1"/>
  <c r="D681" i="11"/>
  <c r="H681" i="11" s="1"/>
  <c r="D538" i="11"/>
  <c r="H538" i="11" s="1"/>
  <c r="D555" i="11"/>
  <c r="H555" i="11" s="1"/>
  <c r="D63" i="11"/>
  <c r="H63" i="11" s="1"/>
  <c r="D566" i="11"/>
  <c r="H566" i="11" s="1"/>
  <c r="D684" i="11"/>
  <c r="H684" i="11" s="1"/>
  <c r="D652" i="11"/>
  <c r="H652" i="11" s="1"/>
  <c r="D626" i="11"/>
  <c r="H626" i="11" s="1"/>
  <c r="D594" i="11"/>
  <c r="H594" i="11" s="1"/>
  <c r="D483" i="11"/>
  <c r="H483" i="11" s="1"/>
  <c r="D336" i="11"/>
  <c r="H336" i="11" s="1"/>
  <c r="D462" i="11"/>
  <c r="H462" i="11" s="1"/>
  <c r="D527" i="11"/>
  <c r="H527" i="11" s="1"/>
  <c r="D574" i="11"/>
  <c r="H574" i="11" s="1"/>
  <c r="D372" i="11"/>
  <c r="H372" i="11" s="1"/>
  <c r="D270" i="11"/>
  <c r="H270" i="11" s="1"/>
  <c r="D169" i="11"/>
  <c r="H169" i="11" s="1"/>
  <c r="D418" i="11"/>
  <c r="H418" i="11" s="1"/>
  <c r="D182" i="11"/>
  <c r="H182" i="11" s="1"/>
  <c r="D365" i="11"/>
  <c r="H365" i="11" s="1"/>
  <c r="D264" i="11"/>
  <c r="H264" i="11" s="1"/>
  <c r="D210" i="11"/>
  <c r="H210" i="11" s="1"/>
  <c r="D59" i="11"/>
  <c r="H59" i="11" s="1"/>
  <c r="D113" i="11"/>
  <c r="H113" i="11" s="1"/>
  <c r="D39" i="11"/>
  <c r="H39" i="11" s="1"/>
  <c r="D236" i="11"/>
  <c r="H236" i="11" s="1"/>
  <c r="D153" i="11"/>
  <c r="H153" i="11" s="1"/>
  <c r="D87" i="11"/>
  <c r="H87" i="11" s="1"/>
  <c r="D285" i="11"/>
  <c r="H285" i="11" s="1"/>
  <c r="D253" i="11"/>
  <c r="H253" i="11" s="1"/>
  <c r="D215" i="11"/>
  <c r="H215" i="11" s="1"/>
  <c r="D166" i="11"/>
  <c r="H166" i="11" s="1"/>
  <c r="D98" i="11"/>
  <c r="H98" i="11" s="1"/>
  <c r="D60" i="11"/>
  <c r="H60" i="11" s="1"/>
  <c r="D20" i="11"/>
  <c r="H20" i="11" s="1"/>
  <c r="D610" i="11"/>
  <c r="H610" i="11" s="1"/>
  <c r="D582" i="11"/>
  <c r="H582" i="11" s="1"/>
  <c r="D413" i="11"/>
  <c r="H413" i="11" s="1"/>
  <c r="D149" i="11"/>
  <c r="H149" i="11" s="1"/>
  <c r="D392" i="11"/>
  <c r="H392" i="11" s="1"/>
  <c r="D559" i="11"/>
  <c r="H559" i="11" s="1"/>
  <c r="D389" i="11"/>
  <c r="H389" i="11" s="1"/>
  <c r="D400" i="11"/>
  <c r="H400" i="11" s="1"/>
  <c r="D403" i="11"/>
  <c r="H403" i="11" s="1"/>
  <c r="D468" i="11"/>
  <c r="H468" i="11" s="1"/>
  <c r="D326" i="11"/>
  <c r="H326" i="11" s="1"/>
  <c r="D445" i="11"/>
  <c r="H445" i="11" s="1"/>
  <c r="D83" i="11"/>
  <c r="H83" i="11" s="1"/>
  <c r="D230" i="11"/>
  <c r="H230" i="11" s="1"/>
  <c r="D49" i="11"/>
  <c r="H49" i="11" s="1"/>
  <c r="D168" i="11"/>
  <c r="H168" i="11" s="1"/>
  <c r="D139" i="11"/>
  <c r="H139" i="11" s="1"/>
  <c r="D75" i="11"/>
  <c r="H75" i="11" s="1"/>
  <c r="D175" i="11"/>
  <c r="H175" i="11" s="1"/>
  <c r="D303" i="11"/>
  <c r="H303" i="11" s="1"/>
  <c r="D263" i="11"/>
  <c r="H263" i="11" s="1"/>
  <c r="D231" i="11"/>
  <c r="H231" i="11" s="1"/>
  <c r="D193" i="11"/>
  <c r="H193" i="11" s="1"/>
  <c r="D11" i="11"/>
  <c r="H11" i="11" s="1"/>
  <c r="D76" i="11"/>
  <c r="H76" i="11" s="1"/>
  <c r="D38" i="11"/>
  <c r="H38" i="11" s="1"/>
  <c r="D642" i="11"/>
  <c r="H642" i="11" s="1"/>
  <c r="D569" i="11"/>
  <c r="H569" i="11" s="1"/>
  <c r="D278" i="11"/>
  <c r="H278" i="11" s="1"/>
  <c r="D397" i="11"/>
  <c r="H397" i="11" s="1"/>
  <c r="D410" i="11"/>
  <c r="H410" i="11" s="1"/>
  <c r="D512" i="11"/>
  <c r="H512" i="11" s="1"/>
  <c r="D335" i="11"/>
  <c r="H335" i="11" s="1"/>
  <c r="D455" i="11"/>
  <c r="H455" i="11" s="1"/>
  <c r="D91" i="11"/>
  <c r="H91" i="11" s="1"/>
  <c r="D258" i="11"/>
  <c r="H258" i="11" s="1"/>
  <c r="D147" i="11"/>
  <c r="H147" i="11" s="1"/>
  <c r="D232" i="11"/>
  <c r="H232" i="11" s="1"/>
  <c r="D123" i="11"/>
  <c r="H123" i="11" s="1"/>
  <c r="D15" i="11"/>
  <c r="H15" i="11" s="1"/>
  <c r="D305" i="11"/>
  <c r="H305" i="11" s="1"/>
  <c r="D273" i="11"/>
  <c r="H273" i="11" s="1"/>
  <c r="D195" i="11"/>
  <c r="H195" i="11" s="1"/>
  <c r="D81" i="11"/>
  <c r="H81" i="11" s="1"/>
  <c r="D78" i="11"/>
  <c r="H78" i="11" s="1"/>
  <c r="D40" i="11"/>
  <c r="H40" i="11" s="1"/>
  <c r="D436" i="11"/>
  <c r="H436" i="11" s="1"/>
  <c r="D619" i="11"/>
  <c r="H619" i="11" s="1"/>
  <c r="D396" i="11"/>
  <c r="H396" i="11" s="1"/>
  <c r="D548" i="11"/>
  <c r="H548" i="11" s="1"/>
  <c r="D526" i="11"/>
  <c r="H526" i="11" s="1"/>
  <c r="D565" i="11"/>
  <c r="H565" i="11" s="1"/>
  <c r="D476" i="11"/>
  <c r="H476" i="11" s="1"/>
  <c r="D633" i="11"/>
  <c r="H633" i="11" s="1"/>
  <c r="D575" i="11"/>
  <c r="H575" i="11" s="1"/>
  <c r="D447" i="11"/>
  <c r="H447" i="11" s="1"/>
  <c r="D407" i="11"/>
  <c r="H407" i="11" s="1"/>
  <c r="D601" i="11"/>
  <c r="H601" i="11" s="1"/>
  <c r="D427" i="11"/>
  <c r="H427" i="11" s="1"/>
  <c r="D607" i="11"/>
  <c r="H607" i="11" s="1"/>
  <c r="D412" i="11"/>
  <c r="H412" i="11" s="1"/>
  <c r="D666" i="11"/>
  <c r="H666" i="11" s="1"/>
  <c r="D634" i="11"/>
  <c r="H634" i="11" s="1"/>
  <c r="D608" i="11"/>
  <c r="H608" i="11" s="1"/>
  <c r="D359" i="11"/>
  <c r="H359" i="11" s="1"/>
  <c r="D542" i="11"/>
  <c r="H542" i="11" s="1"/>
  <c r="D262" i="11"/>
  <c r="H262" i="11" s="1"/>
  <c r="D452" i="11"/>
  <c r="H452" i="11" s="1"/>
  <c r="D238" i="11"/>
  <c r="H238" i="11" s="1"/>
  <c r="D581" i="11"/>
  <c r="H581" i="11" s="1"/>
  <c r="D593" i="11"/>
  <c r="H593" i="11" s="1"/>
  <c r="D665" i="11"/>
  <c r="H665" i="11" s="1"/>
  <c r="D515" i="11"/>
  <c r="H515" i="11" s="1"/>
  <c r="D470" i="11"/>
  <c r="H470" i="11" s="1"/>
  <c r="D531" i="11"/>
  <c r="H531" i="11" s="1"/>
  <c r="D466" i="11"/>
  <c r="H466" i="11" s="1"/>
  <c r="D595" i="11"/>
  <c r="H595" i="11" s="1"/>
  <c r="D541" i="11"/>
  <c r="H541" i="11" s="1"/>
  <c r="D437" i="11"/>
  <c r="H437" i="11" s="1"/>
  <c r="D379" i="11"/>
  <c r="H379" i="11" s="1"/>
  <c r="D591" i="11"/>
  <c r="H591" i="11" s="1"/>
  <c r="D366" i="11"/>
  <c r="H366" i="11" s="1"/>
  <c r="D399" i="11"/>
  <c r="H399" i="11" s="1"/>
  <c r="D597" i="11"/>
  <c r="H597" i="11" s="1"/>
  <c r="D384" i="11"/>
  <c r="H384" i="11" s="1"/>
  <c r="D664" i="11"/>
  <c r="H664" i="11" s="1"/>
  <c r="D632" i="11"/>
  <c r="H632" i="11" s="1"/>
  <c r="D606" i="11"/>
  <c r="H606" i="11" s="1"/>
  <c r="D519" i="11"/>
  <c r="H519" i="11" s="1"/>
  <c r="D312" i="11"/>
  <c r="H312" i="11" s="1"/>
  <c r="D532" i="11"/>
  <c r="H532" i="11" s="1"/>
  <c r="D584" i="11"/>
  <c r="H584" i="11" s="1"/>
  <c r="D347" i="11"/>
  <c r="H347" i="11" s="1"/>
  <c r="D446" i="11"/>
  <c r="H446" i="11" s="1"/>
  <c r="D390" i="11"/>
  <c r="H390" i="11" s="1"/>
  <c r="D383" i="11"/>
  <c r="H383" i="11" s="1"/>
  <c r="D458" i="11"/>
  <c r="H458" i="11" s="1"/>
  <c r="D292" i="11"/>
  <c r="H292" i="11" s="1"/>
  <c r="D425" i="11"/>
  <c r="H425" i="11" s="1"/>
  <c r="D200" i="11"/>
  <c r="H200" i="11" s="1"/>
  <c r="D51" i="11"/>
  <c r="H51" i="11" s="1"/>
  <c r="D192" i="11"/>
  <c r="H192" i="11" s="1"/>
  <c r="D158" i="11"/>
  <c r="H158" i="11" s="1"/>
  <c r="D165" i="11"/>
  <c r="H165" i="11" s="1"/>
  <c r="D19" i="11"/>
  <c r="H19" i="11" s="1"/>
  <c r="D55" i="11"/>
  <c r="H55" i="11" s="1"/>
  <c r="D164" i="11"/>
  <c r="H164" i="11" s="1"/>
  <c r="D299" i="11"/>
  <c r="H299" i="11" s="1"/>
  <c r="D261" i="11"/>
  <c r="H261" i="11" s="1"/>
  <c r="D229" i="11"/>
  <c r="H229" i="11" s="1"/>
  <c r="D189" i="11"/>
  <c r="H189" i="11" s="1"/>
  <c r="D108" i="11"/>
  <c r="H108" i="11" s="1"/>
  <c r="D74" i="11"/>
  <c r="H74" i="11" s="1"/>
  <c r="D34" i="11"/>
  <c r="H34" i="11" s="1"/>
  <c r="D367" i="11"/>
  <c r="H367" i="11" s="1"/>
  <c r="D511" i="11"/>
  <c r="H511" i="11" s="1"/>
  <c r="D302" i="11"/>
  <c r="H302" i="11" s="1"/>
  <c r="D233" i="11"/>
  <c r="H233" i="11" s="1"/>
  <c r="D138" i="11"/>
  <c r="H138" i="11" s="1"/>
  <c r="D568" i="11"/>
  <c r="H568" i="11" s="1"/>
  <c r="D653" i="11"/>
  <c r="H653" i="11" s="1"/>
  <c r="D496" i="11"/>
  <c r="H496" i="11" s="1"/>
  <c r="D450" i="11"/>
  <c r="H450" i="11" s="1"/>
  <c r="D523" i="11"/>
  <c r="H523" i="11" s="1"/>
  <c r="D536" i="11"/>
  <c r="H536" i="11" s="1"/>
  <c r="D589" i="11"/>
  <c r="H589" i="11" s="1"/>
  <c r="D533" i="11"/>
  <c r="H533" i="11" s="1"/>
  <c r="D391" i="11"/>
  <c r="H391" i="11" s="1"/>
  <c r="D190" i="11"/>
  <c r="H190" i="11" s="1"/>
  <c r="D580" i="11"/>
  <c r="H580" i="11" s="1"/>
  <c r="D304" i="11"/>
  <c r="H304" i="11" s="1"/>
  <c r="D342" i="11"/>
  <c r="H342" i="11" s="1"/>
  <c r="D587" i="11"/>
  <c r="H587" i="11" s="1"/>
  <c r="D333" i="11"/>
  <c r="H333" i="11" s="1"/>
  <c r="D662" i="11"/>
  <c r="H662" i="11" s="1"/>
  <c r="D630" i="11"/>
  <c r="H630" i="11" s="1"/>
  <c r="D604" i="11"/>
  <c r="H604" i="11" s="1"/>
  <c r="D497" i="11"/>
  <c r="H497" i="11" s="1"/>
  <c r="D282" i="11"/>
  <c r="H282" i="11" s="1"/>
  <c r="D522" i="11"/>
  <c r="H522" i="11" s="1"/>
  <c r="D547" i="11"/>
  <c r="H547" i="11" s="1"/>
  <c r="D339" i="11"/>
  <c r="H339" i="11" s="1"/>
  <c r="D422" i="11"/>
  <c r="H422" i="11" s="1"/>
  <c r="D350" i="11"/>
  <c r="H350" i="11" s="1"/>
  <c r="D373" i="11"/>
  <c r="H373" i="11" s="1"/>
  <c r="D448" i="11"/>
  <c r="H448" i="11" s="1"/>
  <c r="D218" i="11"/>
  <c r="H218" i="11" s="1"/>
  <c r="D415" i="11"/>
  <c r="H415" i="11" s="1"/>
  <c r="D194" i="11"/>
  <c r="H194" i="11" s="1"/>
  <c r="D246" i="11"/>
  <c r="H246" i="11" s="1"/>
  <c r="D188" i="11"/>
  <c r="H188" i="11" s="1"/>
  <c r="D148" i="11"/>
  <c r="H148" i="11" s="1"/>
  <c r="D114" i="11"/>
  <c r="H114" i="11" s="1"/>
  <c r="D13" i="11"/>
  <c r="H13" i="11" s="1"/>
  <c r="D35" i="11"/>
  <c r="H35" i="11" s="1"/>
  <c r="D124" i="11"/>
  <c r="H124" i="11" s="1"/>
  <c r="D297" i="11"/>
  <c r="H297" i="11" s="1"/>
  <c r="D259" i="11"/>
  <c r="H259" i="11" s="1"/>
  <c r="D219" i="11"/>
  <c r="H219" i="11" s="1"/>
  <c r="D185" i="11"/>
  <c r="H185" i="11" s="1"/>
  <c r="D106" i="11"/>
  <c r="H106" i="11" s="1"/>
  <c r="D66" i="11"/>
  <c r="H66" i="11" s="1"/>
  <c r="D32" i="11"/>
  <c r="H32" i="11" s="1"/>
  <c r="D685" i="11"/>
  <c r="H685" i="11" s="1"/>
  <c r="M771" i="11"/>
  <c r="D107" i="11"/>
  <c r="H107" i="11" s="1"/>
  <c r="D307" i="11"/>
  <c r="H307" i="11" s="1"/>
  <c r="D287" i="11"/>
  <c r="H287" i="11" s="1"/>
  <c r="D267" i="11"/>
  <c r="H267" i="11" s="1"/>
  <c r="D247" i="11"/>
  <c r="H247" i="11" s="1"/>
  <c r="D227" i="11"/>
  <c r="H227" i="11" s="1"/>
  <c r="D207" i="11"/>
  <c r="H207" i="11" s="1"/>
  <c r="D187" i="11"/>
  <c r="H187" i="11" s="1"/>
  <c r="D126" i="11"/>
  <c r="H126" i="11" s="1"/>
  <c r="D104" i="11"/>
  <c r="H104" i="11" s="1"/>
  <c r="D84" i="11"/>
  <c r="H84" i="11" s="1"/>
  <c r="D64" i="11"/>
  <c r="H64" i="11" s="1"/>
  <c r="D44" i="11"/>
  <c r="H44" i="11" s="1"/>
  <c r="D24" i="11"/>
  <c r="H24" i="11" s="1"/>
  <c r="F625" i="11"/>
  <c r="G625" i="11"/>
  <c r="F310" i="11"/>
  <c r="G310" i="11"/>
  <c r="F676" i="11"/>
  <c r="F493" i="11"/>
  <c r="G493" i="11"/>
  <c r="G551" i="11"/>
  <c r="F551" i="11"/>
  <c r="F179" i="11"/>
  <c r="F582" i="11"/>
  <c r="F385" i="11"/>
  <c r="F239" i="11"/>
  <c r="G239" i="11"/>
  <c r="G464" i="11"/>
  <c r="F464" i="11"/>
  <c r="G384" i="11"/>
  <c r="F384" i="11"/>
  <c r="F364" i="11"/>
  <c r="G364" i="11"/>
  <c r="F329" i="11"/>
  <c r="F261" i="11"/>
  <c r="F252" i="11"/>
  <c r="G252" i="11"/>
  <c r="F254" i="11"/>
  <c r="G254" i="11"/>
  <c r="F67" i="11"/>
  <c r="F22" i="11"/>
  <c r="F439" i="11"/>
  <c r="F632" i="11"/>
  <c r="F668" i="11"/>
  <c r="F617" i="11"/>
  <c r="F279" i="11"/>
  <c r="F469" i="11"/>
  <c r="F481" i="11"/>
  <c r="G347" i="11"/>
  <c r="F347" i="11"/>
  <c r="F256" i="11"/>
  <c r="F212" i="11"/>
  <c r="F229" i="11"/>
  <c r="F482" i="11"/>
  <c r="G482" i="11"/>
  <c r="G402" i="11"/>
  <c r="F402" i="11"/>
  <c r="F342" i="11"/>
  <c r="F136" i="11"/>
  <c r="G136" i="11"/>
  <c r="F40" i="11"/>
  <c r="F549" i="11"/>
  <c r="F652" i="11"/>
  <c r="G652" i="11"/>
  <c r="F441" i="11"/>
  <c r="F391" i="11"/>
  <c r="F273" i="11"/>
  <c r="G611" i="11"/>
  <c r="F611" i="11"/>
  <c r="F324" i="11"/>
  <c r="G324" i="11"/>
  <c r="F37" i="11"/>
  <c r="F200" i="11"/>
  <c r="F205" i="11"/>
  <c r="G205" i="11"/>
  <c r="F420" i="11"/>
  <c r="F38" i="11"/>
  <c r="F608" i="11"/>
  <c r="F556" i="11"/>
  <c r="G556" i="11"/>
  <c r="F349" i="11"/>
  <c r="F597" i="11"/>
  <c r="F190" i="11"/>
  <c r="F371" i="11"/>
  <c r="F193" i="11"/>
  <c r="G193" i="11"/>
  <c r="F596" i="11"/>
  <c r="F85" i="11"/>
  <c r="F653" i="11"/>
  <c r="F598" i="11"/>
  <c r="F602" i="11"/>
  <c r="G643" i="11"/>
  <c r="F643" i="11"/>
  <c r="F561" i="11"/>
  <c r="F669" i="11"/>
  <c r="G669" i="11"/>
  <c r="F496" i="11"/>
  <c r="F585" i="11"/>
  <c r="G585" i="11"/>
  <c r="F623" i="11"/>
  <c r="F666" i="11"/>
  <c r="G666" i="11"/>
  <c r="F657" i="11"/>
  <c r="G657" i="11"/>
  <c r="F558" i="11"/>
  <c r="F228" i="11"/>
  <c r="F604" i="11"/>
  <c r="F407" i="11"/>
  <c r="F661" i="11"/>
  <c r="F538" i="11"/>
  <c r="F660" i="11"/>
  <c r="F563" i="11"/>
  <c r="F287" i="11"/>
  <c r="F534" i="11"/>
  <c r="G534" i="11"/>
  <c r="F331" i="11"/>
  <c r="G331" i="11"/>
  <c r="G535" i="11"/>
  <c r="F535" i="11"/>
  <c r="F419" i="11"/>
  <c r="F197" i="11"/>
  <c r="G197" i="11"/>
  <c r="F495" i="11"/>
  <c r="G495" i="11"/>
  <c r="F547" i="11"/>
  <c r="F449" i="11"/>
  <c r="F415" i="11"/>
  <c r="G309" i="11"/>
  <c r="F309" i="11"/>
  <c r="F330" i="11"/>
  <c r="F490" i="11"/>
  <c r="F393" i="11"/>
  <c r="F169" i="11"/>
  <c r="F288" i="11"/>
  <c r="F113" i="11"/>
  <c r="F49" i="11"/>
  <c r="F259" i="11"/>
  <c r="F83" i="11"/>
  <c r="F470" i="11"/>
  <c r="F450" i="11"/>
  <c r="F430" i="11"/>
  <c r="G430" i="11"/>
  <c r="F410" i="11"/>
  <c r="F390" i="11"/>
  <c r="G390" i="11"/>
  <c r="F370" i="11"/>
  <c r="F350" i="11"/>
  <c r="F280" i="11"/>
  <c r="F137" i="11"/>
  <c r="F268" i="11"/>
  <c r="G268" i="11"/>
  <c r="F167" i="11"/>
  <c r="F71" i="11"/>
  <c r="F194" i="11"/>
  <c r="F283" i="11"/>
  <c r="G283" i="11"/>
  <c r="F183" i="11"/>
  <c r="G183" i="11"/>
  <c r="F285" i="11"/>
  <c r="F186" i="11"/>
  <c r="F41" i="11"/>
  <c r="G79" i="11"/>
  <c r="F79" i="11"/>
  <c r="G93" i="11"/>
  <c r="F93" i="11"/>
  <c r="F124" i="11"/>
  <c r="G108" i="11"/>
  <c r="F108" i="11"/>
  <c r="F88" i="11"/>
  <c r="F68" i="11"/>
  <c r="F48" i="11"/>
  <c r="G28" i="11"/>
  <c r="F28" i="11"/>
  <c r="F505" i="11"/>
  <c r="G573" i="11"/>
  <c r="F573" i="11"/>
  <c r="F609" i="11"/>
  <c r="F541" i="11"/>
  <c r="F435" i="11"/>
  <c r="F599" i="11"/>
  <c r="F553" i="11"/>
  <c r="G663" i="11"/>
  <c r="F663" i="11"/>
  <c r="F487" i="11"/>
  <c r="F539" i="11"/>
  <c r="F570" i="11"/>
  <c r="F628" i="11"/>
  <c r="G628" i="11"/>
  <c r="F647" i="11"/>
  <c r="G647" i="11"/>
  <c r="F550" i="11"/>
  <c r="F209" i="11"/>
  <c r="F594" i="11"/>
  <c r="F379" i="11"/>
  <c r="F651" i="11"/>
  <c r="F530" i="11"/>
  <c r="G530" i="11"/>
  <c r="F650" i="11"/>
  <c r="G650" i="11"/>
  <c r="F529" i="11"/>
  <c r="G257" i="11"/>
  <c r="F257" i="11"/>
  <c r="F524" i="11"/>
  <c r="F304" i="11"/>
  <c r="F525" i="11"/>
  <c r="F411" i="11"/>
  <c r="F161" i="11"/>
  <c r="F278" i="11"/>
  <c r="F537" i="11"/>
  <c r="G537" i="11"/>
  <c r="F397" i="11"/>
  <c r="F405" i="11"/>
  <c r="G405" i="11"/>
  <c r="F302" i="11"/>
  <c r="F317" i="11"/>
  <c r="G317" i="11"/>
  <c r="F483" i="11"/>
  <c r="F383" i="11"/>
  <c r="F55" i="11"/>
  <c r="F266" i="11"/>
  <c r="F267" i="11"/>
  <c r="F97" i="11"/>
  <c r="F249" i="11"/>
  <c r="F51" i="11"/>
  <c r="F468" i="11"/>
  <c r="F448" i="11"/>
  <c r="F428" i="11"/>
  <c r="G428" i="11"/>
  <c r="F408" i="11"/>
  <c r="F388" i="11"/>
  <c r="F368" i="11"/>
  <c r="F348" i="11"/>
  <c r="G348" i="11"/>
  <c r="F271" i="11"/>
  <c r="G109" i="11"/>
  <c r="F109" i="11"/>
  <c r="F258" i="11"/>
  <c r="F157" i="11"/>
  <c r="F23" i="11"/>
  <c r="F178" i="11"/>
  <c r="F272" i="11"/>
  <c r="F168" i="11"/>
  <c r="F274" i="11"/>
  <c r="F177" i="11"/>
  <c r="F21" i="11"/>
  <c r="F59" i="11"/>
  <c r="G73" i="11"/>
  <c r="F73" i="11"/>
  <c r="F107" i="11"/>
  <c r="F106" i="11"/>
  <c r="F86" i="11"/>
  <c r="G86" i="11"/>
  <c r="F66" i="11"/>
  <c r="G66" i="11"/>
  <c r="F46" i="11"/>
  <c r="F26" i="11"/>
  <c r="G26" i="11"/>
  <c r="F488" i="11"/>
  <c r="G502" i="11"/>
  <c r="F502" i="11"/>
  <c r="F622" i="11"/>
  <c r="F637" i="11"/>
  <c r="F516" i="11"/>
  <c r="G516" i="11"/>
  <c r="F684" i="11"/>
  <c r="F559" i="11"/>
  <c r="F351" i="11"/>
  <c r="F641" i="11"/>
  <c r="F508" i="11"/>
  <c r="F521" i="11"/>
  <c r="F202" i="11"/>
  <c r="F511" i="11"/>
  <c r="F253" i="11"/>
  <c r="G253" i="11"/>
  <c r="F509" i="11"/>
  <c r="F377" i="11"/>
  <c r="F389" i="11"/>
  <c r="F373" i="11"/>
  <c r="G512" i="11"/>
  <c r="F512" i="11"/>
  <c r="F260" i="11"/>
  <c r="F242" i="11"/>
  <c r="G242" i="11"/>
  <c r="F45" i="11"/>
  <c r="G45" i="11"/>
  <c r="F224" i="11"/>
  <c r="G224" i="11"/>
  <c r="F35" i="11"/>
  <c r="F466" i="11"/>
  <c r="F446" i="11"/>
  <c r="G426" i="11"/>
  <c r="F426" i="11"/>
  <c r="F406" i="11"/>
  <c r="G406" i="11"/>
  <c r="F386" i="11"/>
  <c r="G386" i="11"/>
  <c r="F366" i="11"/>
  <c r="F346" i="11"/>
  <c r="F246" i="11"/>
  <c r="F17" i="11"/>
  <c r="F255" i="11"/>
  <c r="G255" i="11"/>
  <c r="G121" i="11"/>
  <c r="F121" i="11"/>
  <c r="F270" i="11"/>
  <c r="F156" i="11"/>
  <c r="F263" i="11"/>
  <c r="F165" i="11"/>
  <c r="F265" i="11"/>
  <c r="F152" i="11"/>
  <c r="F11" i="11"/>
  <c r="F39" i="11"/>
  <c r="F53" i="11"/>
  <c r="G53" i="11"/>
  <c r="F87" i="11"/>
  <c r="F104" i="11"/>
  <c r="F84" i="11"/>
  <c r="F64" i="11"/>
  <c r="F44" i="11"/>
  <c r="F24" i="11"/>
  <c r="F640" i="11"/>
  <c r="F315" i="11"/>
  <c r="F404" i="11"/>
  <c r="F171" i="11"/>
  <c r="F102" i="11"/>
  <c r="F467" i="11"/>
  <c r="F251" i="11"/>
  <c r="F367" i="11"/>
  <c r="F264" i="11"/>
  <c r="F128" i="11"/>
  <c r="G128" i="11"/>
  <c r="F409" i="11"/>
  <c r="F527" i="11"/>
  <c r="F100" i="11"/>
  <c r="G100" i="11"/>
  <c r="F656" i="11"/>
  <c r="F575" i="11"/>
  <c r="F321" i="11"/>
  <c r="G321" i="11"/>
  <c r="F552" i="11"/>
  <c r="F584" i="11"/>
  <c r="G584" i="11"/>
  <c r="G489" i="11"/>
  <c r="F489" i="11"/>
  <c r="F319" i="11"/>
  <c r="F125" i="11"/>
  <c r="G125" i="11"/>
  <c r="F326" i="11"/>
  <c r="F182" i="11"/>
  <c r="F147" i="11"/>
  <c r="F296" i="11"/>
  <c r="F138" i="11"/>
  <c r="F478" i="11"/>
  <c r="F458" i="11"/>
  <c r="F438" i="11"/>
  <c r="F418" i="11"/>
  <c r="F398" i="11"/>
  <c r="F378" i="11"/>
  <c r="F358" i="11"/>
  <c r="F338" i="11"/>
  <c r="G338" i="11"/>
  <c r="F213" i="11"/>
  <c r="F303" i="11"/>
  <c r="F192" i="11"/>
  <c r="F123" i="11"/>
  <c r="F230" i="11"/>
  <c r="F77" i="11"/>
  <c r="F223" i="11"/>
  <c r="F43" i="11"/>
  <c r="F225" i="11"/>
  <c r="F19" i="11"/>
  <c r="F140" i="11"/>
  <c r="G142" i="11"/>
  <c r="F142" i="11"/>
  <c r="F164" i="11"/>
  <c r="F116" i="11"/>
  <c r="F96" i="11"/>
  <c r="F76" i="11"/>
  <c r="F56" i="11"/>
  <c r="F36" i="11"/>
  <c r="G16" i="11"/>
  <c r="F16" i="11"/>
  <c r="M772" i="11"/>
  <c r="N771" i="11"/>
  <c r="F519" i="11"/>
  <c r="F284" i="11"/>
  <c r="F341" i="11"/>
  <c r="F619" i="11"/>
  <c r="F627" i="11"/>
  <c r="G627" i="11"/>
  <c r="F504" i="11"/>
  <c r="F226" i="11"/>
  <c r="G226" i="11"/>
  <c r="F215" i="11"/>
  <c r="F244" i="11"/>
  <c r="F503" i="11"/>
  <c r="G484" i="11"/>
  <c r="F484" i="11"/>
  <c r="F236" i="11"/>
  <c r="F62" i="11"/>
  <c r="G62" i="11"/>
  <c r="F638" i="11"/>
  <c r="F451" i="11"/>
  <c r="F569" i="11"/>
  <c r="F621" i="11"/>
  <c r="F63" i="11"/>
  <c r="F572" i="11"/>
  <c r="F375" i="11"/>
  <c r="F353" i="11"/>
  <c r="F181" i="11"/>
  <c r="G181" i="11"/>
  <c r="G362" i="11"/>
  <c r="F362" i="11"/>
  <c r="F80" i="11"/>
  <c r="F659" i="11"/>
  <c r="G337" i="11"/>
  <c r="F337" i="11"/>
  <c r="F654" i="11"/>
  <c r="G654" i="11"/>
  <c r="F610" i="11"/>
  <c r="F465" i="11"/>
  <c r="F339" i="11"/>
  <c r="G339" i="11"/>
  <c r="F335" i="11"/>
  <c r="F440" i="11"/>
  <c r="F58" i="11"/>
  <c r="F605" i="11"/>
  <c r="F198" i="11"/>
  <c r="G615" i="11"/>
  <c r="F615" i="11"/>
  <c r="F633" i="11"/>
  <c r="F679" i="11"/>
  <c r="G679" i="11"/>
  <c r="F560" i="11"/>
  <c r="F275" i="11"/>
  <c r="F355" i="11"/>
  <c r="F665" i="11"/>
  <c r="F593" i="11"/>
  <c r="F533" i="11"/>
  <c r="F445" i="11"/>
  <c r="G445" i="11"/>
  <c r="G603" i="11"/>
  <c r="F603" i="11"/>
  <c r="F429" i="11"/>
  <c r="F595" i="11"/>
  <c r="F248" i="11"/>
  <c r="F548" i="11"/>
  <c r="F618" i="11"/>
  <c r="G673" i="11"/>
  <c r="F673" i="11"/>
  <c r="F311" i="11"/>
  <c r="F520" i="11"/>
  <c r="F587" i="11"/>
  <c r="F526" i="11"/>
  <c r="F634" i="11"/>
  <c r="G634" i="11"/>
  <c r="F485" i="11"/>
  <c r="F129" i="11"/>
  <c r="F591" i="11"/>
  <c r="F203" i="11"/>
  <c r="F590" i="11"/>
  <c r="F357" i="11"/>
  <c r="F564" i="11"/>
  <c r="F222" i="11"/>
  <c r="F565" i="11"/>
  <c r="F437" i="11"/>
  <c r="F297" i="11"/>
  <c r="F542" i="11"/>
  <c r="F577" i="11"/>
  <c r="G477" i="11"/>
  <c r="F477" i="11"/>
  <c r="F290" i="11"/>
  <c r="F345" i="11"/>
  <c r="F187" i="11"/>
  <c r="F105" i="11"/>
  <c r="F423" i="11"/>
  <c r="G423" i="11"/>
  <c r="F276" i="11"/>
  <c r="F299" i="11"/>
  <c r="F174" i="11"/>
  <c r="F141" i="11"/>
  <c r="F291" i="11"/>
  <c r="F132" i="11"/>
  <c r="F476" i="11"/>
  <c r="G476" i="11"/>
  <c r="F456" i="11"/>
  <c r="F436" i="11"/>
  <c r="G416" i="11"/>
  <c r="F416" i="11"/>
  <c r="F396" i="11"/>
  <c r="G376" i="11"/>
  <c r="F376" i="11"/>
  <c r="F356" i="11"/>
  <c r="F327" i="11"/>
  <c r="F210" i="11"/>
  <c r="F298" i="11"/>
  <c r="F188" i="11"/>
  <c r="F101" i="11"/>
  <c r="G221" i="11"/>
  <c r="F221" i="11"/>
  <c r="F29" i="11"/>
  <c r="F211" i="11"/>
  <c r="G211" i="11"/>
  <c r="F314" i="11"/>
  <c r="G314" i="11"/>
  <c r="F216" i="11"/>
  <c r="G216" i="11"/>
  <c r="F13" i="11"/>
  <c r="F131" i="11"/>
  <c r="F133" i="11"/>
  <c r="F155" i="11"/>
  <c r="F114" i="11"/>
  <c r="F94" i="11"/>
  <c r="F74" i="11"/>
  <c r="G74" i="11"/>
  <c r="F54" i="11"/>
  <c r="F34" i="11"/>
  <c r="F14" i="11"/>
  <c r="F626" i="11"/>
  <c r="F531" i="11"/>
  <c r="F395" i="11"/>
  <c r="G395" i="11"/>
  <c r="F328" i="11"/>
  <c r="G683" i="11"/>
  <c r="F683" i="11"/>
  <c r="F523" i="11"/>
  <c r="F674" i="11"/>
  <c r="F479" i="11"/>
  <c r="F498" i="11"/>
  <c r="F517" i="11"/>
  <c r="F463" i="11"/>
  <c r="G463" i="11"/>
  <c r="F325" i="11"/>
  <c r="G325" i="11"/>
  <c r="F444" i="11"/>
  <c r="G444" i="11"/>
  <c r="F220" i="11"/>
  <c r="F82" i="11"/>
  <c r="G82" i="11"/>
  <c r="F148" i="11"/>
  <c r="G148" i="11"/>
  <c r="F486" i="11"/>
  <c r="G486" i="11"/>
  <c r="F664" i="11"/>
  <c r="F499" i="11"/>
  <c r="F334" i="11"/>
  <c r="F69" i="11"/>
  <c r="F453" i="11"/>
  <c r="G453" i="11"/>
  <c r="F442" i="11"/>
  <c r="F60" i="11"/>
  <c r="G387" i="11"/>
  <c r="F387" i="11"/>
  <c r="F588" i="11"/>
  <c r="F578" i="11"/>
  <c r="G578" i="11"/>
  <c r="F536" i="11"/>
  <c r="F513" i="11"/>
  <c r="F312" i="11"/>
  <c r="F399" i="11"/>
  <c r="G399" i="11"/>
  <c r="F145" i="11"/>
  <c r="F562" i="11"/>
  <c r="G562" i="11"/>
  <c r="F365" i="11"/>
  <c r="F443" i="11"/>
  <c r="F301" i="11"/>
  <c r="F380" i="11"/>
  <c r="F78" i="11"/>
  <c r="F592" i="11"/>
  <c r="G592" i="11"/>
  <c r="F282" i="11"/>
  <c r="F528" i="11"/>
  <c r="F644" i="11"/>
  <c r="F601" i="11"/>
  <c r="F600" i="11"/>
  <c r="F574" i="11"/>
  <c r="F307" i="11"/>
  <c r="F459" i="11"/>
  <c r="F433" i="11"/>
  <c r="G649" i="11"/>
  <c r="F649" i="11"/>
  <c r="F568" i="11"/>
  <c r="F497" i="11"/>
  <c r="F231" i="11"/>
  <c r="F658" i="11"/>
  <c r="F247" i="11"/>
  <c r="F589" i="11"/>
  <c r="G170" i="11"/>
  <c r="F170" i="11"/>
  <c r="F540" i="11"/>
  <c r="F612" i="11"/>
  <c r="G612" i="11"/>
  <c r="F635" i="11"/>
  <c r="F678" i="11"/>
  <c r="F677" i="11"/>
  <c r="G677" i="11"/>
  <c r="F583" i="11"/>
  <c r="F518" i="11"/>
  <c r="F624" i="11"/>
  <c r="F475" i="11"/>
  <c r="F681" i="11"/>
  <c r="F580" i="11"/>
  <c r="F680" i="11"/>
  <c r="F579" i="11"/>
  <c r="G579" i="11"/>
  <c r="F322" i="11"/>
  <c r="F554" i="11"/>
  <c r="F184" i="11"/>
  <c r="G184" i="11"/>
  <c r="F555" i="11"/>
  <c r="F431" i="11"/>
  <c r="F269" i="11"/>
  <c r="F532" i="11"/>
  <c r="F567" i="11"/>
  <c r="F471" i="11"/>
  <c r="G471" i="11"/>
  <c r="F185" i="11"/>
  <c r="F332" i="11"/>
  <c r="F150" i="11"/>
  <c r="F510" i="11"/>
  <c r="F413" i="11"/>
  <c r="F240" i="11"/>
  <c r="F295" i="11"/>
  <c r="F166" i="11"/>
  <c r="F95" i="11"/>
  <c r="G95" i="11"/>
  <c r="F286" i="11"/>
  <c r="F111" i="11"/>
  <c r="F474" i="11"/>
  <c r="F454" i="11"/>
  <c r="G454" i="11"/>
  <c r="F434" i="11"/>
  <c r="F414" i="11"/>
  <c r="F394" i="11"/>
  <c r="G374" i="11"/>
  <c r="F374" i="11"/>
  <c r="F354" i="11"/>
  <c r="F318" i="11"/>
  <c r="F163" i="11"/>
  <c r="F293" i="11"/>
  <c r="F180" i="11"/>
  <c r="G180" i="11"/>
  <c r="G89" i="11"/>
  <c r="F89" i="11"/>
  <c r="G214" i="11"/>
  <c r="F214" i="11"/>
  <c r="G25" i="11"/>
  <c r="F25" i="11"/>
  <c r="F201" i="11"/>
  <c r="F305" i="11"/>
  <c r="F206" i="11"/>
  <c r="F81" i="11"/>
  <c r="F120" i="11"/>
  <c r="G120" i="11"/>
  <c r="F122" i="11"/>
  <c r="F144" i="11"/>
  <c r="F112" i="11"/>
  <c r="F92" i="11"/>
  <c r="F72" i="11"/>
  <c r="G52" i="11"/>
  <c r="F52" i="11"/>
  <c r="G32" i="11"/>
  <c r="F32" i="11"/>
  <c r="F12" i="11"/>
  <c r="G12" i="11"/>
  <c r="F401" i="11"/>
  <c r="G401" i="11"/>
  <c r="F473" i="11"/>
  <c r="F682" i="11"/>
  <c r="G682" i="11"/>
  <c r="F447" i="11"/>
  <c r="F461" i="11"/>
  <c r="G31" i="11"/>
  <c r="F31" i="11"/>
  <c r="F616" i="11"/>
  <c r="F507" i="11"/>
  <c r="F631" i="11"/>
  <c r="F630" i="11"/>
  <c r="F500" i="11"/>
  <c r="F369" i="11"/>
  <c r="F381" i="11"/>
  <c r="F289" i="11"/>
  <c r="G363" i="11"/>
  <c r="F363" i="11"/>
  <c r="F218" i="11"/>
  <c r="F189" i="11"/>
  <c r="F424" i="11"/>
  <c r="F344" i="11"/>
  <c r="F103" i="11"/>
  <c r="F146" i="11"/>
  <c r="F130" i="11"/>
  <c r="F149" i="11"/>
  <c r="F173" i="11"/>
  <c r="F33" i="11"/>
  <c r="G42" i="11"/>
  <c r="F42" i="11"/>
  <c r="F648" i="11"/>
  <c r="G648" i="11"/>
  <c r="G237" i="11"/>
  <c r="F237" i="11"/>
  <c r="F645" i="11"/>
  <c r="G645" i="11"/>
  <c r="F613" i="11"/>
  <c r="F417" i="11"/>
  <c r="F333" i="11"/>
  <c r="F543" i="11"/>
  <c r="F620" i="11"/>
  <c r="F208" i="11"/>
  <c r="F361" i="11"/>
  <c r="F514" i="11"/>
  <c r="F238" i="11"/>
  <c r="F492" i="11"/>
  <c r="F306" i="11"/>
  <c r="G306" i="11"/>
  <c r="F462" i="11"/>
  <c r="F422" i="11"/>
  <c r="F382" i="11"/>
  <c r="F233" i="11"/>
  <c r="F320" i="11"/>
  <c r="F199" i="11"/>
  <c r="F250" i="11"/>
  <c r="F143" i="11"/>
  <c r="F243" i="11"/>
  <c r="F127" i="11"/>
  <c r="G127" i="11"/>
  <c r="F245" i="11"/>
  <c r="F139" i="11"/>
  <c r="F160" i="11"/>
  <c r="F162" i="11"/>
  <c r="F15" i="11"/>
  <c r="F47" i="11"/>
  <c r="F20" i="11"/>
  <c r="F636" i="11"/>
  <c r="F639" i="11"/>
  <c r="F662" i="11"/>
  <c r="F607" i="11"/>
  <c r="F227" i="11"/>
  <c r="F586" i="11"/>
  <c r="F336" i="11"/>
  <c r="F506" i="11"/>
  <c r="F219" i="11"/>
  <c r="F343" i="11"/>
  <c r="F176" i="11"/>
  <c r="G176" i="11"/>
  <c r="F159" i="11"/>
  <c r="F480" i="11"/>
  <c r="F460" i="11"/>
  <c r="F400" i="11"/>
  <c r="F360" i="11"/>
  <c r="F340" i="11"/>
  <c r="F217" i="11"/>
  <c r="F308" i="11"/>
  <c r="F195" i="11"/>
  <c r="F126" i="11"/>
  <c r="F241" i="11"/>
  <c r="F118" i="11"/>
  <c r="G118" i="11"/>
  <c r="F232" i="11"/>
  <c r="F117" i="11"/>
  <c r="F234" i="11"/>
  <c r="G234" i="11"/>
  <c r="F57" i="11"/>
  <c r="G151" i="11"/>
  <c r="F151" i="11"/>
  <c r="F153" i="11"/>
  <c r="G153" i="11"/>
  <c r="F175" i="11"/>
  <c r="F27" i="11"/>
  <c r="F98" i="11"/>
  <c r="F18" i="11"/>
  <c r="G18" i="11"/>
  <c r="F491" i="11"/>
  <c r="F494" i="11"/>
  <c r="F281" i="11"/>
  <c r="F581" i="11"/>
  <c r="F359" i="11"/>
  <c r="F457" i="11"/>
  <c r="F642" i="11"/>
  <c r="F646" i="11"/>
  <c r="G646" i="11"/>
  <c r="G655" i="11"/>
  <c r="F655" i="11"/>
  <c r="F576" i="11"/>
  <c r="F675" i="11"/>
  <c r="F515" i="11"/>
  <c r="F606" i="11"/>
  <c r="F629" i="11"/>
  <c r="F672" i="11"/>
  <c r="F667" i="11"/>
  <c r="G667" i="11"/>
  <c r="F566" i="11"/>
  <c r="F316" i="11"/>
  <c r="F614" i="11"/>
  <c r="G614" i="11"/>
  <c r="F421" i="11"/>
  <c r="G671" i="11"/>
  <c r="F671" i="11"/>
  <c r="F546" i="11"/>
  <c r="F670" i="11"/>
  <c r="F571" i="11"/>
  <c r="F300" i="11"/>
  <c r="F544" i="11"/>
  <c r="F119" i="11"/>
  <c r="G119" i="11"/>
  <c r="F545" i="11"/>
  <c r="F427" i="11"/>
  <c r="F235" i="11"/>
  <c r="F522" i="11"/>
  <c r="F557" i="11"/>
  <c r="G557" i="11"/>
  <c r="F455" i="11"/>
  <c r="F425" i="11"/>
  <c r="F323" i="11"/>
  <c r="G154" i="11"/>
  <c r="F154" i="11"/>
  <c r="G501" i="11"/>
  <c r="F501" i="11"/>
  <c r="F403" i="11"/>
  <c r="F207" i="11"/>
  <c r="F292" i="11"/>
  <c r="F134" i="11"/>
  <c r="F65" i="11"/>
  <c r="F262" i="11"/>
  <c r="F91" i="11"/>
  <c r="G91" i="11"/>
  <c r="F472" i="11"/>
  <c r="F452" i="11"/>
  <c r="F432" i="11"/>
  <c r="G432" i="11"/>
  <c r="F412" i="11"/>
  <c r="F392" i="11"/>
  <c r="F372" i="11"/>
  <c r="F352" i="11"/>
  <c r="F313" i="11"/>
  <c r="F158" i="11"/>
  <c r="F277" i="11"/>
  <c r="F172" i="11"/>
  <c r="F75" i="11"/>
  <c r="F204" i="11"/>
  <c r="F9" i="11"/>
  <c r="F191" i="11"/>
  <c r="F294" i="11"/>
  <c r="F196" i="11"/>
  <c r="F61" i="11"/>
  <c r="F99" i="11"/>
  <c r="F115" i="11"/>
  <c r="F135" i="11"/>
  <c r="F110" i="11"/>
  <c r="G110" i="11"/>
  <c r="F90" i="11"/>
  <c r="F70" i="11"/>
  <c r="F50" i="11"/>
  <c r="F30" i="11"/>
  <c r="F10" i="11"/>
  <c r="G472" i="11" l="1"/>
  <c r="G546" i="11"/>
  <c r="G528" i="11"/>
  <c r="G13" i="11"/>
  <c r="G357" i="11"/>
  <c r="G230" i="11"/>
  <c r="G439" i="11"/>
  <c r="G30" i="11"/>
  <c r="G235" i="11"/>
  <c r="G333" i="11"/>
  <c r="G101" i="11"/>
  <c r="G520" i="11"/>
  <c r="G429" i="11"/>
  <c r="G266" i="11"/>
  <c r="G594" i="11"/>
  <c r="G83" i="11"/>
  <c r="G361" i="11"/>
  <c r="G680" i="11"/>
  <c r="G513" i="11"/>
  <c r="G345" i="11"/>
  <c r="G296" i="11"/>
  <c r="G411" i="11"/>
  <c r="G599" i="11"/>
  <c r="G450" i="11"/>
  <c r="G597" i="11"/>
  <c r="G131" i="11"/>
  <c r="G572" i="11"/>
  <c r="G272" i="11"/>
  <c r="G651" i="11"/>
  <c r="G37" i="11"/>
  <c r="G206" i="11"/>
  <c r="G382" i="11"/>
  <c r="G626" i="11"/>
  <c r="G316" i="11"/>
  <c r="G413" i="11"/>
  <c r="G231" i="11"/>
  <c r="G674" i="11"/>
  <c r="G277" i="11"/>
  <c r="G491" i="11"/>
  <c r="G343" i="11"/>
  <c r="G243" i="11"/>
  <c r="G422" i="11"/>
  <c r="G431" i="11"/>
  <c r="G587" i="11"/>
  <c r="G378" i="11"/>
  <c r="G368" i="11"/>
  <c r="G570" i="11"/>
  <c r="G549" i="11"/>
  <c r="G596" i="11"/>
  <c r="G256" i="11"/>
  <c r="G327" i="11"/>
  <c r="G129" i="11"/>
  <c r="G23" i="11"/>
  <c r="G329" i="11"/>
  <c r="G275" i="11"/>
  <c r="G560" i="11"/>
  <c r="G233" i="11"/>
  <c r="G292" i="11"/>
  <c r="G99" i="11"/>
  <c r="G300" i="11"/>
  <c r="G461" i="11"/>
  <c r="G575" i="11"/>
  <c r="G441" i="11"/>
  <c r="G293" i="11"/>
  <c r="G75" i="11"/>
  <c r="G160" i="11"/>
  <c r="G555" i="11"/>
  <c r="G140" i="11"/>
  <c r="G59" i="11"/>
  <c r="G355" i="11"/>
  <c r="G319" i="11"/>
  <c r="G566" i="11"/>
  <c r="G639" i="11"/>
  <c r="G514" i="11"/>
  <c r="G616" i="11"/>
  <c r="G473" i="11"/>
  <c r="G307" i="11"/>
  <c r="G435" i="11"/>
  <c r="G437" i="11"/>
  <c r="G392" i="11"/>
  <c r="G146" i="11"/>
  <c r="G637" i="11"/>
  <c r="G539" i="11"/>
  <c r="G618" i="11"/>
  <c r="G209" i="11"/>
  <c r="G46" i="11"/>
  <c r="G397" i="11"/>
  <c r="G475" i="11"/>
  <c r="G543" i="11"/>
  <c r="G394" i="11"/>
  <c r="G466" i="11"/>
  <c r="G286" i="11"/>
  <c r="G588" i="11"/>
  <c r="G499" i="11"/>
  <c r="G220" i="11"/>
  <c r="G479" i="11"/>
  <c r="G198" i="11"/>
  <c r="G509" i="11"/>
  <c r="G76" i="11"/>
  <c r="G448" i="11"/>
  <c r="G359" i="11"/>
  <c r="G219" i="11"/>
  <c r="G644" i="11"/>
  <c r="G301" i="11"/>
  <c r="G174" i="11"/>
  <c r="G244" i="11"/>
  <c r="G341" i="11"/>
  <c r="G467" i="11"/>
  <c r="G156" i="11"/>
  <c r="G141" i="11"/>
  <c r="G675" i="11"/>
  <c r="G232" i="11"/>
  <c r="G144" i="11"/>
  <c r="G240" i="11"/>
  <c r="G532" i="11"/>
  <c r="G322" i="11"/>
  <c r="G96" i="11"/>
  <c r="G124" i="11"/>
  <c r="G90" i="11"/>
  <c r="G576" i="11"/>
  <c r="G460" i="11"/>
  <c r="G208" i="11"/>
  <c r="G518" i="11"/>
  <c r="G456" i="11"/>
  <c r="G465" i="11"/>
  <c r="G505" i="11"/>
  <c r="G172" i="11"/>
  <c r="G480" i="11"/>
  <c r="G506" i="11"/>
  <c r="G199" i="11"/>
  <c r="G215" i="11"/>
  <c r="G346" i="11"/>
  <c r="G260" i="11"/>
  <c r="G524" i="11"/>
  <c r="G558" i="11"/>
  <c r="G653" i="11"/>
  <c r="G196" i="11"/>
  <c r="G670" i="11"/>
  <c r="G457" i="11"/>
  <c r="G20" i="11"/>
  <c r="G245" i="11"/>
  <c r="G112" i="11"/>
  <c r="G540" i="11"/>
  <c r="G133" i="11"/>
  <c r="G436" i="11"/>
  <c r="G458" i="11"/>
  <c r="G35" i="11"/>
  <c r="G490" i="11"/>
  <c r="G85" i="11"/>
  <c r="G349" i="11"/>
  <c r="G412" i="11"/>
  <c r="G217" i="11"/>
  <c r="G434" i="11"/>
  <c r="G583" i="11"/>
  <c r="G152" i="11"/>
  <c r="G15" i="11"/>
  <c r="G443" i="11"/>
  <c r="G29" i="11"/>
  <c r="G529" i="11"/>
  <c r="G189" i="11"/>
  <c r="G354" i="11"/>
  <c r="G295" i="11"/>
  <c r="G580" i="11"/>
  <c r="G297" i="11"/>
  <c r="G659" i="11"/>
  <c r="G508" i="11"/>
  <c r="G622" i="11"/>
  <c r="G408" i="11"/>
  <c r="G88" i="11"/>
  <c r="G186" i="11"/>
  <c r="G49" i="11"/>
  <c r="G661" i="11"/>
  <c r="G134" i="11"/>
  <c r="G375" i="11"/>
  <c r="G358" i="11"/>
  <c r="G51" i="11"/>
  <c r="G340" i="11"/>
  <c r="G500" i="11"/>
  <c r="G54" i="11"/>
  <c r="G161" i="11"/>
  <c r="G567" i="11"/>
  <c r="G459" i="11"/>
  <c r="G123" i="11"/>
  <c r="G377" i="11"/>
  <c r="G641" i="11"/>
  <c r="G167" i="11"/>
  <c r="G113" i="11"/>
  <c r="G602" i="11"/>
  <c r="G668" i="11"/>
  <c r="G159" i="11"/>
  <c r="G656" i="11"/>
  <c r="G270" i="11"/>
  <c r="G545" i="11"/>
  <c r="G388" i="11"/>
  <c r="G561" i="11"/>
  <c r="G175" i="11"/>
  <c r="G424" i="11"/>
  <c r="G328" i="11"/>
  <c r="G590" i="11"/>
  <c r="G548" i="11"/>
  <c r="G64" i="11"/>
  <c r="G302" i="11"/>
  <c r="G9" i="11"/>
  <c r="G281" i="11"/>
  <c r="G607" i="11"/>
  <c r="G10" i="11"/>
  <c r="G544" i="11"/>
  <c r="G162" i="11"/>
  <c r="G630" i="11"/>
  <c r="G474" i="11"/>
  <c r="G352" i="11"/>
  <c r="G522" i="11"/>
  <c r="G629" i="11"/>
  <c r="G143" i="11"/>
  <c r="G218" i="11"/>
  <c r="G554" i="11"/>
  <c r="G658" i="11"/>
  <c r="G94" i="11"/>
  <c r="G591" i="11"/>
  <c r="G248" i="11"/>
  <c r="G80" i="11"/>
  <c r="G56" i="11"/>
  <c r="G409" i="11"/>
  <c r="G171" i="11"/>
  <c r="G263" i="11"/>
  <c r="G271" i="11"/>
  <c r="G525" i="11"/>
  <c r="G285" i="11"/>
  <c r="G407" i="11"/>
  <c r="G420" i="11"/>
  <c r="G40" i="11"/>
  <c r="G212" i="11"/>
  <c r="G497" i="11"/>
  <c r="G604" i="11"/>
  <c r="G262" i="11"/>
  <c r="G241" i="11"/>
  <c r="G139" i="11"/>
  <c r="G163" i="11"/>
  <c r="G365" i="11"/>
  <c r="G290" i="11"/>
  <c r="G536" i="11"/>
  <c r="G373" i="11"/>
  <c r="G419" i="11"/>
  <c r="G70" i="11"/>
  <c r="G515" i="11"/>
  <c r="G642" i="11"/>
  <c r="G308" i="11"/>
  <c r="G662" i="11"/>
  <c r="G173" i="11"/>
  <c r="G369" i="11"/>
  <c r="G92" i="11"/>
  <c r="G150" i="11"/>
  <c r="G624" i="11"/>
  <c r="G334" i="11"/>
  <c r="G210" i="11"/>
  <c r="G105" i="11"/>
  <c r="G542" i="11"/>
  <c r="G335" i="11"/>
  <c r="G638" i="11"/>
  <c r="G619" i="11"/>
  <c r="G43" i="11"/>
  <c r="G438" i="11"/>
  <c r="G182" i="11"/>
  <c r="G251" i="11"/>
  <c r="G44" i="11"/>
  <c r="G521" i="11"/>
  <c r="G553" i="11"/>
  <c r="G393" i="11"/>
  <c r="G38" i="11"/>
  <c r="G67" i="11"/>
  <c r="G632" i="11"/>
  <c r="G336" i="11"/>
  <c r="G84" i="11"/>
  <c r="G287" i="11"/>
  <c r="G531" i="11"/>
  <c r="G276" i="11"/>
  <c r="G19" i="11"/>
  <c r="G681" i="11"/>
  <c r="G533" i="11"/>
  <c r="G228" i="11"/>
  <c r="G47" i="11"/>
  <c r="G33" i="11"/>
  <c r="G289" i="11"/>
  <c r="G318" i="11"/>
  <c r="G589" i="11"/>
  <c r="G114" i="11"/>
  <c r="G132" i="11"/>
  <c r="G58" i="11"/>
  <c r="G503" i="11"/>
  <c r="G225" i="11"/>
  <c r="G559" i="11"/>
  <c r="G258" i="11"/>
  <c r="G383" i="11"/>
  <c r="G41" i="11"/>
  <c r="G350" i="11"/>
  <c r="G288" i="11"/>
  <c r="G598" i="11"/>
  <c r="G608" i="11"/>
  <c r="G664" i="11"/>
  <c r="G672" i="11"/>
  <c r="G250" i="11"/>
  <c r="G103" i="11"/>
  <c r="G122" i="11"/>
  <c r="G605" i="11"/>
  <c r="G504" i="11"/>
  <c r="G264" i="11"/>
  <c r="G351" i="11"/>
  <c r="G487" i="11"/>
  <c r="G360" i="11"/>
  <c r="G417" i="11"/>
  <c r="G600" i="11"/>
  <c r="G398" i="11"/>
  <c r="G280" i="11"/>
  <c r="G158" i="11"/>
  <c r="G510" i="11"/>
  <c r="G601" i="11"/>
  <c r="G78" i="11"/>
  <c r="G298" i="11"/>
  <c r="G577" i="11"/>
  <c r="G222" i="11"/>
  <c r="G595" i="11"/>
  <c r="G353" i="11"/>
  <c r="G116" i="11"/>
  <c r="G418" i="11"/>
  <c r="G147" i="11"/>
  <c r="G367" i="11"/>
  <c r="G87" i="11"/>
  <c r="G165" i="11"/>
  <c r="G389" i="11"/>
  <c r="G168" i="11"/>
  <c r="G483" i="11"/>
  <c r="G71" i="11"/>
  <c r="G470" i="11"/>
  <c r="G415" i="11"/>
  <c r="G538" i="11"/>
  <c r="G371" i="11"/>
  <c r="G469" i="11"/>
  <c r="G111" i="11"/>
  <c r="G55" i="11"/>
  <c r="G330" i="11"/>
  <c r="G447" i="11"/>
  <c r="G414" i="11"/>
  <c r="G621" i="11"/>
  <c r="G157" i="11"/>
  <c r="G550" i="11"/>
  <c r="G68" i="11"/>
  <c r="G623" i="11"/>
  <c r="G135" i="11"/>
  <c r="G421" i="11"/>
  <c r="G98" i="11"/>
  <c r="G126" i="11"/>
  <c r="G631" i="11"/>
  <c r="G523" i="11"/>
  <c r="G104" i="11"/>
  <c r="G511" i="11"/>
  <c r="G609" i="11"/>
  <c r="G481" i="11"/>
  <c r="G27" i="11"/>
  <c r="G462" i="11"/>
  <c r="G115" i="11"/>
  <c r="G65" i="11"/>
  <c r="G117" i="11"/>
  <c r="G195" i="11"/>
  <c r="G400" i="11"/>
  <c r="G613" i="11"/>
  <c r="G204" i="11"/>
  <c r="G452" i="11"/>
  <c r="G323" i="11"/>
  <c r="G494" i="11"/>
  <c r="G320" i="11"/>
  <c r="G620" i="11"/>
  <c r="G81" i="11"/>
  <c r="G166" i="11"/>
  <c r="G635" i="11"/>
  <c r="G433" i="11"/>
  <c r="G380" i="11"/>
  <c r="G145" i="11"/>
  <c r="G69" i="11"/>
  <c r="G291" i="11"/>
  <c r="G564" i="11"/>
  <c r="G311" i="11"/>
  <c r="G633" i="11"/>
  <c r="G451" i="11"/>
  <c r="G36" i="11"/>
  <c r="G164" i="11"/>
  <c r="G17" i="11"/>
  <c r="G488" i="11"/>
  <c r="G107" i="11"/>
  <c r="G249" i="11"/>
  <c r="G370" i="11"/>
  <c r="G190" i="11"/>
  <c r="G22" i="11"/>
  <c r="G179" i="11"/>
  <c r="G227" i="11"/>
  <c r="G138" i="11"/>
  <c r="G194" i="11"/>
  <c r="G547" i="11"/>
  <c r="G496" i="11"/>
  <c r="G617" i="11"/>
  <c r="G582" i="11"/>
  <c r="G61" i="11"/>
  <c r="G313" i="11"/>
  <c r="G130" i="11"/>
  <c r="G72" i="11"/>
  <c r="G442" i="11"/>
  <c r="G396" i="11"/>
  <c r="G565" i="11"/>
  <c r="G203" i="11"/>
  <c r="G526" i="11"/>
  <c r="G569" i="11"/>
  <c r="G519" i="11"/>
  <c r="G77" i="11"/>
  <c r="G213" i="11"/>
  <c r="G102" i="11"/>
  <c r="G24" i="11"/>
  <c r="G265" i="11"/>
  <c r="G366" i="11"/>
  <c r="G274" i="11"/>
  <c r="G468" i="11"/>
  <c r="G379" i="11"/>
  <c r="G342" i="11"/>
  <c r="G372" i="11"/>
  <c r="G344" i="11"/>
  <c r="G332" i="11"/>
  <c r="G574" i="11"/>
  <c r="G517" i="11"/>
  <c r="G356" i="11"/>
  <c r="G39" i="11"/>
  <c r="G304" i="11"/>
  <c r="G48" i="11"/>
  <c r="G169" i="11"/>
  <c r="G563" i="11"/>
  <c r="G305" i="11"/>
  <c r="G269" i="11"/>
  <c r="G312" i="11"/>
  <c r="G14" i="11"/>
  <c r="G485" i="11"/>
  <c r="G610" i="11"/>
  <c r="G192" i="11"/>
  <c r="G478" i="11"/>
  <c r="G326" i="11"/>
  <c r="G552" i="11"/>
  <c r="G527" i="11"/>
  <c r="G315" i="11"/>
  <c r="G11" i="11"/>
  <c r="G246" i="11"/>
  <c r="G202" i="11"/>
  <c r="G21" i="11"/>
  <c r="G178" i="11"/>
  <c r="G97" i="11"/>
  <c r="G541" i="11"/>
  <c r="G273" i="11"/>
  <c r="G229" i="11"/>
  <c r="G261" i="11"/>
  <c r="G294" i="11"/>
  <c r="G425" i="11"/>
  <c r="G57" i="11"/>
  <c r="G568" i="11"/>
  <c r="G586" i="11"/>
  <c r="G149" i="11"/>
  <c r="G507" i="11"/>
  <c r="G201" i="11"/>
  <c r="G185" i="11"/>
  <c r="G247" i="11"/>
  <c r="G60" i="11"/>
  <c r="G34" i="11"/>
  <c r="G155" i="11"/>
  <c r="G188" i="11"/>
  <c r="G299" i="11"/>
  <c r="G593" i="11"/>
  <c r="G63" i="11"/>
  <c r="G278" i="11"/>
  <c r="G137" i="11"/>
  <c r="G410" i="11"/>
  <c r="G259" i="11"/>
  <c r="G449" i="11"/>
  <c r="G660" i="11"/>
  <c r="G200" i="11"/>
  <c r="G391" i="11"/>
  <c r="G385" i="11"/>
  <c r="G676" i="11"/>
  <c r="G492" i="11"/>
  <c r="G678" i="11"/>
  <c r="G282" i="11"/>
  <c r="G404" i="11"/>
  <c r="G50" i="11"/>
  <c r="G191" i="11"/>
  <c r="G427" i="11"/>
  <c r="G571" i="11"/>
  <c r="G581" i="11"/>
  <c r="G455" i="11"/>
  <c r="G606" i="11"/>
  <c r="G636" i="11"/>
  <c r="G238" i="11"/>
  <c r="G381" i="11"/>
  <c r="G403" i="11"/>
  <c r="G498" i="11"/>
  <c r="G665" i="11"/>
  <c r="G440" i="11"/>
  <c r="G236" i="11"/>
  <c r="G284" i="11"/>
  <c r="G223" i="11"/>
  <c r="G303" i="11"/>
  <c r="G640" i="11"/>
  <c r="G446" i="11"/>
  <c r="G684" i="11"/>
  <c r="G106" i="11"/>
  <c r="G177" i="11"/>
  <c r="G279" i="11"/>
  <c r="G685" i="11"/>
  <c r="G207" i="11"/>
  <c r="G187" i="11"/>
  <c r="G267" i="11"/>
  <c r="N772" i="11"/>
  <c r="M773" i="11"/>
  <c r="N773" i="11" l="1"/>
  <c r="M774" i="11"/>
  <c r="N774" i="11" l="1"/>
  <c r="M775" i="11"/>
  <c r="M776" i="11" l="1"/>
  <c r="N775" i="11"/>
  <c r="M777" i="11" l="1"/>
  <c r="N776" i="11"/>
  <c r="M778" i="11" l="1"/>
  <c r="N777" i="11"/>
  <c r="N778" i="11" l="1"/>
  <c r="M779" i="11"/>
  <c r="N779" i="11" l="1"/>
  <c r="M780" i="11"/>
  <c r="N780" i="11" l="1"/>
  <c r="M781" i="11"/>
  <c r="N781" i="11" l="1"/>
  <c r="M782" i="11"/>
  <c r="N782" i="11" l="1"/>
  <c r="M783" i="11"/>
  <c r="M784" i="11" l="1"/>
  <c r="N783" i="11"/>
  <c r="N784" i="11" l="1"/>
  <c r="M785" i="11"/>
  <c r="N785" i="11" l="1"/>
  <c r="M786" i="11"/>
  <c r="N786" i="11" l="1"/>
  <c r="M787" i="11"/>
  <c r="M788" i="11" l="1"/>
  <c r="N787" i="11"/>
  <c r="N788" i="11" l="1"/>
  <c r="M789" i="11"/>
  <c r="N789" i="11" l="1"/>
  <c r="M790" i="11"/>
  <c r="M791" i="11" l="1"/>
  <c r="N790" i="11"/>
  <c r="N791" i="11" l="1"/>
  <c r="M792" i="11"/>
  <c r="N792" i="11" l="1"/>
  <c r="M793" i="11"/>
  <c r="M794" i="11" l="1"/>
  <c r="N793" i="11"/>
  <c r="N794" i="11" l="1"/>
  <c r="M795" i="11"/>
  <c r="N795" i="11" l="1"/>
  <c r="M796" i="11"/>
  <c r="M797" i="11" l="1"/>
  <c r="N796" i="11"/>
  <c r="N797" i="11" l="1"/>
  <c r="M798" i="11"/>
  <c r="N798" i="11" l="1"/>
  <c r="M799" i="11"/>
  <c r="N799" i="11" l="1"/>
  <c r="M800" i="11"/>
  <c r="N800" i="11" l="1"/>
  <c r="M801" i="11"/>
  <c r="N801" i="11" l="1"/>
  <c r="M802" i="11"/>
  <c r="M803" i="11" l="1"/>
  <c r="N802" i="11"/>
  <c r="N803" i="11" l="1"/>
  <c r="M804" i="11"/>
  <c r="N804" i="11" l="1"/>
  <c r="M805" i="11"/>
  <c r="M806" i="11" l="1"/>
  <c r="N805" i="11"/>
  <c r="M807" i="11" l="1"/>
  <c r="N806" i="11"/>
  <c r="N807" i="11" l="1"/>
  <c r="M808" i="11"/>
  <c r="M809" i="11" l="1"/>
  <c r="N808" i="11"/>
  <c r="N809" i="11" l="1"/>
  <c r="M810" i="11"/>
  <c r="N810" i="11" l="1"/>
  <c r="M811" i="11"/>
  <c r="M812" i="11" l="1"/>
  <c r="N811" i="11"/>
  <c r="N812" i="11" l="1"/>
  <c r="M813" i="11"/>
  <c r="M814" i="11" l="1"/>
  <c r="N813" i="11"/>
  <c r="N814" i="11" l="1"/>
  <c r="M815" i="11"/>
  <c r="N815" i="11" l="1"/>
  <c r="M816" i="11"/>
  <c r="M817" i="11" l="1"/>
  <c r="N816" i="11"/>
  <c r="N817" i="11" l="1"/>
  <c r="M818" i="11"/>
  <c r="N818" i="11" l="1"/>
  <c r="M819" i="11"/>
  <c r="N819" i="11" l="1"/>
  <c r="M820" i="11"/>
  <c r="N820" i="11" l="1"/>
  <c r="M821" i="11"/>
  <c r="N821" i="11" l="1"/>
  <c r="M822" i="11"/>
  <c r="N822" i="11" l="1"/>
  <c r="M823" i="11"/>
  <c r="M824" i="11" l="1"/>
  <c r="N823" i="11"/>
  <c r="N824" i="11" l="1"/>
  <c r="M825" i="11"/>
  <c r="M826" i="11" l="1"/>
  <c r="N825" i="11"/>
  <c r="N826" i="11" l="1"/>
  <c r="M827" i="11"/>
  <c r="N827" i="11" l="1"/>
  <c r="M828" i="11"/>
  <c r="N828" i="11" l="1"/>
  <c r="M829" i="11"/>
  <c r="N829" i="11" l="1"/>
  <c r="M830" i="11"/>
  <c r="M831" i="11" l="1"/>
  <c r="N830" i="11"/>
  <c r="N831" i="11" l="1"/>
  <c r="M832" i="11"/>
  <c r="N832" i="11" l="1"/>
  <c r="M833" i="11"/>
  <c r="N833" i="11" l="1"/>
  <c r="M834" i="11"/>
  <c r="N834" i="11" l="1"/>
  <c r="M835" i="11"/>
  <c r="N835" i="11" l="1"/>
  <c r="M836" i="11"/>
  <c r="M837" i="11" l="1"/>
  <c r="N836" i="11"/>
  <c r="N837" i="11" l="1"/>
  <c r="M838" i="11"/>
  <c r="N838" i="11" l="1"/>
  <c r="M839" i="11"/>
  <c r="N839" i="11" l="1"/>
  <c r="M840" i="11"/>
  <c r="M841" i="11" l="1"/>
  <c r="N840" i="11"/>
  <c r="M842" i="11" l="1"/>
  <c r="N841" i="11"/>
  <c r="N842" i="11" l="1"/>
  <c r="M843" i="11"/>
  <c r="N843" i="11" l="1"/>
  <c r="M844" i="11"/>
  <c r="N844" i="11" l="1"/>
  <c r="M845" i="11"/>
  <c r="N845" i="11" l="1"/>
  <c r="M846" i="11"/>
  <c r="N846" i="11" l="1"/>
  <c r="M847" i="11"/>
  <c r="M848" i="11" l="1"/>
  <c r="N847" i="11"/>
  <c r="N848" i="11" l="1"/>
  <c r="M849" i="11"/>
  <c r="N849" i="11" l="1"/>
  <c r="M850" i="11"/>
  <c r="N850" i="11" l="1"/>
  <c r="M851" i="11"/>
  <c r="M852" i="11" l="1"/>
  <c r="N851" i="11"/>
  <c r="M853" i="11" l="1"/>
  <c r="N852" i="11"/>
  <c r="N853" i="11" l="1"/>
  <c r="M854" i="11"/>
  <c r="N854" i="11" l="1"/>
  <c r="M855" i="11"/>
  <c r="N855" i="11" l="1"/>
  <c r="M856" i="11"/>
  <c r="N856" i="11" l="1"/>
  <c r="M857" i="11"/>
  <c r="M858" i="11" l="1"/>
  <c r="N857" i="11"/>
  <c r="M859" i="11" l="1"/>
  <c r="N858" i="11"/>
  <c r="N859" i="11" l="1"/>
  <c r="M860" i="11"/>
  <c r="N860" i="11" l="1"/>
  <c r="M861" i="11"/>
  <c r="N861" i="11" l="1"/>
  <c r="M862" i="11"/>
  <c r="M863" i="11" l="1"/>
  <c r="N862" i="11"/>
  <c r="M864" i="11" l="1"/>
  <c r="N863" i="11"/>
  <c r="N864" i="11" l="1"/>
  <c r="M865" i="11"/>
  <c r="N865" i="11" l="1"/>
  <c r="M866" i="11"/>
  <c r="N866" i="11" l="1"/>
  <c r="M867" i="11"/>
  <c r="M868" i="11" l="1"/>
  <c r="N867" i="11"/>
  <c r="N868" i="11" l="1"/>
  <c r="M869" i="11"/>
  <c r="N869" i="11" l="1"/>
  <c r="M870" i="11"/>
  <c r="N870" i="11" l="1"/>
  <c r="M871" i="11"/>
  <c r="N871" i="11" l="1"/>
  <c r="M872" i="11"/>
  <c r="M873" i="11" l="1"/>
  <c r="N872" i="11"/>
  <c r="N873" i="11" l="1"/>
  <c r="M874" i="11"/>
  <c r="N874" i="11" l="1"/>
  <c r="M875" i="11"/>
  <c r="M876" i="11" l="1"/>
  <c r="N875" i="11"/>
  <c r="N876" i="11" l="1"/>
  <c r="M877" i="11"/>
  <c r="N877" i="11" l="1"/>
  <c r="M878" i="11"/>
  <c r="N878" i="11" l="1"/>
  <c r="M879" i="11"/>
  <c r="N879" i="11" l="1"/>
  <c r="M880" i="11"/>
  <c r="M881" i="11" l="1"/>
  <c r="N880" i="11"/>
  <c r="N881" i="11" l="1"/>
  <c r="M882" i="11"/>
  <c r="N882" i="11" l="1"/>
  <c r="M883" i="11"/>
  <c r="N883" i="11" l="1"/>
  <c r="M884" i="11"/>
  <c r="N884" i="11" l="1"/>
  <c r="M885" i="11"/>
  <c r="N885" i="11" l="1"/>
  <c r="M886" i="11"/>
  <c r="M887" i="11" l="1"/>
  <c r="N886" i="11"/>
  <c r="N887" i="11" l="1"/>
  <c r="M888" i="11"/>
  <c r="M889" i="11" l="1"/>
  <c r="N888" i="11"/>
  <c r="N889" i="11" l="1"/>
  <c r="M890" i="11"/>
  <c r="M891" i="11" l="1"/>
  <c r="N890" i="11"/>
  <c r="M892" i="11" l="1"/>
  <c r="N891" i="11"/>
  <c r="N892" i="11" l="1"/>
  <c r="M893" i="11"/>
  <c r="N893" i="11" l="1"/>
  <c r="M894" i="11"/>
  <c r="N894" i="11" l="1"/>
  <c r="M895" i="11"/>
  <c r="N895" i="11" l="1"/>
  <c r="M896" i="11"/>
  <c r="M897" i="11" l="1"/>
  <c r="N896" i="11"/>
  <c r="M898" i="11" l="1"/>
  <c r="N897" i="11"/>
  <c r="N898" i="11" l="1"/>
  <c r="M899" i="11"/>
  <c r="N899" i="11" l="1"/>
  <c r="M900" i="11"/>
  <c r="M901" i="11" l="1"/>
  <c r="N900" i="11"/>
  <c r="N901" i="11" l="1"/>
  <c r="M902" i="11"/>
  <c r="M903" i="11" l="1"/>
  <c r="N902" i="11"/>
  <c r="N903" i="11" l="1"/>
  <c r="M904" i="11"/>
  <c r="N904" i="11" l="1"/>
  <c r="M905" i="11"/>
  <c r="M906" i="11" l="1"/>
  <c r="N905" i="11"/>
  <c r="N906" i="11" l="1"/>
  <c r="M907" i="11"/>
  <c r="M908" i="11" l="1"/>
  <c r="N907" i="11"/>
  <c r="M909" i="11" l="1"/>
  <c r="N908" i="11"/>
  <c r="N909" i="11" l="1"/>
  <c r="M910" i="11"/>
  <c r="N910" i="11" l="1"/>
  <c r="M911" i="11"/>
  <c r="N911" i="11" l="1"/>
  <c r="M912" i="11"/>
  <c r="N912" i="11" l="1"/>
  <c r="M913" i="11"/>
  <c r="M914" i="11" l="1"/>
  <c r="N913" i="11"/>
  <c r="N914" i="11" l="1"/>
  <c r="M915" i="11"/>
  <c r="N915" i="11" l="1"/>
  <c r="M916" i="11"/>
  <c r="N916" i="11" l="1"/>
  <c r="M917" i="11"/>
  <c r="M918" i="11" l="1"/>
  <c r="N917" i="11"/>
  <c r="N918" i="11" l="1"/>
  <c r="M919" i="11"/>
  <c r="N919" i="11" l="1"/>
  <c r="M920" i="11"/>
  <c r="N920" i="11" l="1"/>
  <c r="M921" i="11"/>
  <c r="N921" i="11" l="1"/>
  <c r="M922" i="11"/>
  <c r="N922" i="11" l="1"/>
  <c r="M923" i="11"/>
  <c r="N923" i="11" l="1"/>
  <c r="M924" i="11"/>
  <c r="M925" i="11" l="1"/>
  <c r="N924" i="11"/>
  <c r="N925" i="11" l="1"/>
  <c r="M926" i="11"/>
  <c r="N926" i="11" l="1"/>
  <c r="M927" i="11"/>
  <c r="M928" i="11" l="1"/>
  <c r="N927" i="11"/>
  <c r="N928" i="11" l="1"/>
  <c r="M929" i="11"/>
  <c r="M930" i="11" l="1"/>
  <c r="N929" i="11"/>
  <c r="N930" i="11" l="1"/>
  <c r="M931" i="11"/>
  <c r="N931" i="11" l="1"/>
  <c r="M932" i="11"/>
  <c r="M933" i="11" l="1"/>
  <c r="N932" i="11"/>
  <c r="N933" i="11" l="1"/>
  <c r="M934" i="11"/>
  <c r="M935" i="11" l="1"/>
  <c r="N934" i="11"/>
  <c r="N935" i="11" l="1"/>
  <c r="M936" i="11"/>
  <c r="N936" i="11" l="1"/>
  <c r="M937" i="11"/>
  <c r="N937" i="11" l="1"/>
  <c r="M938" i="11"/>
  <c r="N938" i="11" l="1"/>
  <c r="M939" i="11"/>
  <c r="M940" i="11" l="1"/>
  <c r="N939" i="11"/>
  <c r="N940" i="11" l="1"/>
  <c r="M941" i="11"/>
  <c r="N941" i="11" l="1"/>
  <c r="M942" i="11"/>
  <c r="N942" i="11" l="1"/>
  <c r="M943" i="11"/>
  <c r="M944" i="11" l="1"/>
  <c r="N943" i="11"/>
  <c r="M945" i="11" l="1"/>
  <c r="N944" i="11"/>
  <c r="N945" i="11" l="1"/>
  <c r="M946" i="11"/>
  <c r="N946" i="11" l="1"/>
  <c r="M947" i="11"/>
  <c r="M948" i="11" l="1"/>
  <c r="N947" i="11"/>
  <c r="N948" i="11" l="1"/>
  <c r="M949" i="11"/>
  <c r="M950" i="11" l="1"/>
  <c r="N949" i="11"/>
  <c r="N950" i="11" l="1"/>
  <c r="M951" i="11"/>
  <c r="N951" i="11" l="1"/>
  <c r="M952" i="11"/>
  <c r="M953" i="11" l="1"/>
  <c r="N952" i="11"/>
  <c r="N953" i="11" l="1"/>
  <c r="M954" i="11"/>
  <c r="M955" i="11" l="1"/>
  <c r="N954" i="11"/>
  <c r="N955" i="11" l="1"/>
  <c r="M956" i="11"/>
  <c r="N956" i="11" l="1"/>
  <c r="M957" i="11"/>
  <c r="M958" i="11" l="1"/>
  <c r="N957" i="11"/>
  <c r="M959" i="11" l="1"/>
  <c r="N958" i="11"/>
  <c r="M960" i="11" l="1"/>
  <c r="N959" i="11"/>
  <c r="N960" i="11" l="1"/>
  <c r="M961" i="11"/>
  <c r="N961" i="11" l="1"/>
  <c r="M962" i="11"/>
  <c r="N962" i="11" l="1"/>
  <c r="M963" i="11"/>
  <c r="N963" i="11" l="1"/>
  <c r="M964" i="11"/>
  <c r="M965" i="11" l="1"/>
  <c r="N964" i="11"/>
  <c r="N965" i="11" l="1"/>
  <c r="M966" i="11"/>
  <c r="N966" i="11" l="1"/>
  <c r="M967" i="11"/>
  <c r="N967" i="11" l="1"/>
  <c r="M968" i="11"/>
  <c r="M969" i="11" l="1"/>
  <c r="N968" i="11"/>
  <c r="M970" i="11" l="1"/>
  <c r="N969" i="11"/>
  <c r="N970" i="11" l="1"/>
  <c r="M971" i="11"/>
  <c r="N971" i="11" l="1"/>
  <c r="M972" i="11"/>
  <c r="N972" i="11" l="1"/>
  <c r="M973" i="11"/>
  <c r="M974" i="11" l="1"/>
  <c r="N973" i="11"/>
  <c r="M975" i="11" l="1"/>
  <c r="N974" i="11"/>
  <c r="N975" i="11" l="1"/>
  <c r="M976" i="11"/>
  <c r="N976" i="11" l="1"/>
  <c r="M977" i="11"/>
  <c r="M978" i="11" l="1"/>
  <c r="N977" i="11"/>
  <c r="N978" i="11" l="1"/>
  <c r="M979" i="11"/>
  <c r="M980" i="11" l="1"/>
  <c r="N979" i="11"/>
  <c r="N980" i="11" l="1"/>
  <c r="M981" i="11"/>
  <c r="N981" i="11" l="1"/>
  <c r="M982" i="11"/>
  <c r="M983" i="11" l="1"/>
  <c r="N982" i="11"/>
  <c r="M984" i="11" l="1"/>
  <c r="N983" i="11"/>
  <c r="M985" i="11" l="1"/>
  <c r="N984" i="11"/>
  <c r="N985" i="11" l="1"/>
  <c r="M986" i="11"/>
  <c r="N986" i="11" l="1"/>
  <c r="M987" i="11"/>
  <c r="N987" i="11" l="1"/>
  <c r="M988" i="11"/>
  <c r="M989" i="11" l="1"/>
  <c r="N988" i="11"/>
  <c r="M990" i="11" l="1"/>
  <c r="N989" i="11"/>
  <c r="N990" i="11" l="1"/>
  <c r="M991" i="11"/>
  <c r="N991" i="11" l="1"/>
  <c r="M992" i="11"/>
  <c r="N992" i="11" l="1"/>
  <c r="M993" i="11"/>
  <c r="M994" i="11" l="1"/>
  <c r="N993" i="11"/>
  <c r="M995" i="11" l="1"/>
  <c r="N994" i="11"/>
  <c r="N995" i="11" l="1"/>
  <c r="M996" i="11"/>
  <c r="N996" i="11" l="1"/>
  <c r="M997" i="11"/>
  <c r="N997" i="11" l="1"/>
  <c r="M998" i="11"/>
  <c r="N998" i="11" l="1"/>
  <c r="M999" i="11"/>
  <c r="M1000" i="11" l="1"/>
  <c r="N999" i="11"/>
  <c r="N1000" i="11" l="1"/>
  <c r="M1001" i="11"/>
  <c r="N1001" i="11" l="1"/>
  <c r="M1002" i="11"/>
  <c r="M1003" i="11" l="1"/>
  <c r="N1002" i="11"/>
  <c r="N1003" i="11" l="1"/>
  <c r="M1004" i="11"/>
  <c r="M1005" i="11" l="1"/>
  <c r="N1004" i="11"/>
  <c r="N1005" i="11" l="1"/>
  <c r="M1006" i="11"/>
  <c r="N1006" i="11" l="1"/>
  <c r="M1007" i="11"/>
  <c r="N1007" i="11" l="1"/>
  <c r="M1008" i="11"/>
  <c r="N1008" i="11" l="1"/>
  <c r="M1009" i="11"/>
  <c r="M1010" i="11" l="1"/>
  <c r="N1009" i="11"/>
  <c r="N1010" i="11" l="1"/>
  <c r="M1011" i="11"/>
  <c r="N1011" i="11" l="1"/>
  <c r="M1012" i="11"/>
  <c r="N1012" i="11" l="1"/>
  <c r="M1013" i="11"/>
  <c r="M1014" i="11" l="1"/>
  <c r="N1013" i="11"/>
  <c r="M1015" i="11" l="1"/>
  <c r="N1014" i="11"/>
  <c r="N1015" i="11" l="1"/>
  <c r="M1016" i="11"/>
  <c r="N1016" i="11" l="1"/>
  <c r="M1017" i="11"/>
  <c r="N1017" i="11" l="1"/>
  <c r="M1018" i="11"/>
  <c r="M1019" i="11" l="1"/>
  <c r="N1018" i="11"/>
  <c r="M1020" i="11" l="1"/>
  <c r="N1019" i="11"/>
  <c r="N1020" i="11" l="1"/>
  <c r="M1021" i="11"/>
  <c r="N1021" i="11" l="1"/>
  <c r="M1022" i="11"/>
  <c r="N1022" i="11" l="1"/>
  <c r="M1023" i="11"/>
  <c r="N1023" i="11" l="1"/>
  <c r="M1024" i="11"/>
  <c r="M1025" i="11" l="1"/>
  <c r="N1024" i="11"/>
  <c r="N1025" i="11" l="1"/>
  <c r="M1026" i="11"/>
  <c r="N1026" i="11" l="1"/>
  <c r="M1027" i="11"/>
  <c r="M1028" i="11" l="1"/>
  <c r="N1027" i="11"/>
  <c r="N1028" i="11" l="1"/>
  <c r="M1029" i="11"/>
  <c r="M1030" i="11" l="1"/>
  <c r="N1029" i="11"/>
  <c r="N1030" i="11" l="1"/>
  <c r="M1031" i="11"/>
  <c r="N1031" i="11" l="1"/>
  <c r="M1032" i="11"/>
  <c r="N1032" i="11" l="1"/>
  <c r="M1033" i="11"/>
  <c r="N1033" i="11" l="1"/>
  <c r="M1034" i="11"/>
  <c r="M1035" i="11" l="1"/>
  <c r="N1034" i="11"/>
  <c r="N1035" i="11" l="1"/>
  <c r="M1036" i="11"/>
  <c r="N1036" i="11" l="1"/>
  <c r="M1037" i="11"/>
  <c r="N1037" i="11" l="1"/>
  <c r="M1038" i="11"/>
  <c r="M1039" i="11" l="1"/>
  <c r="N1038" i="11"/>
  <c r="M1040" i="11" l="1"/>
  <c r="N1039" i="11"/>
  <c r="N1040" i="11" l="1"/>
  <c r="M1041" i="11"/>
  <c r="N1041" i="11" l="1"/>
  <c r="M1042" i="11"/>
  <c r="M1043" i="11" l="1"/>
  <c r="N1042" i="11"/>
  <c r="M1044" i="11" l="1"/>
  <c r="N1043" i="11"/>
  <c r="M1045" i="11" l="1"/>
  <c r="N1044" i="11"/>
  <c r="N1045" i="11" l="1"/>
  <c r="M1046" i="11"/>
  <c r="N1046" i="11" l="1"/>
  <c r="M1047" i="11"/>
  <c r="N1047" i="11" l="1"/>
  <c r="M1048" i="11"/>
  <c r="N1048" i="11" l="1"/>
  <c r="M1049" i="11"/>
  <c r="M1050" i="11" l="1"/>
  <c r="N1049" i="11"/>
  <c r="N1050" i="11" l="1"/>
  <c r="M1051" i="11"/>
  <c r="N1051" i="11" l="1"/>
  <c r="M1052" i="11"/>
  <c r="M1053" i="11" l="1"/>
  <c r="N1052" i="11"/>
  <c r="N1053" i="11" l="1"/>
  <c r="M1054" i="11"/>
  <c r="M1055" i="11" l="1"/>
  <c r="N1054" i="11"/>
  <c r="N1055" i="11" l="1"/>
  <c r="M1056" i="11"/>
  <c r="N1056" i="11" l="1"/>
  <c r="M1057" i="11"/>
  <c r="M1058" i="11" l="1"/>
  <c r="N1057" i="11"/>
  <c r="N1058" i="11" l="1"/>
  <c r="M1059" i="11"/>
  <c r="M1060" i="11" l="1"/>
  <c r="N1059" i="11"/>
  <c r="N1060" i="11" l="1"/>
  <c r="M1061" i="11"/>
  <c r="N1061" i="11" l="1"/>
  <c r="M1062" i="11"/>
  <c r="N1062" i="11" l="1"/>
  <c r="M1063" i="11"/>
  <c r="N1063" i="11" l="1"/>
  <c r="M1064" i="11"/>
  <c r="M1065" i="11" l="1"/>
  <c r="N1064" i="11"/>
  <c r="N1065" i="11" l="1"/>
  <c r="M1066" i="11"/>
  <c r="N1066" i="11" l="1"/>
  <c r="M1067" i="11"/>
  <c r="M1068" i="11" l="1"/>
  <c r="N1067" i="11"/>
  <c r="M1069" i="11" l="1"/>
  <c r="N1068" i="11"/>
  <c r="M1070" i="11" l="1"/>
  <c r="N1069" i="11"/>
  <c r="N1070" i="11" l="1"/>
  <c r="M1071" i="11"/>
  <c r="N1071" i="11" l="1"/>
  <c r="M1072" i="11"/>
  <c r="M1073" i="11" l="1"/>
  <c r="N1072" i="11"/>
  <c r="N1073" i="11" l="1"/>
  <c r="M1074" i="11"/>
  <c r="M1075" i="11" l="1"/>
  <c r="N1074" i="11"/>
  <c r="N1075" i="11" l="1"/>
  <c r="M1076" i="11"/>
  <c r="N1076" i="11" l="1"/>
  <c r="M1077" i="11"/>
  <c r="M1078" i="11" l="1"/>
  <c r="N1077" i="11"/>
  <c r="N1078" i="11" l="1"/>
  <c r="M1079" i="11"/>
  <c r="M1080" i="11" l="1"/>
  <c r="N1079" i="11"/>
  <c r="N1080" i="11" l="1"/>
  <c r="M1081" i="11"/>
  <c r="N1081" i="11" l="1"/>
  <c r="M1082" i="11"/>
  <c r="M1083" i="11" l="1"/>
  <c r="N1082" i="11"/>
  <c r="M1084" i="11" l="1"/>
  <c r="N1083" i="11"/>
  <c r="M1085" i="11" l="1"/>
  <c r="N1084" i="11"/>
  <c r="N1085" i="11" l="1"/>
  <c r="M1086" i="11"/>
  <c r="N1086" i="11" l="1"/>
  <c r="M1087" i="11"/>
  <c r="N1087" i="11" l="1"/>
  <c r="M1088" i="11"/>
  <c r="N1088" i="11" l="1"/>
  <c r="M1089" i="11"/>
  <c r="M1090" i="11" l="1"/>
  <c r="N1089" i="11"/>
  <c r="N1090" i="11" l="1"/>
  <c r="M1091" i="11"/>
  <c r="N1091" i="11" l="1"/>
  <c r="M1092" i="11"/>
  <c r="N1092" i="11" l="1"/>
  <c r="M1093" i="11"/>
  <c r="M1094" i="11" l="1"/>
  <c r="N1093" i="11"/>
  <c r="M1095" i="11" l="1"/>
  <c r="N1094" i="11"/>
  <c r="N1095" i="11" l="1"/>
  <c r="M1096" i="11"/>
  <c r="N1096" i="11" l="1"/>
  <c r="M1097" i="11"/>
  <c r="M1098" i="11" l="1"/>
  <c r="N1097" i="11"/>
  <c r="M1099" i="11" l="1"/>
  <c r="N1098" i="11"/>
  <c r="M1100" i="11" l="1"/>
  <c r="N1099" i="11"/>
  <c r="N1100" i="11" l="1"/>
  <c r="M1101" i="11"/>
  <c r="N1101" i="11" l="1"/>
  <c r="M1102" i="11"/>
  <c r="M1103" i="11" l="1"/>
  <c r="N1102" i="11"/>
  <c r="N1103" i="11" l="1"/>
  <c r="M1104" i="11"/>
  <c r="M1105" i="11" l="1"/>
  <c r="N1104" i="11"/>
  <c r="N1105" i="11" l="1"/>
  <c r="M1106" i="11"/>
  <c r="N1106" i="11" l="1"/>
  <c r="M1107" i="11"/>
  <c r="N1107" i="11" l="1"/>
  <c r="M1108" i="11"/>
  <c r="M1109" i="11" l="1"/>
  <c r="N1108" i="11"/>
  <c r="M1110" i="11" l="1"/>
  <c r="N1109" i="11"/>
  <c r="N1110" i="11" l="1"/>
  <c r="M1111" i="11"/>
  <c r="N1111" i="11" l="1"/>
  <c r="M1112" i="11"/>
  <c r="N1112" i="11" l="1"/>
  <c r="M1113" i="11"/>
  <c r="M1114" i="11" l="1"/>
  <c r="N1113" i="11"/>
  <c r="M1115" i="11" l="1"/>
  <c r="N1114" i="11"/>
  <c r="N1115" i="11" l="1"/>
  <c r="M1116" i="11"/>
  <c r="N1116" i="11" l="1"/>
  <c r="M1117" i="11"/>
  <c r="M1118" i="11" l="1"/>
  <c r="N1117" i="11"/>
  <c r="N1118" i="11" l="1"/>
  <c r="M1119" i="11"/>
  <c r="M1120" i="11" l="1"/>
  <c r="N1119" i="11"/>
  <c r="N1120" i="11" l="1"/>
  <c r="M1121" i="11"/>
  <c r="N1121" i="11" l="1"/>
  <c r="M1122" i="11"/>
  <c r="M1123" i="11" l="1"/>
  <c r="N1122" i="11"/>
  <c r="M1124" i="11" l="1"/>
  <c r="N1123" i="11"/>
  <c r="M1125" i="11" l="1"/>
  <c r="N1124" i="11"/>
  <c r="N1125" i="11" l="1"/>
  <c r="M1126" i="11"/>
  <c r="N1126" i="11" l="1"/>
  <c r="M1127" i="11"/>
  <c r="N1127" i="11" l="1"/>
  <c r="M1128" i="11"/>
  <c r="N1128" i="11" l="1"/>
  <c r="M1129" i="11"/>
  <c r="M1130" i="11" l="1"/>
  <c r="N1129" i="11"/>
  <c r="N1130" i="11" l="1"/>
  <c r="M1131" i="11"/>
  <c r="N1131" i="11" l="1"/>
  <c r="M1132" i="11"/>
  <c r="M1133" i="11" l="1"/>
  <c r="N1132" i="11"/>
  <c r="N1133" i="11" l="1"/>
  <c r="M1134" i="11"/>
  <c r="M1135" i="11" l="1"/>
  <c r="N1134" i="11"/>
  <c r="N1135" i="11" l="1"/>
  <c r="M1136" i="11"/>
  <c r="N1136" i="11" l="1"/>
  <c r="M1137" i="11"/>
  <c r="M1138" i="11" l="1"/>
  <c r="N1137" i="11"/>
  <c r="M1139" i="11" l="1"/>
  <c r="N1138" i="11"/>
  <c r="M1140" i="11" l="1"/>
  <c r="N1139" i="11"/>
  <c r="N1140" i="11" l="1"/>
  <c r="M1141" i="11"/>
  <c r="N1141" i="11" l="1"/>
  <c r="M1142" i="11"/>
  <c r="N1142" i="11" l="1"/>
  <c r="M1143" i="11"/>
  <c r="N1143" i="11" l="1"/>
  <c r="M1144" i="11"/>
  <c r="M1145" i="11" l="1"/>
  <c r="N1144" i="11"/>
  <c r="N1145" i="11" l="1"/>
  <c r="M1146" i="11"/>
  <c r="M1147" i="11" l="1"/>
  <c r="N1146" i="11"/>
  <c r="N1147" i="11" l="1"/>
  <c r="M1148" i="11"/>
  <c r="N1148" i="11" l="1"/>
  <c r="M1149" i="11"/>
  <c r="M1150" i="11" l="1"/>
  <c r="N1149" i="11"/>
  <c r="N1150" i="11" l="1"/>
  <c r="M1151" i="11"/>
  <c r="N1151" i="11" l="1"/>
  <c r="M1152" i="11"/>
  <c r="N1152" i="11" l="1"/>
  <c r="M1153" i="11"/>
  <c r="M1154" i="11" l="1"/>
  <c r="N1153" i="11"/>
  <c r="M1155" i="11" l="1"/>
  <c r="N1154" i="11"/>
  <c r="N1155" i="11" l="1"/>
  <c r="M1156" i="11"/>
  <c r="N1156" i="11" l="1"/>
  <c r="M1157" i="11"/>
  <c r="M1158" i="11" l="1"/>
  <c r="N1157" i="11"/>
  <c r="N1158" i="11" l="1"/>
  <c r="M1159" i="11"/>
  <c r="M1160" i="11" l="1"/>
  <c r="N1159" i="11"/>
  <c r="N1160" i="11" l="1"/>
  <c r="M1161" i="11"/>
  <c r="N1161" i="11" l="1"/>
  <c r="M1162" i="11"/>
  <c r="N1162" i="11" l="1"/>
  <c r="M1163" i="11"/>
  <c r="N1163" i="11" l="1"/>
  <c r="M1164" i="11"/>
  <c r="N1164" i="11" l="1"/>
  <c r="M1165" i="11"/>
  <c r="N1165" i="11" l="1"/>
  <c r="M1166" i="11"/>
  <c r="M1167" i="11" l="1"/>
  <c r="N1166" i="11"/>
  <c r="N1167" i="11" l="1"/>
  <c r="M1168" i="11"/>
  <c r="N1168" i="11" l="1"/>
  <c r="M1169" i="11"/>
  <c r="N1169" i="11" l="1"/>
  <c r="M1170" i="11"/>
  <c r="N1170" i="11" l="1"/>
  <c r="M1171" i="11"/>
  <c r="M1172" i="11" l="1"/>
  <c r="N1171" i="11"/>
  <c r="M1173" i="11" l="1"/>
  <c r="N1172" i="11"/>
  <c r="N1173" i="11" l="1"/>
  <c r="M1174" i="11"/>
  <c r="N1174" i="11" l="1"/>
  <c r="M1175" i="11"/>
  <c r="N1175" i="11" l="1"/>
  <c r="M1176" i="11"/>
  <c r="N1176" i="11" l="1"/>
  <c r="M1177" i="11"/>
  <c r="N1177" i="11" l="1"/>
  <c r="M1178" i="11"/>
  <c r="M1179" i="11" l="1"/>
  <c r="N1178" i="11"/>
  <c r="N1179" i="11" l="1"/>
  <c r="M1180" i="11"/>
  <c r="N1180" i="11" l="1"/>
  <c r="M1181" i="11"/>
  <c r="N1181" i="11" l="1"/>
  <c r="M1182" i="11"/>
  <c r="M1183" i="11" l="1"/>
  <c r="N1182" i="11"/>
  <c r="N1183" i="11" l="1"/>
  <c r="M1184" i="11"/>
  <c r="M1185" i="11" l="1"/>
  <c r="N1184" i="11"/>
  <c r="N1185" i="11" l="1"/>
  <c r="M1186" i="11"/>
  <c r="N1186" i="11" l="1"/>
  <c r="M1187" i="11"/>
  <c r="N1187" i="11" l="1"/>
  <c r="M1188" i="11"/>
  <c r="M1189" i="11" l="1"/>
  <c r="N1188" i="11"/>
  <c r="N1189" i="11" l="1"/>
  <c r="M1190" i="11"/>
  <c r="N1190" i="11" l="1"/>
  <c r="M1191" i="11"/>
  <c r="M1192" i="11" l="1"/>
  <c r="N1191" i="11"/>
  <c r="N1192" i="11" l="1"/>
  <c r="M1193" i="11"/>
  <c r="N1193" i="11" l="1"/>
  <c r="M1194" i="11"/>
  <c r="N1194" i="11" l="1"/>
  <c r="M1195" i="11"/>
  <c r="N1195" i="11" l="1"/>
  <c r="M1196" i="11"/>
  <c r="N1196" i="11" l="1"/>
  <c r="M1197" i="11"/>
  <c r="M1198" i="11" l="1"/>
  <c r="N1197" i="11"/>
  <c r="N1198" i="11" l="1"/>
  <c r="M1199" i="11"/>
  <c r="N1199" i="11" l="1"/>
  <c r="M1200" i="11"/>
  <c r="N1200" i="11" l="1"/>
  <c r="M1201" i="11"/>
  <c r="N1201" i="11" l="1"/>
  <c r="M1202" i="11"/>
  <c r="M1203" i="11" l="1"/>
  <c r="N1202" i="11"/>
  <c r="M1204" i="11" l="1"/>
  <c r="N1203" i="11"/>
  <c r="N1204" i="11" l="1"/>
  <c r="M1205" i="11"/>
  <c r="N1205" i="11" l="1"/>
  <c r="M1206" i="11"/>
  <c r="N1206" i="11" l="1"/>
  <c r="M1207" i="11"/>
  <c r="N1207" i="11" l="1"/>
  <c r="M1208" i="11"/>
  <c r="M1209" i="11" l="1"/>
  <c r="N1208" i="11"/>
  <c r="M1210" i="11" l="1"/>
  <c r="N1209" i="11"/>
  <c r="N1210" i="11" l="1"/>
  <c r="M1211" i="11"/>
  <c r="N1211" i="11" l="1"/>
  <c r="M1212" i="11"/>
  <c r="N1212" i="11" l="1"/>
  <c r="M1213" i="11"/>
  <c r="M1214" i="11" l="1"/>
  <c r="N1213" i="11"/>
  <c r="N1214" i="11" l="1"/>
  <c r="M1215" i="11"/>
  <c r="N1215" i="11" l="1"/>
  <c r="M1216" i="11"/>
  <c r="M1217" i="11" l="1"/>
  <c r="N1216" i="11"/>
  <c r="N1217" i="11" l="1"/>
  <c r="M1218" i="11"/>
  <c r="N1218" i="11" l="1"/>
  <c r="M1219" i="11"/>
  <c r="M1220" i="11" l="1"/>
  <c r="N1219" i="11"/>
  <c r="N1220" i="11" l="1"/>
  <c r="M1221" i="11"/>
  <c r="N1221" i="11" l="1"/>
  <c r="M1222" i="11"/>
  <c r="M1223" i="11" l="1"/>
  <c r="N1222" i="11"/>
  <c r="N1223" i="11" l="1"/>
  <c r="M1224" i="11"/>
  <c r="N1224" i="11" l="1"/>
  <c r="M1225" i="11"/>
  <c r="N1225" i="11" l="1"/>
  <c r="M1226" i="11"/>
  <c r="N1226" i="11" l="1"/>
  <c r="M1227" i="11"/>
  <c r="N1227" i="11" l="1"/>
  <c r="M1228" i="11"/>
  <c r="M1229" i="11" l="1"/>
  <c r="N1228" i="11"/>
  <c r="N1229" i="11" l="1"/>
  <c r="M1230" i="11"/>
  <c r="N1230" i="11" l="1"/>
  <c r="M1231" i="11"/>
  <c r="N1231" i="11" l="1"/>
  <c r="M1232" i="11"/>
  <c r="N1232" i="11" l="1"/>
  <c r="M1233" i="11"/>
  <c r="M1234" i="11" l="1"/>
  <c r="N1233" i="11"/>
  <c r="M1235" i="11" l="1"/>
  <c r="N1234" i="11"/>
  <c r="N1235" i="11" l="1"/>
  <c r="M1236" i="11"/>
  <c r="N1236" i="11" l="1"/>
  <c r="M1237" i="11"/>
  <c r="N1237" i="11" l="1"/>
  <c r="M1238" i="11"/>
  <c r="N1238" i="11" l="1"/>
  <c r="M1239" i="11"/>
  <c r="N1239" i="11" l="1"/>
  <c r="M1240" i="11"/>
  <c r="N1240" i="11" l="1"/>
  <c r="M1241" i="11"/>
  <c r="M1242" i="11" l="1"/>
  <c r="N1241" i="11"/>
  <c r="N1242" i="11" l="1"/>
  <c r="M1243" i="11"/>
  <c r="N1243" i="11" l="1"/>
  <c r="M1244" i="11"/>
  <c r="M1245" i="11" l="1"/>
  <c r="N1244" i="11"/>
  <c r="N1245" i="11" l="1"/>
  <c r="M1246" i="11"/>
  <c r="N1246" i="11" l="1"/>
  <c r="M1247" i="11"/>
  <c r="M1248" i="11" l="1"/>
  <c r="N1247" i="11"/>
  <c r="N1248" i="11" l="1"/>
  <c r="M1249" i="11"/>
  <c r="N1249" i="11" l="1"/>
  <c r="M1250" i="11"/>
  <c r="N1250" i="11" l="1"/>
  <c r="M1251" i="11"/>
  <c r="M1252" i="11" l="1"/>
  <c r="N1251" i="11"/>
  <c r="N1252" i="11" l="1"/>
  <c r="M1253" i="11"/>
  <c r="M1254" i="11" l="1"/>
  <c r="N1253" i="11"/>
  <c r="N1254" i="11" l="1"/>
  <c r="M1255" i="11"/>
  <c r="N1255" i="11" l="1"/>
  <c r="M1256" i="11"/>
  <c r="N1256" i="11" l="1"/>
  <c r="M1257" i="11"/>
  <c r="N1257" i="11" l="1"/>
  <c r="M1258" i="11"/>
  <c r="N1258" i="11" l="1"/>
  <c r="M1259" i="11"/>
  <c r="M1260" i="11" l="1"/>
  <c r="N1259" i="11"/>
  <c r="N1260" i="11" l="1"/>
  <c r="M1261" i="11"/>
  <c r="N1261" i="11" l="1"/>
  <c r="M1262" i="11"/>
  <c r="N1262" i="11" l="1"/>
  <c r="M1263" i="11"/>
  <c r="N1263" i="11" l="1"/>
  <c r="M1264" i="11"/>
  <c r="M1265" i="11" l="1"/>
  <c r="N1264" i="11"/>
  <c r="N1265" i="11" l="1"/>
  <c r="M1266" i="11"/>
  <c r="M1267" i="11" l="1"/>
  <c r="N1266" i="11"/>
  <c r="N1267" i="11" l="1"/>
  <c r="M1268" i="11"/>
  <c r="N1268" i="11" l="1"/>
  <c r="M1269" i="11"/>
  <c r="N1269" i="11" l="1"/>
  <c r="M1270" i="11"/>
  <c r="N1270" i="11" l="1"/>
  <c r="M1271" i="11"/>
  <c r="M1272" i="11" l="1"/>
  <c r="N1271" i="11"/>
  <c r="M1273" i="11" l="1"/>
  <c r="N1272" i="11"/>
  <c r="N1273" i="11" l="1"/>
  <c r="M1274" i="11"/>
  <c r="N1274" i="11" l="1"/>
  <c r="M1275" i="11"/>
  <c r="N1275" i="11" l="1"/>
  <c r="M1276" i="11"/>
  <c r="M1277" i="11" l="1"/>
  <c r="N1276" i="11"/>
  <c r="N1277" i="11" l="1"/>
  <c r="M1278" i="11"/>
  <c r="M1279" i="11" l="1"/>
  <c r="N1278" i="11"/>
  <c r="N1279" i="11" l="1"/>
  <c r="M1280" i="11"/>
  <c r="N1280" i="11" l="1"/>
  <c r="M1281" i="11"/>
  <c r="N1281" i="11" l="1"/>
  <c r="M1282" i="11"/>
  <c r="M1283" i="11" l="1"/>
  <c r="N1282" i="11"/>
  <c r="N1283" i="11" l="1"/>
  <c r="M1284" i="11"/>
  <c r="M1285" i="11" l="1"/>
  <c r="N1284" i="11"/>
  <c r="N1285" i="11" l="1"/>
  <c r="M1286" i="11"/>
  <c r="N1286" i="11" l="1"/>
  <c r="M1287" i="11"/>
  <c r="N1287" i="11" l="1"/>
  <c r="M1288" i="11"/>
  <c r="N1288" i="11" l="1"/>
  <c r="M1289" i="11"/>
  <c r="N1289" i="11" l="1"/>
  <c r="M1290" i="11"/>
  <c r="N1290" i="11" l="1"/>
  <c r="M1291" i="11"/>
  <c r="M1292" i="11" l="1"/>
  <c r="N1291" i="11"/>
  <c r="N1292" i="11" l="1"/>
  <c r="M1293" i="11"/>
  <c r="N1293" i="11" l="1"/>
  <c r="M1294" i="11"/>
  <c r="N1294" i="11" l="1"/>
  <c r="M1295" i="11"/>
  <c r="N1295" i="11" l="1"/>
  <c r="M1296" i="11"/>
  <c r="M1297" i="11" l="1"/>
  <c r="N1296" i="11"/>
  <c r="M1298" i="11" l="1"/>
  <c r="N1297" i="11"/>
  <c r="N1298" i="11" l="1"/>
  <c r="M1299" i="11"/>
  <c r="N1299" i="11" l="1"/>
  <c r="M1300" i="11"/>
  <c r="N1300" i="11" l="1"/>
  <c r="M1301" i="11"/>
  <c r="N1301" i="11" l="1"/>
  <c r="M1302" i="11"/>
  <c r="M1303" i="11" l="1"/>
  <c r="N1302" i="11"/>
  <c r="M1304" i="11" l="1"/>
  <c r="N1303" i="11"/>
  <c r="N1304" i="11" l="1"/>
  <c r="M1305" i="11"/>
  <c r="N1305" i="11" l="1"/>
  <c r="M1306" i="11"/>
  <c r="N1306" i="11" l="1"/>
  <c r="M1307" i="11"/>
  <c r="M1308" i="11" l="1"/>
  <c r="N1307" i="11"/>
  <c r="N1308" i="11" l="1"/>
  <c r="M1309" i="11"/>
  <c r="M1310" i="11" l="1"/>
  <c r="N1309" i="11"/>
  <c r="N1310" i="11" l="1"/>
  <c r="M1311" i="11"/>
  <c r="N1311" i="11" l="1"/>
  <c r="M1312" i="11"/>
  <c r="N1312" i="11" l="1"/>
  <c r="M1313" i="11"/>
  <c r="M1314" i="11" l="1"/>
  <c r="N1313" i="11"/>
  <c r="N1314" i="11" l="1"/>
  <c r="M1315" i="11"/>
  <c r="N1315" i="11" l="1"/>
  <c r="M1316" i="11"/>
  <c r="M1317" i="11" l="1"/>
  <c r="N1316" i="11"/>
  <c r="N1317" i="11" l="1"/>
  <c r="M1318" i="11"/>
  <c r="N1318" i="11" l="1"/>
  <c r="M1319" i="11"/>
  <c r="N1319" i="11" l="1"/>
  <c r="M1320" i="11"/>
  <c r="N1320" i="11" l="1"/>
  <c r="M1321" i="11"/>
  <c r="N1321" i="11" l="1"/>
  <c r="M1322" i="11"/>
  <c r="M1323" i="11" l="1"/>
  <c r="N1322" i="11"/>
  <c r="N1323" i="11" l="1"/>
  <c r="M1324" i="11"/>
  <c r="N1324" i="11" l="1"/>
  <c r="M1325" i="11"/>
  <c r="N1325" i="11" l="1"/>
  <c r="M1326" i="11"/>
  <c r="N1326" i="11" l="1"/>
  <c r="M1327" i="11"/>
  <c r="M1328" i="11" l="1"/>
  <c r="N1327" i="11"/>
  <c r="M1329" i="11" l="1"/>
  <c r="N1328" i="11"/>
  <c r="N1329" i="11" l="1"/>
  <c r="M1330" i="11"/>
  <c r="N1330" i="11" l="1"/>
  <c r="M1331" i="11"/>
  <c r="N1331" i="11" l="1"/>
  <c r="M1332" i="11"/>
  <c r="N1332" i="11" l="1"/>
  <c r="M1333" i="11"/>
  <c r="M1334" i="11" l="1"/>
  <c r="N1333" i="11"/>
  <c r="M1335" i="11" l="1"/>
  <c r="N1334" i="11"/>
  <c r="N1335" i="11" l="1"/>
  <c r="M1336" i="11"/>
  <c r="N1336" i="11" l="1"/>
  <c r="M1337" i="11"/>
  <c r="N1337" i="11" l="1"/>
  <c r="M1338" i="11"/>
  <c r="M1339" i="11" l="1"/>
  <c r="N1338" i="11"/>
  <c r="N1339" i="11" l="1"/>
  <c r="M1340" i="11"/>
  <c r="N1340" i="11" l="1"/>
  <c r="M1341" i="11"/>
  <c r="M1342" i="11" l="1"/>
  <c r="N1341" i="11"/>
  <c r="N1342" i="11" l="1"/>
  <c r="M1343" i="11"/>
  <c r="N1343" i="11" l="1"/>
  <c r="M1344" i="11"/>
  <c r="M1345" i="11" l="1"/>
  <c r="N1344" i="11"/>
  <c r="N1345" i="11" l="1"/>
  <c r="M1346" i="11"/>
  <c r="N1346" i="11" l="1"/>
  <c r="M1347" i="11"/>
  <c r="M1348" i="11" l="1"/>
  <c r="N1347" i="11"/>
  <c r="N1348" i="11" l="1"/>
  <c r="M1349" i="11"/>
  <c r="N1349" i="11" l="1"/>
  <c r="M1350" i="11"/>
  <c r="N1350" i="11" l="1"/>
  <c r="M1351" i="11"/>
  <c r="N1351" i="11" l="1"/>
  <c r="M1352" i="11"/>
  <c r="N1352" i="11" l="1"/>
  <c r="M1353" i="11"/>
  <c r="M1354" i="11" l="1"/>
  <c r="N1353" i="11"/>
  <c r="N1354" i="11" l="1"/>
  <c r="M1355" i="11"/>
  <c r="N1355" i="11" l="1"/>
  <c r="M1356" i="11"/>
  <c r="N1356" i="11" l="1"/>
  <c r="M1357" i="11"/>
  <c r="N1357" i="11" l="1"/>
  <c r="M1358" i="11"/>
  <c r="M1359" i="11" l="1"/>
  <c r="N1358" i="11"/>
  <c r="M1360" i="11" l="1"/>
  <c r="N1359" i="11"/>
  <c r="N1360" i="11" l="1"/>
  <c r="M1361" i="11"/>
  <c r="N1361" i="11" l="1"/>
  <c r="M1362" i="11"/>
  <c r="N1362" i="11" l="1"/>
  <c r="M1363" i="11"/>
  <c r="N1363" i="11" l="1"/>
  <c r="M1364" i="11"/>
  <c r="M1365" i="11" l="1"/>
  <c r="N1364" i="11"/>
  <c r="N1365" i="11" l="1"/>
  <c r="M1366" i="11"/>
  <c r="M1367" i="11" l="1"/>
  <c r="N1366" i="11"/>
  <c r="N1367" i="11" l="1"/>
  <c r="M1368" i="11"/>
  <c r="N1368" i="11" l="1"/>
  <c r="M1369" i="11"/>
  <c r="M1370" i="11" l="1"/>
  <c r="N1369" i="11"/>
  <c r="N1370" i="11" l="1"/>
  <c r="M1371" i="11"/>
  <c r="N1371" i="11" l="1"/>
  <c r="M1372" i="11"/>
  <c r="M1373" i="11" l="1"/>
  <c r="N1372" i="11"/>
  <c r="N1373" i="11" l="1"/>
  <c r="M1374" i="11"/>
  <c r="N1374" i="11" l="1"/>
  <c r="M1375" i="11"/>
  <c r="M1376" i="11" l="1"/>
  <c r="N1375" i="11"/>
  <c r="N1376" i="11" l="1"/>
  <c r="M1377" i="11"/>
  <c r="M1378" i="11" l="1"/>
  <c r="N1377" i="11"/>
  <c r="N1378" i="11" l="1"/>
  <c r="M1379" i="11"/>
  <c r="N1379" i="11" l="1"/>
  <c r="M1380" i="11"/>
  <c r="N1380" i="11" l="1"/>
  <c r="M1381" i="11"/>
  <c r="N1381" i="11" l="1"/>
  <c r="M1382" i="11"/>
  <c r="M1383" i="11" l="1"/>
  <c r="N1382" i="11"/>
  <c r="N1383" i="11" l="1"/>
  <c r="M1384" i="11"/>
  <c r="N1384" i="11" l="1"/>
  <c r="M1385" i="11"/>
  <c r="N1385" i="11" l="1"/>
  <c r="M1386" i="11"/>
  <c r="M1387" i="11" l="1"/>
  <c r="N1386" i="11"/>
  <c r="M1388" i="11" l="1"/>
  <c r="N1387" i="11"/>
  <c r="N1388" i="11" l="1"/>
  <c r="M1389" i="11"/>
  <c r="N1389" i="11" l="1"/>
  <c r="M1390" i="11"/>
  <c r="N1390" i="11" l="1"/>
  <c r="M1391" i="11"/>
  <c r="M1392" i="11" l="1"/>
  <c r="N1391" i="11"/>
  <c r="M1393" i="11" l="1"/>
  <c r="N1392" i="11"/>
  <c r="N1393" i="11" l="1"/>
  <c r="M1394" i="11"/>
  <c r="N1394" i="11" l="1"/>
  <c r="M1395" i="11"/>
  <c r="M1396" i="11" l="1"/>
  <c r="N1395" i="11"/>
  <c r="N1396" i="11" l="1"/>
  <c r="M1397" i="11"/>
  <c r="M1398" i="11" l="1"/>
  <c r="N1397" i="11"/>
  <c r="N1398" i="11" l="1"/>
  <c r="M1399" i="11"/>
  <c r="N1399" i="11" l="1"/>
  <c r="M1400" i="11"/>
  <c r="N1400" i="11" l="1"/>
  <c r="M1401" i="11"/>
  <c r="N1401" i="11" l="1"/>
  <c r="M1402" i="11"/>
  <c r="M1403" i="11" l="1"/>
  <c r="N1402" i="11"/>
  <c r="N1403" i="11" l="1"/>
  <c r="M1404" i="11"/>
  <c r="N1404" i="11" l="1"/>
  <c r="M1405" i="11"/>
  <c r="N1405" i="11" l="1"/>
  <c r="M1406" i="11"/>
  <c r="M1407" i="11" l="1"/>
  <c r="N1406" i="11"/>
  <c r="M1408" i="11" l="1"/>
  <c r="N1407" i="11"/>
  <c r="N1408" i="11" l="1"/>
  <c r="M1409" i="11"/>
  <c r="N1409" i="11" l="1"/>
  <c r="M1410" i="11"/>
  <c r="N1410" i="11" l="1"/>
  <c r="M1411" i="11"/>
  <c r="M1412" i="11" l="1"/>
  <c r="N1411" i="11"/>
  <c r="M1413" i="11" l="1"/>
  <c r="N1412" i="11"/>
  <c r="N1413" i="11" l="1"/>
  <c r="M1414" i="11"/>
  <c r="N1414" i="11" l="1"/>
  <c r="M1415" i="11"/>
  <c r="M1416" i="11" l="1"/>
  <c r="N1415" i="11"/>
  <c r="N1416" i="11" l="1"/>
  <c r="M1417" i="11"/>
  <c r="M1418" i="11" l="1"/>
  <c r="N1417" i="11"/>
  <c r="N1418" i="11" l="1"/>
  <c r="M1419" i="11"/>
  <c r="N1419" i="11" l="1"/>
  <c r="M1420" i="11"/>
  <c r="M1421" i="11" l="1"/>
  <c r="N1420" i="11"/>
  <c r="N1421" i="11" l="1"/>
  <c r="M1422" i="11"/>
  <c r="M1423" i="11" l="1"/>
  <c r="N1422" i="11"/>
  <c r="N1423" i="11" l="1"/>
  <c r="M1424" i="11"/>
  <c r="N1424" i="11" l="1"/>
  <c r="M1425" i="11"/>
  <c r="N1425" i="11" l="1"/>
  <c r="M1426" i="11"/>
  <c r="M1427" i="11" l="1"/>
  <c r="N1426" i="11"/>
  <c r="M1428" i="11" l="1"/>
  <c r="N1427" i="11"/>
  <c r="N1428" i="11" l="1"/>
  <c r="M1429" i="11"/>
  <c r="N1429" i="11" l="1"/>
  <c r="M1430" i="11"/>
  <c r="N1430" i="11" l="1"/>
  <c r="M1431" i="11"/>
  <c r="N1431" i="11" l="1"/>
  <c r="M1432" i="11"/>
  <c r="M1433" i="11" l="1"/>
  <c r="N1432" i="11"/>
  <c r="N1433" i="11" l="1"/>
  <c r="M1434" i="11"/>
  <c r="N1434" i="11" l="1"/>
  <c r="M1435" i="11"/>
  <c r="M1436" i="11" l="1"/>
  <c r="N1435" i="11"/>
  <c r="M1437" i="11" l="1"/>
  <c r="N1436" i="11"/>
  <c r="M1438" i="11" l="1"/>
  <c r="N1437" i="11"/>
  <c r="N1438" i="11" l="1"/>
  <c r="M1439" i="11"/>
  <c r="N1439" i="11" l="1"/>
  <c r="M1440" i="11"/>
  <c r="N1440" i="11" l="1"/>
  <c r="M1441" i="11"/>
  <c r="M1442" i="11" l="1"/>
  <c r="N1441" i="11"/>
  <c r="M1443" i="11" l="1"/>
  <c r="N1442" i="11"/>
  <c r="N1443" i="11" l="1"/>
  <c r="M1444" i="11"/>
  <c r="N1444" i="11" l="1"/>
  <c r="M1445" i="11"/>
  <c r="M1446" i="11" l="1"/>
  <c r="N1445" i="11"/>
  <c r="N1446" i="11" l="1"/>
  <c r="M1447" i="11"/>
  <c r="M1448" i="11" l="1"/>
  <c r="N1447" i="11"/>
  <c r="N1448" i="11" l="1"/>
  <c r="M1449" i="11"/>
  <c r="N1449" i="11" l="1"/>
  <c r="M1450" i="11"/>
  <c r="M1451" i="11" l="1"/>
  <c r="N1450" i="11"/>
  <c r="N1451" i="11" l="1"/>
  <c r="M1452" i="11"/>
  <c r="M1453" i="11" l="1"/>
  <c r="N1452" i="11"/>
  <c r="N1453" i="11" l="1"/>
  <c r="M1454" i="11"/>
  <c r="N1454" i="11" l="1"/>
  <c r="M1455" i="11"/>
  <c r="N1455" i="11" l="1"/>
  <c r="M1456" i="11"/>
  <c r="N1456" i="11" l="1"/>
  <c r="M1457" i="11"/>
  <c r="M1458" i="11" l="1"/>
  <c r="N1457" i="11"/>
  <c r="N1458" i="11" l="1"/>
  <c r="M1459" i="11"/>
  <c r="N1459" i="11" l="1"/>
  <c r="M1460" i="11"/>
  <c r="M1461" i="11" l="1"/>
  <c r="N1460" i="11"/>
  <c r="M1462" i="11" l="1"/>
  <c r="N1461" i="11"/>
  <c r="M1463" i="11" l="1"/>
  <c r="N1462" i="11"/>
  <c r="N1463" i="11" l="1"/>
  <c r="M1464" i="11"/>
  <c r="N1464" i="11" l="1"/>
  <c r="M1465" i="11"/>
  <c r="M1466" i="11" l="1"/>
  <c r="N1465" i="11"/>
  <c r="N1466" i="11" l="1"/>
  <c r="M1467" i="11"/>
  <c r="M1468" i="11" l="1"/>
  <c r="N1467" i="11"/>
  <c r="N1468" i="11" l="1"/>
  <c r="M1469" i="11"/>
  <c r="N1469" i="11" l="1"/>
  <c r="M1470" i="11"/>
  <c r="M1471" i="11" l="1"/>
  <c r="N1470" i="11"/>
  <c r="N1471" i="11" l="1"/>
  <c r="M1472" i="11"/>
  <c r="M1473" i="11" l="1"/>
  <c r="N1472" i="11"/>
  <c r="N1473" i="11" l="1"/>
  <c r="M1474" i="11"/>
  <c r="N1474" i="11" l="1"/>
  <c r="M1475" i="11"/>
  <c r="N1475" i="11" l="1"/>
  <c r="M1476" i="11"/>
  <c r="M1477" i="11" l="1"/>
  <c r="N1476" i="11"/>
  <c r="M1478" i="11" l="1"/>
  <c r="N1477" i="11"/>
  <c r="N1478" i="11" l="1"/>
  <c r="M1479" i="11"/>
  <c r="N1479" i="11" l="1"/>
  <c r="M1480" i="11"/>
  <c r="N1480" i="11" l="1"/>
  <c r="M1481" i="11"/>
  <c r="N1481" i="11" l="1"/>
  <c r="M1482" i="11"/>
  <c r="M1483" i="11" l="1"/>
  <c r="N1482" i="11"/>
  <c r="N1483" i="11" l="1"/>
  <c r="M1484" i="11"/>
  <c r="N1484" i="11" l="1"/>
  <c r="M1485" i="11"/>
  <c r="N1485" i="11" l="1"/>
  <c r="M1486" i="11"/>
  <c r="M1487" i="11" l="1"/>
  <c r="N1486" i="11"/>
  <c r="M1488" i="11" l="1"/>
  <c r="N1487" i="11"/>
  <c r="N1488" i="11" l="1"/>
  <c r="M1489" i="11"/>
  <c r="N1489" i="11" l="1"/>
  <c r="M1490" i="11"/>
  <c r="N1490" i="11" l="1"/>
  <c r="M1491" i="11"/>
  <c r="M1492" i="11" l="1"/>
  <c r="N1491" i="11"/>
  <c r="M1493" i="11" l="1"/>
  <c r="N1492" i="11"/>
  <c r="N1493" i="11" l="1"/>
  <c r="M1494" i="11"/>
  <c r="N1494" i="11" l="1"/>
  <c r="M1495" i="11"/>
  <c r="M1496" i="11" l="1"/>
  <c r="N1495" i="11"/>
  <c r="N1496" i="11" l="1"/>
  <c r="M1497" i="11"/>
  <c r="M1498" i="11" l="1"/>
  <c r="N1497" i="11"/>
  <c r="N1498" i="11" l="1"/>
  <c r="M1499" i="11"/>
  <c r="N1499" i="11" l="1"/>
  <c r="M1500" i="11"/>
  <c r="N1500" i="11" l="1"/>
  <c r="M1501" i="11"/>
  <c r="M1502" i="11" l="1"/>
  <c r="N1501" i="11"/>
  <c r="M1503" i="11" l="1"/>
  <c r="N1502" i="11"/>
  <c r="N1503" i="11" l="1"/>
  <c r="M1504" i="11"/>
  <c r="N1504" i="11" l="1"/>
  <c r="M1505" i="11"/>
  <c r="N1505" i="11" l="1"/>
  <c r="M1506" i="11"/>
  <c r="M1507" i="11" l="1"/>
  <c r="N1506" i="11"/>
  <c r="M1508" i="11" l="1"/>
  <c r="N1507" i="11"/>
  <c r="N1508" i="11" l="1"/>
  <c r="M1509" i="11"/>
  <c r="N1509" i="11" l="1"/>
  <c r="M1510" i="11"/>
  <c r="N1510" i="11" l="1"/>
  <c r="M1511" i="11"/>
  <c r="M1512" i="11" l="1"/>
  <c r="N1511" i="11"/>
  <c r="M1513" i="11" l="1"/>
  <c r="N1512" i="11"/>
  <c r="N1513" i="11" l="1"/>
  <c r="M1514" i="11"/>
  <c r="N1514" i="11" l="1"/>
  <c r="M1515" i="11"/>
  <c r="N1515" i="11" l="1"/>
  <c r="M1516" i="11"/>
  <c r="N1516" i="11" l="1"/>
  <c r="M1517" i="11"/>
  <c r="M1518" i="11" l="1"/>
  <c r="N1517" i="11"/>
  <c r="N1518" i="11" l="1"/>
  <c r="M1519" i="11"/>
  <c r="N1519" i="11" l="1"/>
  <c r="M1520" i="11"/>
  <c r="M1521" i="11" l="1"/>
  <c r="N1520" i="11"/>
  <c r="N1521" i="11" l="1"/>
  <c r="M1522" i="11"/>
  <c r="M1523" i="11" l="1"/>
  <c r="N1522" i="11"/>
  <c r="N1523" i="11" l="1"/>
  <c r="M1524" i="11"/>
  <c r="N1524" i="11" l="1"/>
  <c r="M1525" i="11"/>
  <c r="M1526" i="11" l="1"/>
  <c r="N1525" i="11"/>
  <c r="N1526" i="11" l="1"/>
  <c r="M1527" i="11"/>
  <c r="M1528" i="11" l="1"/>
  <c r="N1527" i="11"/>
  <c r="N1528" i="11" l="1"/>
  <c r="M1529" i="11"/>
  <c r="N1529" i="11" l="1"/>
  <c r="M1530" i="11"/>
  <c r="N1530" i="11" l="1"/>
  <c r="M1531" i="11"/>
  <c r="N1531" i="11" l="1"/>
  <c r="M1532" i="11"/>
  <c r="M1533" i="11" l="1"/>
  <c r="N1532" i="11"/>
  <c r="N1533" i="11" l="1"/>
  <c r="M1534" i="11"/>
  <c r="N1534" i="11" l="1"/>
  <c r="M1535" i="11"/>
  <c r="N1535" i="11" l="1"/>
  <c r="M1536" i="11"/>
  <c r="M1537" i="11" l="1"/>
  <c r="N1536" i="11"/>
  <c r="M1538" i="11" l="1"/>
  <c r="N1537" i="11"/>
  <c r="N1538" i="11" l="1"/>
  <c r="M1539" i="11"/>
  <c r="N1539" i="11" l="1"/>
  <c r="M1540" i="11"/>
  <c r="M1541" i="11" l="1"/>
  <c r="N1540" i="11"/>
  <c r="N1541" i="11" l="1"/>
  <c r="M1542" i="11"/>
  <c r="M1543" i="11" l="1"/>
  <c r="N1542" i="11"/>
  <c r="N1543" i="11" l="1"/>
  <c r="M1544" i="11"/>
  <c r="N1544" i="11" l="1"/>
  <c r="M1545" i="11"/>
  <c r="M1546" i="11" l="1"/>
  <c r="N1545" i="11"/>
  <c r="N1546" i="11" l="1"/>
  <c r="M1547" i="11"/>
  <c r="M1548" i="11" l="1"/>
  <c r="N1547" i="11"/>
  <c r="N1548" i="11" l="1"/>
  <c r="M1549" i="11"/>
  <c r="N1549" i="11" l="1"/>
  <c r="M1550" i="11"/>
  <c r="N1550" i="11" l="1"/>
  <c r="M1551" i="11"/>
  <c r="M1552" i="11" l="1"/>
  <c r="N1551" i="11"/>
  <c r="M1553" i="11" l="1"/>
  <c r="N1552" i="11"/>
  <c r="N1553" i="11" l="1"/>
  <c r="M1554" i="11"/>
  <c r="N1554" i="11" l="1"/>
  <c r="M1555" i="11"/>
  <c r="N1555" i="11" l="1"/>
  <c r="M1556" i="11"/>
  <c r="N1556" i="11" l="1"/>
  <c r="M1557" i="11"/>
  <c r="M1558" i="11" l="1"/>
  <c r="N1557" i="11"/>
  <c r="N1558" i="11" l="1"/>
  <c r="M1559" i="11"/>
  <c r="N1559" i="11" l="1"/>
  <c r="M1560" i="11"/>
  <c r="M1561" i="11" l="1"/>
  <c r="N1560" i="11"/>
  <c r="M1562" i="11" l="1"/>
  <c r="N1561" i="11"/>
  <c r="M1563" i="11" l="1"/>
  <c r="N1562" i="11"/>
  <c r="N1563" i="11" l="1"/>
  <c r="M1564" i="11"/>
  <c r="N1564" i="11" l="1"/>
  <c r="M1565" i="11"/>
  <c r="N1565" i="11" l="1"/>
  <c r="M1566" i="11"/>
  <c r="M1567" i="11" l="1"/>
  <c r="N1566" i="11"/>
  <c r="M1568" i="11" l="1"/>
  <c r="N1567" i="11"/>
  <c r="N1568" i="11" l="1"/>
  <c r="M1569" i="11"/>
  <c r="M1570" i="11" l="1"/>
  <c r="N1569" i="11"/>
  <c r="N1570" i="11" l="1"/>
  <c r="M1571" i="11"/>
  <c r="M1572" i="11" l="1"/>
  <c r="N1571" i="11"/>
  <c r="M1573" i="11" l="1"/>
  <c r="N1572" i="11"/>
  <c r="N1573" i="11" l="1"/>
  <c r="M1574" i="11"/>
  <c r="N1574" i="11" l="1"/>
  <c r="M1575" i="11"/>
  <c r="M1576" i="11" l="1"/>
  <c r="N1575" i="11"/>
  <c r="N1576" i="11" l="1"/>
  <c r="M1577" i="11"/>
  <c r="M1578" i="11" l="1"/>
  <c r="N1577" i="11"/>
  <c r="N1578" i="11" l="1"/>
  <c r="M1579" i="11"/>
  <c r="N1579" i="11" l="1"/>
  <c r="M1580" i="11"/>
  <c r="N1580" i="11" l="1"/>
  <c r="M1581" i="11"/>
  <c r="N1581" i="11" l="1"/>
  <c r="M1582" i="11"/>
  <c r="M1583" i="11" l="1"/>
  <c r="N1582" i="11"/>
  <c r="N1583" i="11" l="1"/>
  <c r="M1584" i="11"/>
  <c r="N1584" i="11" l="1"/>
  <c r="M1585" i="11"/>
  <c r="N1585" i="11" l="1"/>
  <c r="M1586" i="11"/>
  <c r="N1586" i="11" l="1"/>
  <c r="M1587" i="11"/>
  <c r="M1588" i="11" l="1"/>
  <c r="N1587" i="11"/>
  <c r="N1588" i="11" l="1"/>
  <c r="M1589" i="11"/>
  <c r="N1589" i="11" l="1"/>
  <c r="M1590" i="11"/>
  <c r="M1591" i="11" l="1"/>
  <c r="N1590" i="11"/>
  <c r="N1591" i="11" l="1"/>
  <c r="M1592" i="11"/>
  <c r="N1592" i="11" l="1"/>
  <c r="M1593" i="11"/>
  <c r="N1593" i="11" l="1"/>
  <c r="M1594" i="11"/>
  <c r="N1594" i="11" l="1"/>
  <c r="M1595" i="11"/>
  <c r="M1596" i="11" l="1"/>
  <c r="N1595" i="11"/>
  <c r="M1597" i="11" l="1"/>
  <c r="N1596" i="11"/>
  <c r="N1597" i="11" l="1"/>
  <c r="M1598" i="11"/>
  <c r="N1598" i="11" l="1"/>
  <c r="M1599" i="11"/>
  <c r="N1599" i="11" l="1"/>
  <c r="M1600" i="11"/>
  <c r="M1601" i="11" l="1"/>
  <c r="N1600" i="11"/>
  <c r="N1601" i="11" l="1"/>
  <c r="M1602" i="11"/>
  <c r="M1603" i="11" l="1"/>
  <c r="N1602" i="11"/>
  <c r="N1603" i="11" l="1"/>
  <c r="M1604" i="11"/>
  <c r="N1604" i="11" l="1"/>
  <c r="M1605" i="11"/>
  <c r="N1605" i="11" l="1"/>
  <c r="M1606" i="11"/>
  <c r="M1607" i="11" l="1"/>
  <c r="N1606" i="11"/>
  <c r="N1607" i="11" l="1"/>
  <c r="M1608" i="11"/>
  <c r="N1608" i="11" l="1"/>
  <c r="M1609" i="11"/>
  <c r="M1610" i="11" l="1"/>
  <c r="N1609" i="11"/>
  <c r="N1610" i="11" l="1"/>
  <c r="M1611" i="11"/>
  <c r="N1611" i="11" l="1"/>
  <c r="M1612" i="11"/>
  <c r="N1612" i="11" l="1"/>
  <c r="M1613" i="11"/>
  <c r="N1613" i="11" l="1"/>
  <c r="M1614" i="11"/>
  <c r="N1614" i="11" l="1"/>
  <c r="M1615" i="11"/>
  <c r="M1616" i="11" l="1"/>
  <c r="N1615" i="11"/>
  <c r="N1616" i="11" l="1"/>
  <c r="M1617" i="11"/>
  <c r="M1618" i="11" l="1"/>
  <c r="N1617" i="11"/>
  <c r="N1618" i="11" l="1"/>
  <c r="M1619" i="11"/>
  <c r="N1619" i="11" l="1"/>
  <c r="M1620" i="11"/>
  <c r="N1620" i="11" l="1"/>
  <c r="M1621" i="11"/>
  <c r="M1622" i="11" l="1"/>
  <c r="N1621" i="11"/>
  <c r="N1622" i="11" l="1"/>
  <c r="M1623" i="11"/>
  <c r="N1623" i="11" l="1"/>
  <c r="M1624" i="11"/>
  <c r="N1624" i="11" l="1"/>
  <c r="M1625" i="11"/>
  <c r="M1626" i="11" l="1"/>
  <c r="N1625" i="11"/>
  <c r="M1627" i="11" l="1"/>
  <c r="N1626" i="11"/>
  <c r="M1628" i="11" l="1"/>
  <c r="N1627" i="11"/>
  <c r="N1628" i="11" l="1"/>
  <c r="M1629" i="11"/>
  <c r="N1629" i="11" l="1"/>
  <c r="M1630" i="11"/>
  <c r="N1630" i="11" l="1"/>
  <c r="M1631" i="11"/>
  <c r="M1632" i="11" l="1"/>
  <c r="N1631" i="11"/>
  <c r="N1632" i="11" l="1"/>
  <c r="M1633" i="11"/>
  <c r="N1633" i="11" l="1"/>
  <c r="M1634" i="11"/>
  <c r="M1635" i="11" l="1"/>
  <c r="N1634" i="11"/>
  <c r="N1635" i="11" l="1"/>
  <c r="M1636" i="11"/>
  <c r="N1636" i="11" l="1"/>
  <c r="M1637" i="11"/>
  <c r="M1638" i="11" l="1"/>
  <c r="N1637" i="11"/>
  <c r="N1638" i="11" l="1"/>
  <c r="M1639" i="11"/>
  <c r="N1639" i="11" l="1"/>
  <c r="M1640" i="11"/>
  <c r="M1641" i="11" l="1"/>
  <c r="N1640" i="11"/>
  <c r="N1641" i="11" l="1"/>
  <c r="M1642" i="11"/>
  <c r="M1643" i="11" l="1"/>
  <c r="N1642" i="11"/>
  <c r="N1643" i="11" l="1"/>
  <c r="M1644" i="11"/>
  <c r="N1644" i="11" l="1"/>
  <c r="M1645" i="11"/>
  <c r="M1646" i="11" l="1"/>
  <c r="N1645" i="11"/>
  <c r="M1647" i="11" l="1"/>
  <c r="N1646" i="11"/>
  <c r="N1647" i="11" l="1"/>
  <c r="M1648" i="11"/>
  <c r="N1648" i="11" l="1"/>
  <c r="M1649" i="11"/>
  <c r="M1650" i="11" l="1"/>
  <c r="N1649" i="11"/>
  <c r="N1650" i="11" l="1"/>
  <c r="M1651" i="11"/>
  <c r="M1652" i="11" l="1"/>
  <c r="N1651" i="11"/>
  <c r="M1653" i="11" l="1"/>
  <c r="N1652" i="11"/>
  <c r="N1653" i="11" l="1"/>
  <c r="M1654" i="11"/>
  <c r="N1654" i="11" l="1"/>
  <c r="M1655" i="11"/>
  <c r="N1655" i="11" l="1"/>
  <c r="M1656" i="11"/>
  <c r="M1657" i="11" l="1"/>
  <c r="N1656" i="11"/>
  <c r="M1658" i="11" l="1"/>
  <c r="N1657" i="11"/>
  <c r="N1658" i="11" l="1"/>
  <c r="M1659" i="11"/>
  <c r="M1660" i="11" l="1"/>
  <c r="N1659" i="11"/>
  <c r="N1660" i="11" l="1"/>
  <c r="M1661" i="11"/>
  <c r="N1661" i="11" l="1"/>
  <c r="M1662" i="11"/>
  <c r="M1663" i="11" l="1"/>
  <c r="N1662" i="11"/>
  <c r="N1663" i="11" l="1"/>
  <c r="M1664" i="11"/>
  <c r="N1664" i="11" l="1"/>
  <c r="M1665" i="11"/>
  <c r="M1666" i="11" l="1"/>
  <c r="N1665" i="11"/>
  <c r="N1666" i="11" l="1"/>
  <c r="M1667" i="11"/>
  <c r="M1668" i="11" l="1"/>
  <c r="N1667" i="11"/>
  <c r="N1668" i="11" l="1"/>
  <c r="M1669" i="11"/>
  <c r="M1670" i="11" l="1"/>
  <c r="N1669" i="11"/>
  <c r="N1670" i="11" l="1"/>
  <c r="M1671" i="11"/>
  <c r="M1672" i="11" l="1"/>
  <c r="N1671" i="11"/>
  <c r="N1672" i="11" l="1"/>
  <c r="M1673" i="11"/>
  <c r="N1673" i="11" l="1"/>
  <c r="M1674" i="11"/>
  <c r="N1674" i="11" l="1"/>
  <c r="M1675" i="11"/>
  <c r="N1675" i="11" l="1"/>
  <c r="M1676" i="11"/>
  <c r="N1676" i="11" l="1"/>
  <c r="M1677" i="11"/>
  <c r="M1678" i="11" l="1"/>
  <c r="N1677" i="11"/>
  <c r="N1678" i="11" l="1"/>
  <c r="M1679" i="11"/>
  <c r="N1679" i="11" l="1"/>
  <c r="M1680" i="11"/>
  <c r="M1681" i="11" l="1"/>
  <c r="N1680" i="11"/>
  <c r="N1681" i="11" l="1"/>
  <c r="M1682" i="11"/>
  <c r="M1683" i="11" l="1"/>
  <c r="N1682" i="11"/>
  <c r="N1683" i="11" l="1"/>
  <c r="M1684" i="11"/>
  <c r="M1685" i="11" l="1"/>
  <c r="N1684" i="11"/>
  <c r="N1685" i="11" l="1"/>
  <c r="M1686" i="11"/>
  <c r="N1686" i="11" l="1"/>
  <c r="M1687" i="11"/>
  <c r="N1687" i="11" l="1"/>
  <c r="M1688" i="11"/>
  <c r="N1688" i="11" l="1"/>
  <c r="M1689" i="11"/>
  <c r="M1690" i="11" l="1"/>
  <c r="N1689" i="11"/>
  <c r="M1691" i="11" l="1"/>
  <c r="N1690" i="11"/>
  <c r="N1691" i="11" l="1"/>
  <c r="M1692" i="11"/>
  <c r="N1692" i="11" l="1"/>
  <c r="M1693" i="11"/>
  <c r="N1693" i="11" l="1"/>
  <c r="M1694" i="11"/>
  <c r="M1695" i="11" l="1"/>
  <c r="N1694" i="11"/>
  <c r="N1695" i="11" l="1"/>
  <c r="M1696" i="11"/>
  <c r="M1697" i="11" l="1"/>
  <c r="N1696" i="11"/>
  <c r="N1697" i="11" l="1"/>
  <c r="M1698" i="11"/>
  <c r="N1698" i="11" l="1"/>
  <c r="M1699" i="11"/>
  <c r="N1699" i="11" l="1"/>
  <c r="M1700" i="11"/>
  <c r="M1701" i="11" l="1"/>
  <c r="N1700" i="11"/>
  <c r="N1701" i="11" l="1"/>
  <c r="M1702" i="11"/>
  <c r="M1703" i="11" l="1"/>
  <c r="N1702" i="11"/>
  <c r="N1703" i="11" l="1"/>
  <c r="M1704" i="11"/>
  <c r="N1704" i="11" l="1"/>
  <c r="M1705" i="11"/>
  <c r="M1706" i="11" l="1"/>
  <c r="N1705" i="11"/>
  <c r="N1706" i="11" l="1"/>
  <c r="M1707" i="11"/>
  <c r="N1707" i="11" l="1"/>
  <c r="M1708" i="11"/>
  <c r="N1708" i="11" l="1"/>
  <c r="M1709" i="11"/>
  <c r="M1710" i="11" l="1"/>
  <c r="N1709" i="11"/>
  <c r="N1710" i="11" l="1"/>
  <c r="M1711" i="11"/>
  <c r="M1712" i="11" l="1"/>
  <c r="N1711" i="11"/>
  <c r="N1712" i="11" l="1"/>
  <c r="M1713" i="11"/>
  <c r="N1713" i="11" l="1"/>
  <c r="M1714" i="11"/>
  <c r="N1714" i="11" l="1"/>
  <c r="M1715" i="11"/>
  <c r="M1716" i="11" l="1"/>
  <c r="N1715" i="11"/>
  <c r="N1716" i="11" l="1"/>
  <c r="M1717" i="11"/>
  <c r="N1717" i="11" l="1"/>
  <c r="M1718" i="11"/>
  <c r="N1718" i="11" l="1"/>
  <c r="M1719" i="11"/>
  <c r="M1720" i="11" l="1"/>
  <c r="N1719" i="11"/>
  <c r="M1721" i="11" l="1"/>
  <c r="N1720" i="11"/>
  <c r="M1722" i="11" l="1"/>
  <c r="N1721" i="11"/>
  <c r="N1722" i="11" l="1"/>
  <c r="M1723" i="11"/>
  <c r="N1723" i="11" l="1"/>
  <c r="M1724" i="11"/>
  <c r="N1724" i="11" l="1"/>
  <c r="M1725" i="11"/>
  <c r="M1726" i="11" l="1"/>
  <c r="N1725" i="11"/>
  <c r="N1726" i="11" l="1"/>
  <c r="M1727" i="11"/>
  <c r="M1728" i="11" l="1"/>
  <c r="N1727" i="11"/>
  <c r="N1728" i="11" l="1"/>
  <c r="M1729" i="11"/>
  <c r="N1729" i="11" l="1"/>
  <c r="M1730" i="11"/>
  <c r="M1731" i="11" l="1"/>
  <c r="N1730" i="11"/>
  <c r="M1732" i="11" l="1"/>
  <c r="N1731" i="11"/>
  <c r="N1732" i="11" l="1"/>
  <c r="M1733" i="11"/>
  <c r="N1733" i="11" l="1"/>
  <c r="M1734" i="11"/>
  <c r="M1735" i="11" l="1"/>
  <c r="N1734" i="11"/>
  <c r="N1735" i="11" l="1"/>
  <c r="M1736" i="11"/>
  <c r="M1737" i="11" l="1"/>
  <c r="N1736" i="11"/>
  <c r="N1737" i="11" l="1"/>
  <c r="M1738" i="11"/>
  <c r="N1738" i="11" l="1"/>
  <c r="M1739" i="11"/>
  <c r="N1739" i="11" l="1"/>
  <c r="M1740" i="11"/>
  <c r="M1741" i="11" l="1"/>
  <c r="N1740" i="11"/>
  <c r="N1741" i="11" l="1"/>
  <c r="M1742" i="11"/>
  <c r="M1743" i="11" l="1"/>
  <c r="N1742" i="11"/>
  <c r="N1743" i="11" l="1"/>
  <c r="M1744" i="11"/>
  <c r="N1744" i="11" l="1"/>
  <c r="M1745" i="11"/>
  <c r="M1746" i="11" l="1"/>
  <c r="N1745" i="11"/>
  <c r="M1747" i="11" l="1"/>
  <c r="N1746" i="11"/>
  <c r="N1747" i="11" l="1"/>
  <c r="M1748" i="11"/>
  <c r="N1748" i="11" l="1"/>
  <c r="M1749" i="11"/>
  <c r="N1749" i="11" l="1"/>
  <c r="M1750" i="11"/>
  <c r="M1751" i="11" l="1"/>
  <c r="N1750" i="11"/>
  <c r="M1752" i="11" l="1"/>
  <c r="N1751" i="11"/>
  <c r="M1753" i="11" l="1"/>
  <c r="N1752" i="11"/>
  <c r="N1753" i="11" l="1"/>
  <c r="M1754" i="11"/>
  <c r="N1754" i="11" l="1"/>
  <c r="M1755" i="11"/>
  <c r="N1755" i="11" l="1"/>
  <c r="M1756" i="11"/>
  <c r="N1756" i="11" l="1"/>
  <c r="M1757" i="11"/>
  <c r="N1757" i="11" l="1"/>
  <c r="M1758" i="11"/>
  <c r="N1758" i="11" l="1"/>
  <c r="M1759" i="11"/>
  <c r="M1760" i="11" l="1"/>
  <c r="N1759" i="11"/>
  <c r="N1760" i="11" l="1"/>
  <c r="M1761" i="11"/>
  <c r="M1762" i="11" l="1"/>
  <c r="N1761" i="11"/>
  <c r="M1763" i="11" l="1"/>
  <c r="N1762" i="11"/>
  <c r="N1763" i="11" l="1"/>
  <c r="M1764" i="11"/>
  <c r="N1764" i="11" l="1"/>
  <c r="M1765" i="11"/>
  <c r="M1766" i="11" l="1"/>
  <c r="N1765" i="11"/>
  <c r="N1766" i="11" l="1"/>
  <c r="M1767" i="11"/>
  <c r="M1768" i="11" l="1"/>
  <c r="N1767" i="11"/>
  <c r="N1768" i="11" l="1"/>
  <c r="M1769" i="11"/>
  <c r="N1769" i="11" l="1"/>
  <c r="M1770" i="11"/>
  <c r="M1771" i="11" l="1"/>
  <c r="N1770" i="11"/>
  <c r="M1772" i="11" l="1"/>
  <c r="N1771" i="11"/>
  <c r="N1772" i="11" l="1"/>
  <c r="M1773" i="11"/>
  <c r="N1773" i="11" l="1"/>
  <c r="M1774" i="11"/>
  <c r="M1775" i="11" l="1"/>
  <c r="N1774" i="11"/>
  <c r="N1775" i="11" l="1"/>
  <c r="M1776" i="11"/>
  <c r="M1777" i="11" l="1"/>
  <c r="N1776" i="11"/>
  <c r="M1778" i="11" l="1"/>
  <c r="N1777" i="11"/>
  <c r="N1778" i="11" l="1"/>
  <c r="M1779" i="11"/>
  <c r="N1779" i="11" l="1"/>
  <c r="M1780" i="11"/>
  <c r="N1780" i="11" l="1"/>
  <c r="M1781" i="11"/>
  <c r="N1781" i="11" l="1"/>
  <c r="M1782" i="11"/>
  <c r="M1783" i="11" l="1"/>
  <c r="N1782" i="11"/>
  <c r="N1783" i="11" l="1"/>
  <c r="M1784" i="11"/>
  <c r="N1784" i="11" l="1"/>
  <c r="M1785" i="11"/>
  <c r="N1785" i="11" l="1"/>
  <c r="M1786" i="11"/>
  <c r="N1786" i="11" l="1"/>
  <c r="M1787" i="11"/>
  <c r="N1787" i="11" l="1"/>
  <c r="M1788" i="11"/>
  <c r="N1788" i="11" l="1"/>
  <c r="M1789" i="11"/>
  <c r="M1790" i="11" l="1"/>
  <c r="N1789" i="11"/>
  <c r="N1790" i="11" l="1"/>
  <c r="M1791" i="11"/>
  <c r="N1791" i="11" l="1"/>
  <c r="M1792" i="11"/>
  <c r="M1793" i="11" l="1"/>
  <c r="N1792" i="11"/>
  <c r="N1793" i="11" l="1"/>
  <c r="M1794" i="11"/>
  <c r="M1795" i="11" l="1"/>
  <c r="N1794" i="11"/>
  <c r="N1795" i="11" l="1"/>
  <c r="M1796" i="11"/>
  <c r="N1796" i="11" l="1"/>
  <c r="M1797" i="11"/>
  <c r="M1798" i="11" l="1"/>
  <c r="N1797" i="11"/>
  <c r="N1798" i="11" l="1"/>
  <c r="M1799" i="11"/>
  <c r="M1800" i="11" l="1"/>
  <c r="N1799" i="11"/>
  <c r="M1801" i="11" l="1"/>
  <c r="N1800" i="11"/>
  <c r="N1801" i="11" l="1"/>
  <c r="M1802" i="11"/>
  <c r="M1803" i="11" l="1"/>
  <c r="N1802" i="11"/>
  <c r="N1803" i="11" l="1"/>
  <c r="M1804" i="11"/>
  <c r="M1805" i="11" l="1"/>
  <c r="N1804" i="11"/>
  <c r="M1806" i="11" l="1"/>
  <c r="N1805" i="11"/>
  <c r="N1806" i="11" l="1"/>
  <c r="M1807" i="11"/>
  <c r="N1807" i="11" l="1"/>
  <c r="M1808" i="11"/>
  <c r="N1808" i="11" l="1"/>
  <c r="M1809" i="11"/>
  <c r="N1809" i="11" l="1"/>
  <c r="M1810" i="11"/>
  <c r="M1811" i="11" l="1"/>
  <c r="N1810" i="11"/>
  <c r="M1812" i="11" l="1"/>
  <c r="N1811" i="11"/>
  <c r="N1812" i="11" l="1"/>
  <c r="M1813" i="11"/>
  <c r="N1813" i="11" l="1"/>
  <c r="M1814" i="11"/>
  <c r="N1814" i="11" l="1"/>
  <c r="M1815" i="11"/>
  <c r="N1815" i="11" l="1"/>
  <c r="M1816" i="11"/>
  <c r="M1817" i="11" l="1"/>
  <c r="N1816" i="11"/>
  <c r="N1817" i="11" l="1"/>
  <c r="M1818" i="11"/>
  <c r="N1818" i="11" l="1"/>
  <c r="M1819" i="11"/>
  <c r="M1820" i="11" l="1"/>
  <c r="N1819" i="11"/>
  <c r="M1821" i="11" l="1"/>
  <c r="N1820" i="11"/>
  <c r="N1821" i="11" l="1"/>
  <c r="M1822" i="11"/>
  <c r="M1823" i="11" l="1"/>
  <c r="N1822" i="11"/>
  <c r="N1823" i="11" l="1"/>
  <c r="M1824" i="11"/>
  <c r="N1824" i="11" l="1"/>
  <c r="M1825" i="11"/>
  <c r="N1825" i="11" l="1"/>
  <c r="M1826" i="11"/>
  <c r="M1827" i="11" l="1"/>
  <c r="N1826" i="11"/>
  <c r="M1828" i="11" l="1"/>
  <c r="N1827" i="11"/>
  <c r="N1828" i="11" l="1"/>
  <c r="M1829" i="11"/>
  <c r="N1829" i="11" l="1"/>
  <c r="M1830" i="11"/>
  <c r="M1831" i="11" l="1"/>
  <c r="N1830" i="11"/>
  <c r="N1831" i="11" l="1"/>
  <c r="M1832" i="11"/>
  <c r="M1833" i="11" l="1"/>
  <c r="N1832" i="11"/>
  <c r="N1833" i="11" l="1"/>
  <c r="M1834" i="11"/>
  <c r="N1834" i="11" l="1"/>
  <c r="M1835" i="11"/>
  <c r="N1835" i="11" l="1"/>
  <c r="M1836" i="11"/>
  <c r="M1837" i="11" l="1"/>
  <c r="N1836" i="11"/>
  <c r="M1838" i="11" l="1"/>
  <c r="N1837" i="11"/>
  <c r="N1838" i="11" l="1"/>
  <c r="M1839" i="11"/>
  <c r="M1840" i="11" l="1"/>
  <c r="N1839" i="11"/>
  <c r="N1840" i="11" l="1"/>
  <c r="M1841" i="11"/>
  <c r="N1841" i="11" l="1"/>
  <c r="M1842" i="11"/>
  <c r="N1842" i="11" l="1"/>
  <c r="M1843" i="11"/>
  <c r="N1843" i="11" l="1"/>
  <c r="M1844" i="11"/>
  <c r="M1845" i="11" l="1"/>
  <c r="N1844" i="11"/>
  <c r="N1845" i="11" l="1"/>
  <c r="M1846" i="11"/>
  <c r="N1846" i="11" l="1"/>
  <c r="M1847" i="11"/>
  <c r="M1848" i="11" l="1"/>
  <c r="N1847" i="11"/>
  <c r="N1848" i="11" l="1"/>
  <c r="M1849" i="11"/>
  <c r="N1849" i="11" l="1"/>
  <c r="M1850" i="11"/>
  <c r="M1851" i="11" l="1"/>
  <c r="N1850" i="11"/>
  <c r="N1851" i="11" l="1"/>
  <c r="M1852" i="11"/>
  <c r="N1852" i="11" l="1"/>
  <c r="M1853" i="11"/>
  <c r="N1853" i="11" l="1"/>
  <c r="M1854" i="11"/>
  <c r="M1855" i="11" l="1"/>
  <c r="N1854" i="11"/>
  <c r="M1856" i="11" l="1"/>
  <c r="N1855" i="11"/>
  <c r="N1856" i="11" l="1"/>
  <c r="M1857" i="11"/>
  <c r="N1857" i="11" l="1"/>
  <c r="M1858" i="11"/>
  <c r="N1858" i="11" l="1"/>
  <c r="M1859" i="11"/>
  <c r="N1859" i="11" l="1"/>
  <c r="M1860" i="11"/>
  <c r="M1861" i="11" l="1"/>
  <c r="N1860" i="11"/>
  <c r="M1862" i="11" l="1"/>
  <c r="N1861" i="11"/>
  <c r="N1862" i="11" l="1"/>
  <c r="M1863" i="11"/>
  <c r="N1863" i="11" l="1"/>
  <c r="M1864" i="11"/>
  <c r="M1865" i="11" l="1"/>
  <c r="N1864" i="11"/>
  <c r="M1866" i="11" l="1"/>
  <c r="N1865" i="11"/>
  <c r="M1867" i="11" l="1"/>
  <c r="N1866" i="11"/>
  <c r="N1867" i="11" l="1"/>
  <c r="M1868" i="11"/>
  <c r="N1868" i="11" l="1"/>
  <c r="M1869" i="11"/>
  <c r="N1869" i="11" l="1"/>
  <c r="M1870" i="11"/>
  <c r="N1870" i="11" l="1"/>
  <c r="M1871" i="11"/>
  <c r="N1871" i="11" l="1"/>
  <c r="M1872" i="11"/>
  <c r="M1873" i="11" l="1"/>
  <c r="N1872" i="11"/>
  <c r="N1873" i="11" l="1"/>
  <c r="M1874" i="11"/>
  <c r="N1874" i="11" l="1"/>
  <c r="M1875" i="11"/>
  <c r="M1876" i="11" l="1"/>
  <c r="N1875" i="11"/>
  <c r="N1876" i="11" l="1"/>
  <c r="M1877" i="11"/>
  <c r="M1878" i="11" l="1"/>
  <c r="N1877" i="11"/>
  <c r="N1878" i="11" l="1"/>
  <c r="M1879" i="11"/>
  <c r="N1879" i="11" l="1"/>
  <c r="M1880" i="11"/>
  <c r="N1880" i="11" l="1"/>
  <c r="M1881" i="11"/>
  <c r="N1881" i="11" l="1"/>
  <c r="M1882" i="11"/>
  <c r="M1883" i="11" l="1"/>
  <c r="N1882" i="11"/>
  <c r="N1883" i="11" l="1"/>
  <c r="M1884" i="11"/>
  <c r="N1884" i="11" l="1"/>
  <c r="M1885" i="11"/>
  <c r="N1885" i="11" l="1"/>
  <c r="M1886" i="11"/>
  <c r="N1886" i="11" l="1"/>
  <c r="M1887" i="11"/>
  <c r="M1888" i="11" l="1"/>
  <c r="N1887" i="11"/>
  <c r="N1888" i="11" l="1"/>
  <c r="M1889" i="11"/>
  <c r="M1890" i="11" l="1"/>
  <c r="N1889" i="11"/>
  <c r="N1890" i="11" l="1"/>
  <c r="M1891" i="11"/>
  <c r="N1891" i="11" l="1"/>
  <c r="M1892" i="11"/>
  <c r="N1892" i="11" l="1"/>
  <c r="M1893" i="11"/>
  <c r="N1893" i="11" l="1"/>
  <c r="M1894" i="11"/>
  <c r="M1895" i="11" l="1"/>
  <c r="N1894" i="11"/>
  <c r="N1895" i="11" l="1"/>
  <c r="M1896" i="11"/>
  <c r="N1896" i="11" l="1"/>
  <c r="M1897" i="11"/>
  <c r="N1897" i="11" l="1"/>
  <c r="M1898" i="11"/>
  <c r="N1898" i="11" l="1"/>
  <c r="M1899" i="11"/>
  <c r="N1899" i="11" l="1"/>
  <c r="M1900" i="11"/>
  <c r="M1901" i="11" l="1"/>
  <c r="N1900" i="11"/>
  <c r="N1901" i="11" l="1"/>
  <c r="M1902" i="11"/>
  <c r="M1903" i="11" l="1"/>
  <c r="N1902" i="11"/>
  <c r="N1903" i="11" l="1"/>
  <c r="M1904" i="11"/>
  <c r="N1904" i="11" l="1"/>
  <c r="M1905" i="11"/>
  <c r="M1906" i="11" l="1"/>
  <c r="N1905" i="11"/>
  <c r="N1906" i="11" l="1"/>
  <c r="M1907" i="11"/>
  <c r="N1907" i="11" l="1"/>
  <c r="M1908" i="11"/>
  <c r="N1908" i="11" l="1"/>
  <c r="M1909" i="11"/>
  <c r="N1909" i="11" l="1"/>
  <c r="M1910" i="11"/>
  <c r="N1910" i="11" l="1"/>
  <c r="M1911" i="11"/>
  <c r="M1912" i="11" l="1"/>
  <c r="N1911" i="11"/>
  <c r="N1912" i="11" l="1"/>
  <c r="M1913" i="11"/>
  <c r="N1913" i="11" l="1"/>
  <c r="M1914" i="11"/>
  <c r="N1914" i="11" l="1"/>
  <c r="M1915" i="11"/>
  <c r="N1915" i="11" l="1"/>
  <c r="M1916" i="11"/>
  <c r="M1917" i="11" l="1"/>
  <c r="N1916" i="11"/>
  <c r="N1917" i="11" l="1"/>
  <c r="M1918" i="11"/>
  <c r="N1918" i="11" l="1"/>
  <c r="M1919" i="11"/>
  <c r="M1920" i="11" l="1"/>
  <c r="N1919" i="11"/>
  <c r="M1921" i="11" l="1"/>
  <c r="N1920" i="11"/>
  <c r="M1922" i="11" l="1"/>
  <c r="N1921" i="11"/>
  <c r="M1923" i="11" l="1"/>
  <c r="N1922" i="11"/>
  <c r="N1923" i="11" l="1"/>
  <c r="M1924" i="11"/>
  <c r="N1924" i="11" l="1"/>
  <c r="M1925" i="11"/>
  <c r="N1925" i="11" l="1"/>
  <c r="M1926" i="11"/>
  <c r="N1926" i="11" l="1"/>
  <c r="M1927" i="11"/>
  <c r="M1928" i="11" l="1"/>
  <c r="N1927" i="11"/>
  <c r="N1928" i="11" l="1"/>
  <c r="M1929" i="11"/>
  <c r="N1929" i="11" l="1"/>
  <c r="M1930" i="11"/>
  <c r="N1930" i="11" l="1"/>
  <c r="M1931" i="11"/>
  <c r="M1932" i="11" l="1"/>
  <c r="N1931" i="11"/>
  <c r="N1932" i="11" l="1"/>
  <c r="M1933" i="11"/>
  <c r="N1933" i="11" l="1"/>
  <c r="M1934" i="11"/>
  <c r="N1934" i="11" l="1"/>
  <c r="M1935" i="11"/>
  <c r="N1935" i="11" l="1"/>
  <c r="M1936" i="11"/>
  <c r="N1936" i="11" l="1"/>
  <c r="M1937" i="11"/>
  <c r="N1937" i="11" l="1"/>
  <c r="M1938" i="11"/>
  <c r="N1938" i="11" l="1"/>
  <c r="M1939" i="11"/>
  <c r="M1940" i="11" l="1"/>
  <c r="N1939" i="11"/>
  <c r="N1940" i="11" l="1"/>
  <c r="M1941" i="11"/>
  <c r="M1942" i="11" l="1"/>
  <c r="N1941" i="11"/>
  <c r="N1942" i="11" l="1"/>
  <c r="M1943" i="11"/>
  <c r="N1943" i="11" l="1"/>
  <c r="M1944" i="11"/>
  <c r="M1945" i="11" l="1"/>
  <c r="N1944" i="11"/>
  <c r="N1945" i="11" l="1"/>
  <c r="M1946" i="11"/>
  <c r="N1946" i="11" l="1"/>
  <c r="M1947" i="11"/>
  <c r="N1947" i="11" l="1"/>
  <c r="M1948" i="11"/>
  <c r="N1948" i="11" l="1"/>
  <c r="M1949" i="11"/>
  <c r="M1950" i="11" l="1"/>
  <c r="N1949" i="11"/>
  <c r="M1951" i="11" l="1"/>
  <c r="N1950" i="11"/>
  <c r="N1951" i="11" l="1"/>
  <c r="M1952" i="11"/>
  <c r="N1952" i="11" l="1"/>
  <c r="M1953" i="11"/>
  <c r="N1953" i="11" l="1"/>
  <c r="M1954" i="11"/>
  <c r="N1954" i="11" l="1"/>
  <c r="M1955" i="11"/>
  <c r="M1956" i="11" l="1"/>
  <c r="N1955" i="11"/>
  <c r="N1956" i="11" l="1"/>
  <c r="M1957" i="11"/>
  <c r="N1957" i="11" l="1"/>
  <c r="M1958" i="11"/>
  <c r="N1958" i="11" l="1"/>
  <c r="M1959" i="11"/>
  <c r="M1960" i="11" l="1"/>
  <c r="N1959" i="11"/>
  <c r="N1960" i="11" l="1"/>
  <c r="M1961" i="11"/>
  <c r="M1962" i="11" l="1"/>
  <c r="N1961" i="11"/>
  <c r="N1962" i="11" l="1"/>
  <c r="M1963" i="11"/>
  <c r="N1963" i="11" l="1"/>
  <c r="M1964" i="11"/>
  <c r="N1964" i="11" l="1"/>
  <c r="M1965" i="11"/>
  <c r="N1965" i="11" l="1"/>
  <c r="M1966" i="11"/>
  <c r="M1967" i="11" l="1"/>
  <c r="N1966" i="11"/>
  <c r="N1967" i="11" l="1"/>
  <c r="M1968" i="11"/>
  <c r="N1968" i="11" l="1"/>
  <c r="M1969" i="11"/>
  <c r="M1970" i="11" l="1"/>
  <c r="N1969" i="11"/>
  <c r="N1970" i="11" l="1"/>
  <c r="M1971" i="11"/>
  <c r="M1972" i="11" l="1"/>
  <c r="N1971" i="11"/>
  <c r="M1973" i="11" l="1"/>
  <c r="N1972" i="11"/>
  <c r="N1973" i="11" l="1"/>
  <c r="M1974" i="11"/>
  <c r="N1974" i="11" l="1"/>
  <c r="M1975" i="11"/>
  <c r="N1975" i="11" l="1"/>
  <c r="M1976" i="11"/>
  <c r="M1977" i="11" l="1"/>
  <c r="N1976" i="11"/>
  <c r="M1978" i="11" l="1"/>
  <c r="N1977" i="11"/>
  <c r="N1978" i="11" l="1"/>
  <c r="M1979" i="11"/>
  <c r="N1979" i="11" l="1"/>
  <c r="M1980" i="11"/>
  <c r="N1980" i="11" l="1"/>
  <c r="M1981" i="11"/>
  <c r="M1982" i="11" l="1"/>
  <c r="N1981" i="11"/>
  <c r="N1982" i="11" l="1"/>
  <c r="M1983" i="11"/>
  <c r="N1983" i="11" l="1"/>
  <c r="M1984" i="11"/>
  <c r="N1984" i="11" l="1"/>
  <c r="M1985" i="11"/>
  <c r="N1985" i="11" l="1"/>
  <c r="M1986" i="11"/>
  <c r="M1987" i="11" l="1"/>
  <c r="N1986" i="11"/>
  <c r="N1987" i="11" l="1"/>
  <c r="M1988" i="11"/>
  <c r="N1988" i="11" l="1"/>
  <c r="M1989" i="11"/>
  <c r="M1990" i="11" l="1"/>
  <c r="N1989" i="11"/>
  <c r="N1990" i="11" l="1"/>
  <c r="M1991" i="11"/>
  <c r="N1991" i="11" l="1"/>
  <c r="M1992" i="11"/>
  <c r="M1993" i="11" l="1"/>
  <c r="N1992" i="11"/>
  <c r="N1993" i="11" l="1"/>
  <c r="M1994" i="11"/>
  <c r="M1995" i="11" l="1"/>
  <c r="N1994" i="11"/>
  <c r="N1995" i="11" l="1"/>
  <c r="M1996" i="11"/>
  <c r="N1996" i="11" l="1"/>
  <c r="M1997" i="11"/>
  <c r="N1997" i="11" l="1"/>
  <c r="M1998" i="11"/>
  <c r="N1998" i="11" l="1"/>
  <c r="M1999" i="11"/>
  <c r="M2000" i="11" l="1"/>
  <c r="N1999" i="11"/>
  <c r="M2001" i="11" l="1"/>
  <c r="N2000" i="11"/>
  <c r="N2001" i="11" l="1"/>
  <c r="M2002" i="11"/>
  <c r="N2002" i="11" l="1"/>
  <c r="M2003" i="11"/>
  <c r="N2003" i="11" l="1"/>
  <c r="M2004" i="11"/>
  <c r="M2005" i="11" l="1"/>
  <c r="N2004" i="11"/>
  <c r="M2006" i="11" l="1"/>
  <c r="N2005" i="11"/>
  <c r="N2006" i="11" l="1"/>
  <c r="M2007" i="11"/>
  <c r="N2007" i="11" l="1"/>
  <c r="M2008" i="11"/>
  <c r="N2008" i="11" l="1"/>
  <c r="M2009" i="11"/>
  <c r="N2009" i="11" l="1"/>
  <c r="M2010" i="11"/>
  <c r="M2011" i="11" l="1"/>
  <c r="N2010" i="11"/>
  <c r="M2012" i="11" l="1"/>
  <c r="N2011" i="11"/>
  <c r="N2012" i="11" l="1"/>
  <c r="M2013" i="11"/>
  <c r="N2013" i="11" l="1"/>
  <c r="M2014" i="11"/>
  <c r="M2015" i="11" l="1"/>
  <c r="N2014" i="11"/>
  <c r="N2015" i="11" l="1"/>
  <c r="M2016" i="11"/>
  <c r="M2017" i="11" l="1"/>
  <c r="N2016" i="11"/>
  <c r="N2017" i="11" l="1"/>
  <c r="M2018" i="11"/>
  <c r="N2018" i="11" l="1"/>
  <c r="M2019" i="11"/>
  <c r="M2020" i="11" l="1"/>
  <c r="N2019" i="11"/>
  <c r="N2020" i="11" l="1"/>
  <c r="M2021" i="11"/>
  <c r="N2021" i="11" l="1"/>
  <c r="M2022" i="11"/>
  <c r="M2023" i="11" l="1"/>
  <c r="N2022" i="11"/>
  <c r="N2023" i="11" l="1"/>
  <c r="M2024" i="11"/>
  <c r="N2024" i="11" l="1"/>
  <c r="M2025" i="11"/>
  <c r="N2025" i="11" l="1"/>
  <c r="M2026" i="11"/>
  <c r="N2026" i="11" l="1"/>
  <c r="M2027" i="11"/>
  <c r="M2028" i="11" l="1"/>
  <c r="N2027" i="11"/>
  <c r="N2028" i="11" l="1"/>
  <c r="M2029" i="11"/>
  <c r="N2029" i="11" l="1"/>
  <c r="M2030" i="11"/>
  <c r="N2030" i="11" l="1"/>
  <c r="M2031" i="11"/>
  <c r="M2032" i="11" l="1"/>
  <c r="N2031" i="11"/>
  <c r="M2033" i="11" l="1"/>
  <c r="N2032" i="11"/>
  <c r="N2033" i="11" l="1"/>
  <c r="M2034" i="11"/>
  <c r="N2034" i="11" l="1"/>
  <c r="M2035" i="11"/>
  <c r="N2035" i="11" l="1"/>
  <c r="M2036" i="11"/>
  <c r="N2036" i="11" l="1"/>
  <c r="M2037" i="11"/>
  <c r="N2037" i="11" l="1"/>
  <c r="M2038" i="11"/>
  <c r="N2038" i="11" l="1"/>
  <c r="M2039" i="11"/>
  <c r="M2040" i="11" l="1"/>
  <c r="N2039" i="11"/>
  <c r="N2040" i="11" l="1"/>
  <c r="M2041" i="11"/>
  <c r="M2042" i="11" l="1"/>
  <c r="N2041" i="11"/>
  <c r="M2043" i="11" l="1"/>
  <c r="N2042" i="11"/>
  <c r="N2043" i="11" l="1"/>
  <c r="M2044" i="11"/>
  <c r="M2045" i="11" l="1"/>
  <c r="N2044" i="11"/>
  <c r="N2045" i="11" l="1"/>
  <c r="M2046" i="11"/>
  <c r="N2046" i="11" l="1"/>
  <c r="M2047" i="11"/>
  <c r="N2047" i="11" l="1"/>
  <c r="M2048" i="11"/>
  <c r="N2048" i="11" l="1"/>
  <c r="M2049" i="11"/>
  <c r="N2049" i="11" l="1"/>
  <c r="M2050" i="11"/>
  <c r="M2051" i="11" l="1"/>
  <c r="N2050" i="11"/>
  <c r="N2051" i="11" l="1"/>
  <c r="M2052" i="11"/>
  <c r="M2053" i="11" l="1"/>
  <c r="N2052" i="11"/>
  <c r="N2053" i="11" l="1"/>
  <c r="M2054" i="11"/>
  <c r="N2054" i="11" l="1"/>
  <c r="M2055" i="11"/>
  <c r="M2056" i="11" l="1"/>
  <c r="N2055" i="11"/>
  <c r="N2056" i="11" l="1"/>
  <c r="M2057" i="11"/>
  <c r="N2057" i="11" l="1"/>
  <c r="M2058" i="11"/>
  <c r="N2058" i="11" l="1"/>
  <c r="M2059" i="11"/>
  <c r="M2060" i="11" l="1"/>
  <c r="N2059" i="11"/>
  <c r="M2061" i="11" l="1"/>
  <c r="N2060" i="11"/>
  <c r="M2062" i="11" l="1"/>
  <c r="N2061" i="11"/>
  <c r="N2062" i="11" l="1"/>
  <c r="M2063" i="11"/>
  <c r="N2063" i="11" l="1"/>
  <c r="M2064" i="11"/>
  <c r="N2064" i="11" l="1"/>
  <c r="M2065" i="11"/>
  <c r="N2065" i="11" l="1"/>
  <c r="M2066" i="11"/>
  <c r="M2067" i="11" l="1"/>
  <c r="N2066" i="11"/>
  <c r="N2067" i="11" l="1"/>
  <c r="M2068" i="11"/>
  <c r="N2068" i="11" l="1"/>
  <c r="M2069" i="11"/>
  <c r="N2069" i="11" l="1"/>
  <c r="M2070" i="11"/>
  <c r="M2071" i="11" l="1"/>
  <c r="N2070" i="11"/>
  <c r="N2071" i="11" l="1"/>
  <c r="M2072" i="11"/>
  <c r="M2073" i="11" l="1"/>
  <c r="N2072" i="11"/>
  <c r="N2073" i="11" l="1"/>
  <c r="M2074" i="11"/>
  <c r="N2074" i="11" l="1"/>
  <c r="M2075" i="11"/>
  <c r="N2075" i="11" l="1"/>
  <c r="M2076" i="11"/>
  <c r="N2076" i="11" l="1"/>
  <c r="M2077" i="11"/>
  <c r="M2078" i="11" l="1"/>
  <c r="N2077" i="11"/>
  <c r="N2078" i="11" l="1"/>
  <c r="M2079" i="11"/>
  <c r="N2079" i="11" l="1"/>
  <c r="M2080" i="11"/>
  <c r="M2081" i="11" l="1"/>
  <c r="N2080" i="11"/>
  <c r="N2081" i="11" l="1"/>
  <c r="M2082" i="11"/>
  <c r="N2082" i="11" l="1"/>
  <c r="M2083" i="11"/>
  <c r="N2083" i="11" l="1"/>
  <c r="M2084" i="11"/>
  <c r="N2084" i="11" l="1"/>
  <c r="M2085" i="11"/>
  <c r="N2085" i="11" l="1"/>
  <c r="M2086" i="11"/>
  <c r="N2086" i="11" l="1"/>
  <c r="M2087" i="11"/>
  <c r="M2088" i="11" l="1"/>
  <c r="N2087" i="11"/>
  <c r="N2088" i="11" l="1"/>
  <c r="M2089" i="11"/>
  <c r="M2090" i="11" l="1"/>
  <c r="N2089" i="11"/>
  <c r="N2090" i="11" l="1"/>
  <c r="M2091" i="11"/>
  <c r="N2091" i="11" l="1"/>
  <c r="M2092" i="11"/>
  <c r="N2092" i="11" l="1"/>
  <c r="M2093" i="11"/>
  <c r="N2093" i="11" l="1"/>
  <c r="M2094" i="11"/>
  <c r="M2095" i="11" l="1"/>
  <c r="N2094" i="11"/>
  <c r="N2095" i="11" l="1"/>
  <c r="M2096" i="11"/>
  <c r="N2096" i="11" l="1"/>
  <c r="M2097" i="11"/>
  <c r="M2098" i="11" l="1"/>
  <c r="N2097" i="11"/>
  <c r="N2098" i="11" l="1"/>
  <c r="M2099" i="11"/>
  <c r="N2099" i="11" l="1"/>
  <c r="M2100" i="11"/>
  <c r="M2101" i="11" l="1"/>
  <c r="N2100" i="11"/>
  <c r="N2101" i="11" l="1"/>
  <c r="M2102" i="11"/>
  <c r="M2103" i="11" l="1"/>
  <c r="N2102" i="11"/>
  <c r="N2103" i="11" l="1"/>
  <c r="M2104" i="11"/>
  <c r="N2104" i="11" l="1"/>
  <c r="M2105" i="11"/>
  <c r="M2106" i="11" l="1"/>
  <c r="N2105" i="11"/>
  <c r="N2106" i="11" l="1"/>
  <c r="M2107" i="11"/>
  <c r="N2107" i="11" l="1"/>
  <c r="M2108" i="11"/>
  <c r="N2108" i="11" l="1"/>
  <c r="M2109" i="11"/>
  <c r="N2109" i="11" l="1"/>
  <c r="M2110" i="11"/>
  <c r="M2111" i="11" l="1"/>
  <c r="N2110" i="11"/>
  <c r="M2112" i="11" l="1"/>
  <c r="N2111" i="11"/>
  <c r="N2112" i="11" l="1"/>
  <c r="M2113" i="11"/>
  <c r="N2113" i="11" l="1"/>
  <c r="M2114" i="11"/>
  <c r="M2115" i="11" l="1"/>
  <c r="N2114" i="11"/>
  <c r="M2116" i="11" l="1"/>
  <c r="N2115" i="11"/>
  <c r="M2117" i="11" l="1"/>
  <c r="N2116" i="11"/>
  <c r="N2117" i="11" l="1"/>
  <c r="M2118" i="11"/>
  <c r="N2118" i="11" l="1"/>
  <c r="M2119" i="11"/>
  <c r="N2119" i="11" l="1"/>
  <c r="M2120" i="11"/>
  <c r="N2120" i="11" l="1"/>
  <c r="M2121" i="11"/>
  <c r="N2121" i="11" l="1"/>
  <c r="M2122" i="11"/>
  <c r="M2123" i="11" l="1"/>
  <c r="N2122" i="11"/>
  <c r="N2123" i="11" l="1"/>
  <c r="M2124" i="11"/>
  <c r="N2124" i="11" l="1"/>
  <c r="M2125" i="11"/>
  <c r="M2126" i="11" l="1"/>
  <c r="N2125" i="11"/>
  <c r="N2126" i="11" l="1"/>
  <c r="M2127" i="11"/>
  <c r="M2128" i="11" l="1"/>
  <c r="N2127" i="11"/>
  <c r="N2128" i="11" l="1"/>
  <c r="M2129" i="11"/>
  <c r="N2129" i="11" l="1"/>
  <c r="M2130" i="11"/>
  <c r="M2131" i="11" l="1"/>
  <c r="N2130" i="11"/>
  <c r="N2131" i="11" l="1"/>
  <c r="M2132" i="11"/>
  <c r="N2132" i="11" l="1"/>
  <c r="M2133" i="11"/>
  <c r="N2133" i="11" l="1"/>
  <c r="M2134" i="11"/>
  <c r="N2134" i="11" l="1"/>
  <c r="M2135" i="11"/>
  <c r="N2135" i="11" l="1"/>
  <c r="M2136" i="11"/>
  <c r="N2136" i="11" l="1"/>
  <c r="M2137" i="11"/>
  <c r="M2138" i="11" l="1"/>
  <c r="N2137" i="11"/>
  <c r="N2138" i="11" l="1"/>
  <c r="M2139" i="11"/>
  <c r="M2140" i="11" l="1"/>
  <c r="N2139" i="11"/>
  <c r="N2140" i="11" l="1"/>
  <c r="M2141" i="11"/>
  <c r="N2141" i="11" l="1"/>
  <c r="M2142" i="11"/>
  <c r="N2142" i="11" l="1"/>
  <c r="M2143" i="11"/>
  <c r="N2143" i="11" l="1"/>
  <c r="M2144" i="11"/>
  <c r="M2145" i="11" l="1"/>
  <c r="N2144" i="11"/>
  <c r="N2145" i="11" l="1"/>
  <c r="M2146" i="11"/>
  <c r="N2146" i="11" l="1"/>
  <c r="M2147" i="11"/>
  <c r="N2147" i="11" l="1"/>
  <c r="M2148" i="11"/>
  <c r="N2148" i="11" l="1"/>
  <c r="M2149" i="11"/>
  <c r="N2149" i="11" l="1"/>
  <c r="M2150" i="11"/>
  <c r="M2151" i="11" l="1"/>
  <c r="N2150" i="11"/>
  <c r="N2151" i="11" l="1"/>
  <c r="M2152" i="11"/>
  <c r="M2153" i="11" l="1"/>
  <c r="N2152" i="11"/>
  <c r="N2153" i="11" l="1"/>
  <c r="M2154" i="11"/>
  <c r="N2154" i="11" l="1"/>
  <c r="M2155" i="11"/>
  <c r="M2156" i="11" l="1"/>
  <c r="N2155" i="11"/>
  <c r="N2156" i="11" l="1"/>
  <c r="M2157" i="11"/>
  <c r="N2157" i="11" l="1"/>
  <c r="M2158" i="11"/>
  <c r="N2158" i="11" l="1"/>
  <c r="M2159" i="11"/>
  <c r="N2159" i="11" l="1"/>
  <c r="M2160" i="11"/>
  <c r="M2161" i="11" l="1"/>
  <c r="N2160" i="11"/>
  <c r="N2161" i="11" l="1"/>
  <c r="M2162" i="11"/>
  <c r="N2162" i="11" l="1"/>
  <c r="M2163" i="11"/>
  <c r="N2163" i="11" l="1"/>
  <c r="M2164" i="11"/>
  <c r="N2164" i="11" l="1"/>
  <c r="M2165" i="11"/>
  <c r="M2166" i="11" l="1"/>
  <c r="N2165" i="11"/>
  <c r="N2166" i="11" l="1"/>
  <c r="M2167" i="11"/>
  <c r="N2167" i="11" l="1"/>
  <c r="M2168" i="11"/>
  <c r="N2168" i="11" l="1"/>
  <c r="M2169" i="11"/>
  <c r="M2170" i="11" l="1"/>
  <c r="N2169" i="11"/>
  <c r="M2171" i="11" l="1"/>
  <c r="N2170" i="11"/>
  <c r="N2171" i="11" l="1"/>
  <c r="M2172" i="11"/>
  <c r="N2172" i="11" l="1"/>
  <c r="M2173" i="11"/>
  <c r="N2173" i="11" l="1"/>
  <c r="M2174" i="11"/>
  <c r="N2174" i="11" l="1"/>
  <c r="M2175" i="11"/>
  <c r="M2176" i="11" l="1"/>
  <c r="N2175" i="11"/>
  <c r="N2176" i="11" l="1"/>
  <c r="M2177" i="11"/>
  <c r="N2177" i="11" l="1"/>
  <c r="M2178" i="11"/>
  <c r="M2179" i="11" l="1"/>
  <c r="N2178" i="11"/>
  <c r="N2179" i="11" l="1"/>
  <c r="M2180" i="11"/>
  <c r="M2181" i="11" l="1"/>
  <c r="N2180" i="11"/>
  <c r="N2181" i="11" l="1"/>
  <c r="M2182" i="11"/>
  <c r="N2182" i="11" l="1"/>
  <c r="M2183" i="11"/>
  <c r="N2183" i="11" l="1"/>
  <c r="M2184" i="11"/>
  <c r="M2185" i="11" l="1"/>
  <c r="N2184" i="11"/>
  <c r="M2186" i="11" l="1"/>
  <c r="N2185" i="11"/>
  <c r="N2186" i="11" l="1"/>
  <c r="M2187" i="11"/>
  <c r="N2187" i="11" l="1"/>
  <c r="M2188" i="11"/>
  <c r="N2188" i="11" l="1"/>
  <c r="M2189" i="11"/>
  <c r="N2189" i="11" l="1"/>
  <c r="M2190" i="11"/>
  <c r="M2191" i="11" l="1"/>
  <c r="N2190" i="11"/>
  <c r="N2191" i="11" l="1"/>
  <c r="M2192" i="11"/>
  <c r="N2192" i="11" l="1"/>
  <c r="M2193" i="11"/>
  <c r="N2193" i="11" l="1"/>
  <c r="M2194" i="11"/>
  <c r="M2195" i="11" l="1"/>
  <c r="N2194" i="11"/>
  <c r="M2196" i="11" l="1"/>
  <c r="N2195" i="11"/>
  <c r="N2196" i="11" l="1"/>
  <c r="M2197" i="11"/>
  <c r="N2197" i="11" l="1"/>
  <c r="M2198" i="11"/>
  <c r="N2198" i="11" l="1"/>
  <c r="M2199" i="11"/>
  <c r="N2199" i="11" l="1"/>
  <c r="M2200" i="11"/>
  <c r="M2201" i="11" l="1"/>
  <c r="N2200" i="11"/>
  <c r="N2201" i="11" l="1"/>
  <c r="M2202" i="11"/>
  <c r="N2202" i="11" l="1"/>
  <c r="M2203" i="11"/>
  <c r="M2204" i="11" l="1"/>
  <c r="N2203" i="11"/>
  <c r="N2204" i="11" l="1"/>
  <c r="M2205" i="11"/>
  <c r="M2206" i="11" l="1"/>
  <c r="N2205" i="11"/>
  <c r="N2206" i="11" l="1"/>
  <c r="M2207" i="11"/>
  <c r="N2207" i="11" l="1"/>
  <c r="M2208" i="11"/>
  <c r="N2208" i="11" l="1"/>
  <c r="M2209" i="11"/>
  <c r="N2209" i="11" l="1"/>
  <c r="M2210" i="11"/>
  <c r="M2211" i="11" l="1"/>
  <c r="N2210" i="11"/>
  <c r="N2211" i="11" l="1"/>
  <c r="M2212" i="11"/>
  <c r="N2212" i="11" l="1"/>
  <c r="M2213" i="11"/>
  <c r="N2213" i="11" l="1"/>
  <c r="M2214" i="11"/>
  <c r="N2214" i="11" l="1"/>
  <c r="M2215" i="11"/>
  <c r="M2216" i="11" l="1"/>
  <c r="N2215" i="11"/>
  <c r="N2216" i="11" l="1"/>
  <c r="M2217" i="11"/>
  <c r="N2217" i="11" l="1"/>
  <c r="M2218" i="11"/>
  <c r="N2218" i="11" l="1"/>
  <c r="M2219" i="11"/>
  <c r="M2220" i="11" l="1"/>
  <c r="N2219" i="11"/>
  <c r="M2221" i="11" l="1"/>
  <c r="N2220" i="11"/>
  <c r="N2221" i="11" l="1"/>
  <c r="M2222" i="11"/>
  <c r="N2222" i="11" l="1"/>
  <c r="M2223" i="11"/>
  <c r="N2223" i="11" l="1"/>
  <c r="M2224" i="11"/>
  <c r="N2224" i="11" l="1"/>
  <c r="M2225" i="11"/>
  <c r="M2226" i="11" l="1"/>
  <c r="N2225" i="11"/>
  <c r="N2226" i="11" l="1"/>
  <c r="M2227" i="11"/>
  <c r="N2227" i="11" l="1"/>
  <c r="M2228" i="11"/>
  <c r="M2229" i="11" l="1"/>
  <c r="N2228" i="11"/>
  <c r="N2229" i="11" l="1"/>
  <c r="M2230" i="11"/>
  <c r="M2231" i="11" l="1"/>
  <c r="N2230" i="11"/>
  <c r="N2231" i="11" l="1"/>
  <c r="M2232" i="11"/>
  <c r="N2232" i="11" l="1"/>
  <c r="M2233" i="11"/>
  <c r="N2233" i="11" l="1"/>
  <c r="M2234" i="11"/>
  <c r="N2234" i="11" l="1"/>
  <c r="M2235" i="11"/>
  <c r="M2236" i="11" l="1"/>
  <c r="N2235" i="11"/>
  <c r="N2236" i="11" l="1"/>
  <c r="M2237" i="11"/>
  <c r="N2237" i="11" l="1"/>
  <c r="M2238" i="11"/>
  <c r="N2238" i="11" l="1"/>
  <c r="M2239" i="11"/>
  <c r="M2240" i="11" l="1"/>
  <c r="N2239" i="11"/>
  <c r="M2241" i="11" l="1"/>
  <c r="N2240" i="11"/>
  <c r="N2241" i="11" l="1"/>
  <c r="M2242" i="11"/>
  <c r="N2242" i="11" l="1"/>
  <c r="M2243" i="11"/>
  <c r="N2243" i="11" l="1"/>
  <c r="M2244" i="11"/>
  <c r="M2245" i="11" l="1"/>
  <c r="N2244" i="11"/>
  <c r="M2246" i="11" l="1"/>
  <c r="N2245" i="11"/>
  <c r="N2246" i="11" l="1"/>
  <c r="M2247" i="11"/>
  <c r="N2247" i="11" l="1"/>
  <c r="M2248" i="11"/>
  <c r="N2248" i="11" l="1"/>
  <c r="M2249" i="11"/>
  <c r="N2249" i="11" l="1"/>
  <c r="M2250" i="11"/>
  <c r="M2251" i="11" l="1"/>
  <c r="N2250" i="11"/>
  <c r="N2251" i="11" l="1"/>
  <c r="M2252" i="11"/>
  <c r="N2252" i="11" l="1"/>
  <c r="M2253" i="11"/>
  <c r="M2254" i="11" l="1"/>
  <c r="N2253" i="11"/>
  <c r="N2254" i="11" l="1"/>
  <c r="M2255" i="11"/>
  <c r="M2256" i="11" l="1"/>
  <c r="N2255" i="11"/>
  <c r="N2256" i="11" l="1"/>
  <c r="M2257" i="11"/>
  <c r="N2257" i="11" l="1"/>
  <c r="M2258" i="11"/>
  <c r="N2258" i="11" l="1"/>
  <c r="M2259" i="11"/>
  <c r="M2260" i="11" l="1"/>
  <c r="N2259" i="11"/>
  <c r="M2261" i="11" l="1"/>
  <c r="N2260" i="11"/>
  <c r="N2261" i="11" l="1"/>
  <c r="M2262" i="11"/>
  <c r="N2262" i="11" l="1"/>
  <c r="M2263" i="11"/>
  <c r="N2263" i="11" l="1"/>
  <c r="M2264" i="11"/>
  <c r="N2264" i="11" l="1"/>
  <c r="M2265" i="11"/>
  <c r="M2266" i="11" l="1"/>
  <c r="N2265" i="11"/>
  <c r="N2266" i="11" l="1"/>
  <c r="M2267" i="11"/>
  <c r="N2267" i="11" l="1"/>
  <c r="M2268" i="11"/>
  <c r="M2269" i="11" l="1"/>
  <c r="N2268" i="11"/>
  <c r="M2270" i="11" l="1"/>
  <c r="N2269" i="11"/>
  <c r="M2271" i="11" l="1"/>
  <c r="N2270" i="11"/>
  <c r="N2271" i="11" l="1"/>
  <c r="M2272" i="11"/>
  <c r="N2272" i="11" l="1"/>
  <c r="M2273" i="11"/>
  <c r="M2274" i="11" l="1"/>
  <c r="N2273" i="11"/>
  <c r="N2274" i="11" l="1"/>
  <c r="M2275" i="11"/>
  <c r="M2276" i="11" l="1"/>
  <c r="N2275" i="11"/>
  <c r="N2276" i="11" l="1"/>
  <c r="M2277" i="11"/>
  <c r="N2277" i="11" l="1"/>
  <c r="M2278" i="11"/>
  <c r="M2279" i="11" l="1"/>
  <c r="N2278" i="11"/>
  <c r="N2279" i="11" l="1"/>
  <c r="M2280" i="11"/>
  <c r="M2281" i="11" l="1"/>
  <c r="N2280" i="11"/>
  <c r="N2281" i="11" l="1"/>
  <c r="M2282" i="11"/>
  <c r="N2282" i="11" l="1"/>
  <c r="M2283" i="11"/>
  <c r="N2283" i="11" l="1"/>
  <c r="M2284" i="11"/>
  <c r="N2284" i="11" l="1"/>
  <c r="M2285" i="11"/>
  <c r="M2286" i="11" l="1"/>
  <c r="N2285" i="11"/>
  <c r="N2286" i="11" l="1"/>
  <c r="M2287" i="11"/>
  <c r="N2287" i="11" l="1"/>
  <c r="M2288" i="11"/>
  <c r="N2288" i="11" l="1"/>
  <c r="M2289" i="11"/>
  <c r="N2289" i="11" l="1"/>
  <c r="M2290" i="11"/>
  <c r="M2291" i="11" l="1"/>
  <c r="N2290" i="11"/>
  <c r="N2291" i="11" l="1"/>
  <c r="M2292" i="11"/>
  <c r="N2292" i="11" l="1"/>
  <c r="M2293" i="11"/>
  <c r="N2293" i="11" l="1"/>
  <c r="M2294" i="11"/>
  <c r="M2295" i="11" l="1"/>
  <c r="N2294" i="11"/>
  <c r="M2296" i="11" l="1"/>
  <c r="N2295" i="11"/>
  <c r="N2296" i="11" l="1"/>
  <c r="M2297" i="11"/>
  <c r="N2297" i="11" l="1"/>
  <c r="M2298" i="11"/>
  <c r="N2298" i="11" l="1"/>
  <c r="M2299" i="11"/>
  <c r="N2299" i="11" l="1"/>
  <c r="M2300" i="11"/>
  <c r="M2301" i="11" l="1"/>
  <c r="N2300" i="11"/>
  <c r="N2301" i="11" l="1"/>
  <c r="M2302" i="11"/>
  <c r="N2302" i="11" l="1"/>
  <c r="M2303" i="11"/>
  <c r="M2304" i="11" l="1"/>
  <c r="N2303" i="11"/>
  <c r="N2304" i="11" l="1"/>
  <c r="M2305" i="11"/>
  <c r="M2306" i="11" l="1"/>
  <c r="N2305" i="11"/>
  <c r="N2306" i="11" l="1"/>
  <c r="M2307" i="11"/>
  <c r="N2307" i="11" l="1"/>
  <c r="M2308" i="11"/>
  <c r="N2308" i="11" l="1"/>
  <c r="M2309" i="11"/>
  <c r="M2310" i="11" l="1"/>
  <c r="N2309" i="11"/>
  <c r="M2311" i="11" l="1"/>
  <c r="N2310" i="11"/>
  <c r="N2311" i="11" l="1"/>
  <c r="M2312" i="11"/>
  <c r="N2312" i="11" l="1"/>
  <c r="M2313" i="11"/>
  <c r="N2313" i="11" l="1"/>
  <c r="M2314" i="11"/>
  <c r="N2314" i="11" l="1"/>
  <c r="M2315" i="11"/>
  <c r="M2316" i="11" l="1"/>
  <c r="N2315" i="11"/>
  <c r="N2316" i="11" l="1"/>
  <c r="M2317" i="11"/>
  <c r="N2317" i="11" l="1"/>
  <c r="M2318" i="11"/>
  <c r="N2318" i="11" l="1"/>
  <c r="M2319" i="11"/>
  <c r="M2320" i="11" l="1"/>
  <c r="N2319" i="11"/>
  <c r="M2321" i="11" l="1"/>
  <c r="N2320" i="11"/>
  <c r="N2321" i="11" l="1"/>
  <c r="M2322" i="11"/>
  <c r="N2322" i="11" l="1"/>
  <c r="M2323" i="11"/>
  <c r="N2323" i="11" l="1"/>
  <c r="M2324" i="11"/>
  <c r="N2324" i="11" l="1"/>
  <c r="M2325" i="11"/>
  <c r="M2326" i="11" l="1"/>
  <c r="N2325" i="11"/>
  <c r="N2326" i="11" l="1"/>
  <c r="M2327" i="11"/>
  <c r="N2327" i="11" l="1"/>
  <c r="M2328" i="11"/>
  <c r="M2329" i="11" l="1"/>
  <c r="N2328" i="11"/>
  <c r="N2329" i="11" l="1"/>
  <c r="M2330" i="11"/>
  <c r="M2331" i="11" l="1"/>
  <c r="N2330" i="11"/>
  <c r="N2331" i="11" l="1"/>
  <c r="M2332" i="11"/>
  <c r="N2332" i="11" l="1"/>
  <c r="M2333" i="11"/>
  <c r="N2333" i="11" l="1"/>
  <c r="M2334" i="11"/>
  <c r="N2334" i="11" l="1"/>
  <c r="M2335" i="11"/>
  <c r="M2336" i="11" l="1"/>
  <c r="N2335" i="11"/>
  <c r="N2336" i="11" l="1"/>
  <c r="M2337" i="11"/>
  <c r="N2337" i="11" l="1"/>
  <c r="M2338" i="11"/>
  <c r="N2338" i="11" l="1"/>
  <c r="M2339" i="11"/>
  <c r="M2340" i="11" l="1"/>
  <c r="N2339" i="11"/>
  <c r="M2341" i="11" l="1"/>
  <c r="N2340" i="11"/>
  <c r="N2341" i="11" l="1"/>
  <c r="M2342" i="11"/>
  <c r="N2342" i="11" l="1"/>
  <c r="M2343" i="11"/>
  <c r="M2344" i="11" l="1"/>
  <c r="N2343" i="11"/>
  <c r="M2345" i="11" l="1"/>
  <c r="N2344" i="11"/>
  <c r="M2346" i="11" l="1"/>
  <c r="N2345" i="11"/>
  <c r="N2346" i="11" l="1"/>
  <c r="M2347" i="11"/>
  <c r="N2347" i="11" l="1"/>
  <c r="M2348" i="11"/>
  <c r="N2348" i="11" l="1"/>
  <c r="M2349" i="11"/>
  <c r="N2349" i="11" l="1"/>
  <c r="M2350" i="11"/>
  <c r="M2351" i="11" l="1"/>
  <c r="N2350" i="11"/>
  <c r="N2351" i="11" l="1"/>
  <c r="M2352" i="11"/>
  <c r="N2352" i="11" l="1"/>
  <c r="M2353" i="11"/>
  <c r="M2354" i="11" l="1"/>
  <c r="N2353" i="11"/>
  <c r="N2354" i="11" l="1"/>
  <c r="M2355" i="11"/>
  <c r="M2356" i="11" l="1"/>
  <c r="N2355" i="11"/>
  <c r="N2356" i="11" l="1"/>
  <c r="M2357" i="11"/>
  <c r="N2357" i="11" l="1"/>
  <c r="M2358" i="11"/>
  <c r="N2358" i="11" l="1"/>
  <c r="M2359" i="11"/>
  <c r="N2359" i="11" l="1"/>
  <c r="M2360" i="11"/>
  <c r="M2361" i="11" l="1"/>
  <c r="N2360" i="11"/>
  <c r="N2361" i="11" l="1"/>
  <c r="M2362" i="11"/>
  <c r="N2362" i="11" l="1"/>
  <c r="M2363" i="11"/>
  <c r="N2363" i="11" l="1"/>
  <c r="M2364" i="11"/>
  <c r="N2364" i="11" l="1"/>
  <c r="M2365" i="11"/>
  <c r="M2366" i="11" l="1"/>
  <c r="N2365" i="11"/>
  <c r="N2366" i="11" l="1"/>
  <c r="M2367" i="11"/>
  <c r="N2367" i="11" l="1"/>
  <c r="M2368" i="11"/>
  <c r="N2368" i="11" l="1"/>
  <c r="M2369" i="11"/>
  <c r="M2370" i="11" l="1"/>
  <c r="N2369" i="11"/>
  <c r="M2371" i="11" l="1"/>
  <c r="N2370" i="11"/>
  <c r="N2371" i="11" l="1"/>
  <c r="M2372" i="11"/>
  <c r="N2372" i="11" l="1"/>
  <c r="M2373" i="11"/>
  <c r="M2374" i="11" l="1"/>
  <c r="N2373" i="11"/>
  <c r="N2374" i="11" l="1"/>
  <c r="M2375" i="11"/>
  <c r="M2376" i="11" l="1"/>
  <c r="N2375" i="11"/>
  <c r="N2376" i="11" l="1"/>
  <c r="M2377" i="11"/>
  <c r="N2377" i="11" l="1"/>
  <c r="M2378" i="11"/>
  <c r="M2379" i="11" l="1"/>
  <c r="N2378" i="11"/>
  <c r="N2379" i="11" l="1"/>
  <c r="M2380" i="11"/>
  <c r="M2381" i="11" l="1"/>
  <c r="N2380" i="11"/>
  <c r="N2381" i="11" l="1"/>
  <c r="M2382" i="11"/>
  <c r="N2382" i="11" l="1"/>
  <c r="M2383" i="11"/>
  <c r="N2383" i="11" l="1"/>
  <c r="M2384" i="11"/>
  <c r="N2384" i="11" l="1"/>
  <c r="M2385" i="11"/>
  <c r="M2386" i="11" l="1"/>
  <c r="N2385" i="11"/>
  <c r="N2386" i="11" l="1"/>
  <c r="M2387" i="11"/>
  <c r="N2387" i="11" l="1"/>
  <c r="M2388" i="11"/>
  <c r="N2388" i="11" l="1"/>
  <c r="M2389" i="11"/>
  <c r="N2389" i="11" l="1"/>
  <c r="M2390" i="11"/>
  <c r="M2391" i="11" l="1"/>
  <c r="N2390" i="11"/>
  <c r="N2391" i="11" l="1"/>
  <c r="M2392" i="11"/>
  <c r="N2392" i="11" l="1"/>
  <c r="M2393" i="11"/>
  <c r="M2394" i="11" l="1"/>
  <c r="N2393" i="11"/>
  <c r="N2394" i="11" l="1"/>
  <c r="M2395" i="11"/>
  <c r="M2396" i="11" l="1"/>
  <c r="N2395" i="11"/>
  <c r="N2396" i="11" l="1"/>
  <c r="M2397" i="11"/>
  <c r="N2397" i="11" l="1"/>
  <c r="M2398" i="11"/>
  <c r="M2399" i="11" l="1"/>
  <c r="N2398" i="11"/>
  <c r="N2399" i="11" l="1"/>
  <c r="M2400" i="11"/>
  <c r="M2401" i="11" l="1"/>
  <c r="N2400" i="11"/>
  <c r="N2401" i="11" l="1"/>
  <c r="M2402" i="11"/>
  <c r="N2402" i="11" l="1"/>
  <c r="M2403" i="11"/>
  <c r="N2403" i="11" l="1"/>
  <c r="M2404" i="11"/>
  <c r="N2404" i="11" l="1"/>
  <c r="M2405" i="11"/>
  <c r="M2406" i="11" l="1"/>
  <c r="N2405" i="11"/>
  <c r="N2406" i="11" l="1"/>
  <c r="M2407" i="11"/>
  <c r="N2407" i="11" l="1"/>
  <c r="M2408" i="11"/>
  <c r="M2409" i="11" l="1"/>
  <c r="N2408" i="11"/>
  <c r="N2409" i="11" l="1"/>
  <c r="M2410" i="11"/>
  <c r="N2410" i="11" l="1"/>
  <c r="M2411" i="11"/>
  <c r="N2411" i="11" l="1"/>
  <c r="M2412" i="11"/>
  <c r="N2412" i="11" l="1"/>
  <c r="M2413" i="11"/>
  <c r="N2413" i="11" l="1"/>
  <c r="M2414" i="11"/>
  <c r="M2415" i="11" l="1"/>
  <c r="N2414" i="11"/>
  <c r="N2415" i="11" l="1"/>
  <c r="M2416" i="11"/>
  <c r="N2416" i="11" l="1"/>
  <c r="M2417" i="11"/>
  <c r="N2417" i="11" l="1"/>
  <c r="M2418" i="11"/>
  <c r="N2418" i="11" l="1"/>
  <c r="M2419" i="11"/>
  <c r="M2420" i="11" l="1"/>
  <c r="N2419" i="11"/>
  <c r="N2420" i="11" l="1"/>
  <c r="M2421" i="11"/>
  <c r="N2421" i="11" l="1"/>
  <c r="M2422" i="11"/>
  <c r="N2422" i="11" l="1"/>
  <c r="M2423" i="11"/>
  <c r="N2423" i="11" l="1"/>
  <c r="M2424" i="11"/>
  <c r="M2425" i="11" l="1"/>
  <c r="N2424" i="11"/>
  <c r="N2425" i="11" l="1"/>
  <c r="M2426" i="11"/>
  <c r="N2426" i="11" l="1"/>
  <c r="M2427" i="11"/>
  <c r="N2427" i="11" l="1"/>
  <c r="M2428" i="11"/>
  <c r="N2428" i="11" l="1"/>
  <c r="M2429" i="11"/>
  <c r="M2430" i="11" l="1"/>
  <c r="N2429" i="11"/>
  <c r="N2430" i="11" l="1"/>
  <c r="M2431" i="11"/>
  <c r="N2431" i="11" l="1"/>
  <c r="M2432" i="11"/>
  <c r="N2432" i="11" l="1"/>
  <c r="M2433" i="11"/>
  <c r="N2433" i="11" l="1"/>
  <c r="M2434" i="11"/>
  <c r="M2435" i="11" l="1"/>
  <c r="N2434" i="11"/>
  <c r="M2436" i="11" l="1"/>
  <c r="N2435" i="11"/>
  <c r="N2436" i="11" l="1"/>
  <c r="M2437" i="11"/>
  <c r="N2437" i="11" l="1"/>
  <c r="M2438" i="11"/>
  <c r="N2438" i="11" l="1"/>
  <c r="M2439" i="11"/>
  <c r="N2439" i="11" l="1"/>
  <c r="M2440" i="11"/>
  <c r="M2441" i="11" l="1"/>
  <c r="N2440" i="11"/>
  <c r="N2441" i="11" l="1"/>
  <c r="M2442" i="11"/>
  <c r="N2442" i="11" l="1"/>
  <c r="M2443" i="11"/>
  <c r="M2444" i="11" l="1"/>
  <c r="N2443" i="11"/>
  <c r="N2444" i="11" l="1"/>
  <c r="M2445" i="11"/>
  <c r="M2446" i="11" l="1"/>
  <c r="N2445" i="11"/>
  <c r="N2446" i="11" l="1"/>
  <c r="M2447" i="11"/>
  <c r="N2447" i="11" l="1"/>
  <c r="M2448" i="11"/>
  <c r="N2448" i="11" l="1"/>
  <c r="M2449" i="11"/>
  <c r="M2450" i="11" l="1"/>
  <c r="N2449" i="11"/>
  <c r="M2451" i="11" l="1"/>
  <c r="N2450" i="11"/>
  <c r="N2451" i="11" l="1"/>
  <c r="M2452" i="11"/>
  <c r="N2452" i="11" l="1"/>
  <c r="M2453" i="11"/>
  <c r="N2453" i="11" l="1"/>
  <c r="M2454" i="11"/>
  <c r="N2454" i="11" l="1"/>
  <c r="M2455" i="11"/>
  <c r="M2456" i="11" l="1"/>
  <c r="N2455" i="11"/>
  <c r="N2456" i="11" l="1"/>
  <c r="M2457" i="11"/>
  <c r="N2457" i="11" l="1"/>
  <c r="M2458" i="11"/>
  <c r="M2459" i="11" l="1"/>
  <c r="N2458" i="11"/>
  <c r="N2459" i="11" l="1"/>
  <c r="M2460" i="11"/>
  <c r="N2460" i="11" l="1"/>
  <c r="M2461" i="11"/>
  <c r="N2461" i="11" l="1"/>
  <c r="M2462" i="11"/>
  <c r="N2462" i="11" l="1"/>
  <c r="M2463" i="11"/>
  <c r="M2464" i="11" l="1"/>
  <c r="N2463" i="11"/>
  <c r="M2465" i="11" l="1"/>
  <c r="N2464" i="11"/>
  <c r="N2465" i="11" l="1"/>
  <c r="M2466" i="11"/>
  <c r="N2466" i="11" l="1"/>
  <c r="M2467" i="11"/>
  <c r="N2467" i="11" l="1"/>
  <c r="M2468" i="11"/>
  <c r="M2469" i="11" l="1"/>
  <c r="N2468" i="11"/>
  <c r="M2470" i="11" l="1"/>
  <c r="N2469" i="11"/>
  <c r="N2470" i="11" l="1"/>
  <c r="M2471" i="11"/>
  <c r="N2471" i="11" l="1"/>
  <c r="M2472" i="11"/>
  <c r="N2472" i="11" l="1"/>
  <c r="M2473" i="11"/>
  <c r="N2473" i="11" l="1"/>
  <c r="M2474" i="11"/>
  <c r="N2474" i="11" l="1"/>
  <c r="M2475" i="11"/>
  <c r="N2475" i="11" l="1"/>
  <c r="M2476" i="11"/>
  <c r="N2476" i="11" l="1"/>
  <c r="M2477" i="11"/>
  <c r="N2477" i="11" l="1"/>
  <c r="M2478" i="11"/>
  <c r="N2478" i="11" l="1"/>
  <c r="M2479" i="11"/>
  <c r="M2480" i="11" l="1"/>
  <c r="N2479" i="11"/>
  <c r="N2480" i="11" l="1"/>
  <c r="M2481" i="11"/>
  <c r="N2481" i="11" l="1"/>
  <c r="M2482" i="11"/>
  <c r="N2482" i="11" l="1"/>
  <c r="M2483" i="11"/>
  <c r="N2483" i="11" l="1"/>
  <c r="M2484" i="11"/>
  <c r="N2484" i="11" l="1"/>
  <c r="M2485" i="11"/>
  <c r="M2486" i="11" l="1"/>
  <c r="N2485" i="11"/>
  <c r="N2486" i="11" l="1"/>
  <c r="M2487" i="11"/>
  <c r="N2487" i="11" l="1"/>
  <c r="M2488" i="11"/>
  <c r="N2488" i="11" l="1"/>
  <c r="M2489" i="11"/>
  <c r="N2489" i="11" l="1"/>
  <c r="M2490" i="11"/>
  <c r="M2491" i="11" l="1"/>
  <c r="N2490" i="11"/>
  <c r="N2491" i="11" l="1"/>
  <c r="M2492" i="11"/>
  <c r="M2493" i="11" l="1"/>
  <c r="N2492" i="11"/>
  <c r="N2493" i="11" l="1"/>
  <c r="M2494" i="11"/>
  <c r="M2495" i="11" l="1"/>
  <c r="N2494" i="11"/>
  <c r="N2495" i="11" l="1"/>
  <c r="M2496" i="11"/>
  <c r="N2496" i="11" l="1"/>
  <c r="M2497" i="11"/>
  <c r="M2498" i="11" l="1"/>
  <c r="N2497" i="11"/>
  <c r="M2499" i="11" l="1"/>
  <c r="N2498" i="11"/>
  <c r="N2499" i="11" l="1"/>
  <c r="M2500" i="11"/>
  <c r="N2500" i="11" l="1"/>
  <c r="M2501" i="11"/>
  <c r="N2501" i="11" l="1"/>
  <c r="M2502" i="11"/>
  <c r="N2502" i="11" l="1"/>
  <c r="M2503" i="11"/>
  <c r="N2503" i="11" l="1"/>
  <c r="M2504" i="11"/>
  <c r="M2505" i="11" l="1"/>
  <c r="N2504" i="11"/>
  <c r="N2505" i="11" l="1"/>
  <c r="M2506" i="11"/>
  <c r="N2506" i="11" l="1"/>
  <c r="M2507" i="11"/>
  <c r="M2508" i="11" l="1"/>
  <c r="N2507" i="11"/>
  <c r="N2508" i="11" l="1"/>
  <c r="M2509" i="11"/>
  <c r="N2509" i="11" l="1"/>
  <c r="M2510" i="11"/>
  <c r="M2511" i="11" l="1"/>
  <c r="N2510" i="11"/>
  <c r="N2511" i="11" l="1"/>
  <c r="M2512" i="11"/>
  <c r="N2512" i="11" l="1"/>
  <c r="M2513" i="11"/>
  <c r="N2513" i="11" l="1"/>
  <c r="M2514" i="11"/>
  <c r="N2514" i="11" l="1"/>
  <c r="M2515" i="11"/>
  <c r="N2515" i="11" l="1"/>
  <c r="M2516" i="11"/>
  <c r="N2516" i="11" l="1"/>
  <c r="M2517" i="11"/>
  <c r="M2518" i="11" l="1"/>
  <c r="N2517" i="11"/>
  <c r="N2518" i="11" l="1"/>
  <c r="M2519" i="11"/>
  <c r="M2520" i="11" l="1"/>
  <c r="N2519" i="11"/>
  <c r="N2520" i="11" l="1"/>
  <c r="M2521" i="11"/>
  <c r="N2521" i="11" l="1"/>
  <c r="M2522" i="11"/>
  <c r="M2523" i="11" l="1"/>
  <c r="N2522" i="11"/>
  <c r="M2524" i="11" l="1"/>
  <c r="N2523" i="11"/>
  <c r="N2524" i="11" l="1"/>
  <c r="M2525" i="11"/>
  <c r="M2526" i="11" l="1"/>
  <c r="N2525" i="11"/>
  <c r="N2526" i="11" l="1"/>
  <c r="M2527" i="11"/>
  <c r="N2527" i="11" l="1"/>
  <c r="M2528" i="11"/>
  <c r="M2529" i="11" l="1"/>
  <c r="N2528" i="11"/>
  <c r="M2530" i="11" l="1"/>
  <c r="N2529" i="11"/>
  <c r="N2530" i="11" l="1"/>
  <c r="M2531" i="11"/>
  <c r="N2531" i="11" l="1"/>
  <c r="M2532" i="11"/>
  <c r="N2532" i="11" l="1"/>
  <c r="M2533" i="11"/>
  <c r="N2533" i="11" l="1"/>
  <c r="M2534" i="11"/>
  <c r="M2535" i="11" l="1"/>
  <c r="N2534" i="11"/>
  <c r="M2536" i="11" l="1"/>
  <c r="N2535" i="11"/>
  <c r="N2536" i="11" l="1"/>
  <c r="M2537" i="11"/>
  <c r="N2537" i="11" l="1"/>
  <c r="M2538" i="11"/>
  <c r="N2538" i="11" l="1"/>
  <c r="M2539" i="11"/>
  <c r="N2539" i="11" l="1"/>
  <c r="M2540" i="11"/>
  <c r="N2540" i="11" l="1"/>
  <c r="M2541" i="11"/>
  <c r="N2541" i="11" l="1"/>
  <c r="M2542" i="11"/>
  <c r="M2543" i="11" l="1"/>
  <c r="N2542" i="11"/>
  <c r="N2543" i="11" l="1"/>
  <c r="M2544" i="11"/>
  <c r="N2544" i="11" l="1"/>
  <c r="M2545" i="11"/>
  <c r="N2545" i="11" l="1"/>
  <c r="M2546" i="11"/>
  <c r="N2546" i="11" l="1"/>
  <c r="M2547" i="11"/>
  <c r="N2547" i="11" l="1"/>
  <c r="M2548" i="11"/>
  <c r="M2549" i="11" l="1"/>
  <c r="N2548" i="11"/>
  <c r="N2549" i="11" l="1"/>
  <c r="M2550" i="11"/>
  <c r="M2551" i="11" l="1"/>
  <c r="N2550" i="11"/>
  <c r="N2551" i="11" l="1"/>
  <c r="M2552" i="11"/>
  <c r="N2552" i="11" l="1"/>
  <c r="M2553" i="11"/>
  <c r="M2554" i="11" l="1"/>
  <c r="N2553" i="11"/>
  <c r="M2555" i="11" l="1"/>
  <c r="N2554" i="11"/>
  <c r="N2555" i="11" l="1"/>
  <c r="M2556" i="11"/>
  <c r="N2556" i="11" l="1"/>
  <c r="M2557" i="11"/>
  <c r="N2557" i="11" l="1"/>
  <c r="M2558" i="11"/>
  <c r="N2558" i="11" l="1"/>
  <c r="M2559" i="11"/>
  <c r="M2560" i="11" l="1"/>
  <c r="N2559" i="11"/>
  <c r="M2561" i="11" l="1"/>
  <c r="N2560" i="11"/>
  <c r="N2561" i="11" l="1"/>
  <c r="M2562" i="11"/>
  <c r="N2562" i="11" l="1"/>
  <c r="M2563" i="11"/>
  <c r="M2564" i="11" l="1"/>
  <c r="N2563" i="11"/>
  <c r="N2564" i="11" l="1"/>
  <c r="M2565" i="11"/>
  <c r="N2565" i="11" l="1"/>
  <c r="M2566" i="11"/>
  <c r="N2566" i="11" l="1"/>
  <c r="M2567" i="11"/>
  <c r="M2568" i="11" l="1"/>
  <c r="N2567" i="11"/>
  <c r="N2568" i="11" l="1"/>
  <c r="M2569" i="11"/>
  <c r="N2569" i="11" l="1"/>
  <c r="M2570" i="11"/>
  <c r="N2570" i="11" l="1"/>
  <c r="M2571" i="11"/>
  <c r="N2571" i="11" l="1"/>
  <c r="M2572" i="11"/>
  <c r="M2573" i="11" l="1"/>
  <c r="N2572" i="11"/>
  <c r="M2574" i="11" l="1"/>
  <c r="N2573" i="11"/>
  <c r="N2574" i="11" l="1"/>
  <c r="M2575" i="11"/>
  <c r="M2576" i="11" l="1"/>
  <c r="N2575" i="11"/>
  <c r="N2576" i="11" l="1"/>
  <c r="M2577" i="11"/>
  <c r="N2577" i="11" l="1"/>
  <c r="M2578" i="11"/>
  <c r="N2578" i="11" l="1"/>
  <c r="M2579" i="11"/>
  <c r="M2580" i="11" l="1"/>
  <c r="N2579" i="11"/>
  <c r="N2580" i="11" l="1"/>
  <c r="M2581" i="11"/>
  <c r="N2581" i="11" l="1"/>
  <c r="M2582" i="11"/>
  <c r="N2582" i="11" l="1"/>
  <c r="M2583" i="11"/>
  <c r="N2583" i="11" l="1"/>
  <c r="M2584" i="11"/>
  <c r="M2585" i="11" l="1"/>
  <c r="N2584" i="11"/>
  <c r="M2586" i="11" l="1"/>
  <c r="N2585" i="11"/>
  <c r="N2586" i="11" l="1"/>
  <c r="M2587" i="11"/>
  <c r="N2587" i="11" l="1"/>
  <c r="M2588" i="11"/>
  <c r="M2589" i="11" l="1"/>
  <c r="N2588" i="11"/>
  <c r="N2589" i="11" l="1"/>
  <c r="M2590" i="11"/>
  <c r="M2591" i="11" l="1"/>
  <c r="N2590" i="11"/>
  <c r="N2591" i="11" l="1"/>
  <c r="M2592" i="11"/>
  <c r="M2593" i="11" l="1"/>
  <c r="N2592" i="11"/>
  <c r="N2593" i="11" l="1"/>
  <c r="M2594" i="11"/>
  <c r="N2594" i="11" l="1"/>
  <c r="M2595" i="11"/>
  <c r="N2595" i="11" l="1"/>
  <c r="M2596" i="11"/>
  <c r="N2596" i="11" l="1"/>
  <c r="M2597" i="11"/>
  <c r="N2597" i="11" l="1"/>
  <c r="M2598" i="11"/>
  <c r="M2599" i="11" l="1"/>
  <c r="N2598" i="11"/>
  <c r="N2599" i="11" l="1"/>
  <c r="M2600" i="11"/>
  <c r="M2601" i="11" l="1"/>
  <c r="N2600" i="11"/>
  <c r="N2601" i="11" l="1"/>
  <c r="M2602" i="11"/>
  <c r="N2602" i="11" l="1"/>
  <c r="M2603" i="11"/>
  <c r="M2604" i="11" l="1"/>
  <c r="N2603" i="11"/>
  <c r="M2605" i="11" l="1"/>
  <c r="N2604" i="11"/>
  <c r="N2605" i="11" l="1"/>
  <c r="M2606" i="11"/>
  <c r="N2606" i="11" l="1"/>
  <c r="M2607" i="11"/>
  <c r="N2607" i="11" l="1"/>
  <c r="M2608" i="11"/>
  <c r="N2608" i="11" l="1"/>
  <c r="M2609" i="11"/>
  <c r="N2609" i="11" l="1"/>
  <c r="M2610" i="11"/>
  <c r="M2611" i="11" l="1"/>
  <c r="N2610" i="11"/>
  <c r="N2611" i="11" l="1"/>
  <c r="M2612" i="11"/>
  <c r="N2612" i="11" l="1"/>
  <c r="M2613" i="11"/>
  <c r="N2613" i="11" l="1"/>
  <c r="M2614" i="11"/>
  <c r="N2614" i="11" l="1"/>
  <c r="M2615" i="11"/>
  <c r="N2615" i="11" l="1"/>
  <c r="M2616" i="11"/>
  <c r="N2616" i="11" l="1"/>
  <c r="M2617" i="11"/>
  <c r="M2618" i="11" l="1"/>
  <c r="N2617" i="11"/>
  <c r="N2618" i="11" l="1"/>
  <c r="M2619" i="11"/>
  <c r="M2620" i="11" l="1"/>
  <c r="N2619" i="11"/>
  <c r="N2620" i="11" l="1"/>
  <c r="M2621" i="11"/>
  <c r="N2621" i="11" l="1"/>
  <c r="M2622" i="11"/>
  <c r="M2623" i="11" l="1"/>
  <c r="N2622" i="11"/>
  <c r="M2624" i="11" l="1"/>
  <c r="N2623" i="11"/>
  <c r="N2624" i="11" l="1"/>
  <c r="M2625" i="11"/>
  <c r="N2625" i="11" l="1"/>
  <c r="M2626" i="11"/>
  <c r="N2626" i="11" l="1"/>
  <c r="M2627" i="11"/>
  <c r="N2627" i="11" l="1"/>
  <c r="M2628" i="11"/>
  <c r="N2628" i="11" l="1"/>
  <c r="M2629" i="11"/>
  <c r="M2630" i="11" l="1"/>
  <c r="N2629" i="11"/>
  <c r="N2630" i="11" l="1"/>
  <c r="M2631" i="11"/>
  <c r="N2631" i="11" l="1"/>
  <c r="M2632" i="11"/>
  <c r="M2633" i="11" l="1"/>
  <c r="N2632" i="11"/>
  <c r="N2633" i="11" l="1"/>
  <c r="M2634" i="11"/>
  <c r="N2634" i="11" l="1"/>
  <c r="M2635" i="11"/>
  <c r="M2636" i="11" l="1"/>
  <c r="N2635" i="11"/>
  <c r="N2636" i="11" l="1"/>
  <c r="M2637" i="11"/>
  <c r="N2637" i="11" l="1"/>
  <c r="M2638" i="11"/>
  <c r="N2638" i="11" l="1"/>
  <c r="M2639" i="11"/>
  <c r="N2639" i="11" l="1"/>
  <c r="M2640" i="11"/>
  <c r="N2640" i="11" l="1"/>
  <c r="M2641" i="11"/>
  <c r="N2641" i="11" l="1"/>
  <c r="M2642" i="11"/>
  <c r="M2643" i="11" l="1"/>
  <c r="N2642" i="11"/>
  <c r="N2643" i="11" l="1"/>
  <c r="M2644" i="11"/>
  <c r="N2644" i="11" l="1"/>
  <c r="M2645" i="11"/>
  <c r="N2645" i="11" l="1"/>
  <c r="M2646" i="11"/>
  <c r="N2646" i="11" l="1"/>
  <c r="M2647" i="11"/>
  <c r="N2647" i="11" l="1"/>
  <c r="M2648" i="11"/>
  <c r="M2649" i="11" l="1"/>
  <c r="N2648" i="11"/>
  <c r="N2649" i="11" l="1"/>
  <c r="M2650" i="11"/>
  <c r="M2651" i="11" l="1"/>
  <c r="N2650" i="11"/>
  <c r="N2651" i="11" l="1"/>
  <c r="M2652" i="11"/>
  <c r="N2652" i="11" l="1"/>
  <c r="M2653" i="11"/>
  <c r="M2654" i="11" l="1"/>
  <c r="N2653" i="11"/>
  <c r="M2655" i="11" l="1"/>
  <c r="N2654" i="11"/>
  <c r="N2655" i="11" l="1"/>
  <c r="M2656" i="11"/>
  <c r="N2656" i="11" l="1"/>
  <c r="M2657" i="11"/>
  <c r="M2658" i="11" l="1"/>
  <c r="N2657" i="11"/>
  <c r="N2658" i="11" l="1"/>
  <c r="M2659" i="11"/>
  <c r="N2659" i="11" l="1"/>
  <c r="M2660" i="11"/>
  <c r="M2661" i="11" l="1"/>
  <c r="N2660" i="11"/>
  <c r="N2661" i="11" l="1"/>
  <c r="M2662" i="11"/>
  <c r="N2662" i="11" l="1"/>
  <c r="M2663" i="11"/>
  <c r="N2663" i="11" l="1"/>
  <c r="M2664" i="11"/>
  <c r="N2664" i="11" l="1"/>
  <c r="M2665" i="11"/>
  <c r="N2665" i="11" l="1"/>
  <c r="M2666" i="11"/>
  <c r="N2666" i="11" l="1"/>
  <c r="M2667" i="11"/>
  <c r="M2668" i="11" l="1"/>
  <c r="N2667" i="11"/>
  <c r="N2668" i="11" l="1"/>
  <c r="M2669" i="11"/>
  <c r="N2669" i="11" l="1"/>
  <c r="M2670" i="11"/>
  <c r="N2670" i="11" l="1"/>
  <c r="M2671" i="11"/>
  <c r="N2671" i="11" l="1"/>
  <c r="M2672" i="11"/>
  <c r="M2673" i="11" l="1"/>
  <c r="N2672" i="11"/>
  <c r="M2674" i="11" l="1"/>
  <c r="N2673" i="11"/>
  <c r="N2674" i="11" l="1"/>
  <c r="M2675" i="11"/>
  <c r="N2675" i="11" l="1"/>
  <c r="M2676" i="11"/>
  <c r="N2676" i="11" l="1"/>
  <c r="M2677" i="11"/>
  <c r="N2677" i="11" l="1"/>
  <c r="M2678" i="11"/>
  <c r="N2678" i="11" l="1"/>
  <c r="M2679" i="11"/>
  <c r="M2680" i="11" l="1"/>
  <c r="N2679" i="11"/>
  <c r="N2680" i="11" l="1"/>
  <c r="M2681" i="11"/>
  <c r="N2681" i="11" l="1"/>
  <c r="M2682" i="11"/>
  <c r="N2682" i="11" l="1"/>
  <c r="M2683" i="11"/>
  <c r="N2683" i="11" l="1"/>
  <c r="M2684" i="11"/>
  <c r="M2685" i="11" l="1"/>
  <c r="N2684" i="11"/>
  <c r="M2686" i="11" l="1"/>
  <c r="N2685" i="11"/>
  <c r="N2686" i="11" l="1"/>
  <c r="M2687" i="11"/>
  <c r="N2687" i="11" l="1"/>
  <c r="M2688" i="11"/>
  <c r="M2689" i="11" l="1"/>
  <c r="N2688" i="11"/>
  <c r="N2689" i="11" l="1"/>
  <c r="M2690" i="11"/>
  <c r="N2690" i="11" l="1"/>
  <c r="M2691" i="11"/>
  <c r="N2691" i="11" l="1"/>
  <c r="M2692" i="11"/>
  <c r="M2693" i="11" l="1"/>
  <c r="N2692" i="11"/>
  <c r="N2693" i="11" l="1"/>
  <c r="M2694" i="11"/>
  <c r="N2694" i="11" l="1"/>
  <c r="M2695" i="11"/>
  <c r="N2695" i="11" l="1"/>
  <c r="M2696" i="11"/>
  <c r="N2696" i="11" l="1"/>
  <c r="M2697" i="11"/>
  <c r="M2698" i="11" l="1"/>
  <c r="N2697" i="11"/>
  <c r="M2699" i="11" l="1"/>
  <c r="N2698" i="11"/>
  <c r="N2699" i="11" l="1"/>
  <c r="M2700" i="11"/>
  <c r="N2700" i="11" l="1"/>
  <c r="M2701" i="11"/>
  <c r="N2701" i="11" l="1"/>
  <c r="M2702" i="11"/>
  <c r="N2702" i="11" l="1"/>
  <c r="M2703" i="11"/>
  <c r="N2703" i="11" l="1"/>
  <c r="M2704" i="11"/>
  <c r="M2705" i="11" l="1"/>
  <c r="N2704" i="11"/>
  <c r="N2705" i="11" l="1"/>
  <c r="M2706" i="11"/>
  <c r="N2706" i="11" l="1"/>
  <c r="M2707" i="11"/>
  <c r="M2708" i="11" l="1"/>
  <c r="N2707" i="11"/>
  <c r="N2708" i="11" l="1"/>
  <c r="M2709" i="11"/>
  <c r="N2709" i="11" l="1"/>
  <c r="M2710" i="11"/>
  <c r="M2711" i="11" l="1"/>
  <c r="N2710" i="11"/>
  <c r="N2711" i="11" l="1"/>
  <c r="M2712" i="11"/>
  <c r="N2712" i="11" l="1"/>
  <c r="M2713" i="11"/>
  <c r="M2714" i="11" l="1"/>
  <c r="N2713" i="11"/>
  <c r="N2714" i="11" l="1"/>
  <c r="M2715" i="11"/>
  <c r="M2716" i="11" l="1"/>
  <c r="N2715" i="11"/>
  <c r="N2716" i="11" l="1"/>
  <c r="M2717" i="11"/>
  <c r="M2718" i="11" l="1"/>
  <c r="N2717" i="11"/>
  <c r="N2718" i="11" l="1"/>
  <c r="M2719" i="11"/>
  <c r="N2719" i="11" l="1"/>
  <c r="M2720" i="11"/>
  <c r="N2720" i="11" l="1"/>
  <c r="M2721" i="11"/>
  <c r="N2721" i="11" l="1"/>
  <c r="M2722" i="11"/>
  <c r="N2722" i="11" l="1"/>
  <c r="M2723" i="11"/>
  <c r="M2724" i="11" l="1"/>
  <c r="N2723" i="11"/>
  <c r="N2724" i="11" l="1"/>
  <c r="M2725" i="11"/>
  <c r="N2725" i="11" l="1"/>
  <c r="M2726" i="11"/>
  <c r="N2726" i="11" l="1"/>
  <c r="M2727" i="11"/>
  <c r="N2727" i="11" l="1"/>
  <c r="M2728" i="11"/>
  <c r="N2728" i="11" l="1"/>
  <c r="M2729" i="11"/>
  <c r="M2730" i="11" l="1"/>
  <c r="N2729" i="11"/>
  <c r="N2730" i="11" l="1"/>
  <c r="M2731" i="11"/>
  <c r="N2731" i="11" l="1"/>
  <c r="M2732" i="11"/>
  <c r="N2732" i="11" l="1"/>
  <c r="M2733" i="11"/>
  <c r="N2733" i="11" l="1"/>
  <c r="M2734" i="11"/>
  <c r="N2734" i="11" l="1"/>
  <c r="M2735" i="11"/>
  <c r="M2736" i="11" l="1"/>
  <c r="N2735" i="11"/>
  <c r="N2736" i="11" l="1"/>
  <c r="M2737" i="11"/>
  <c r="N2737" i="11" l="1"/>
  <c r="M2738" i="11"/>
  <c r="N2738" i="11" l="1"/>
  <c r="M2739" i="11"/>
  <c r="N2739" i="11" l="1"/>
  <c r="M2740" i="11"/>
  <c r="N2740" i="11" l="1"/>
  <c r="M2741" i="11"/>
  <c r="N2741" i="11" l="1"/>
  <c r="M2742" i="11"/>
  <c r="M2743" i="11" l="1"/>
  <c r="N2742" i="11"/>
  <c r="N2743" i="11" l="1"/>
  <c r="M2744" i="11"/>
  <c r="M2745" i="11" l="1"/>
  <c r="N2744" i="11"/>
  <c r="N2745" i="11" l="1"/>
  <c r="M2746" i="11"/>
  <c r="N2746" i="11" l="1"/>
  <c r="M2747" i="11"/>
  <c r="M2748" i="11" l="1"/>
  <c r="N2747" i="11"/>
  <c r="M2749" i="11" l="1"/>
  <c r="N2748" i="11"/>
  <c r="N2749" i="11" l="1"/>
  <c r="M2750" i="11"/>
  <c r="N2750" i="11" l="1"/>
  <c r="M2751" i="11"/>
  <c r="N2751" i="11" l="1"/>
  <c r="M2752" i="11"/>
  <c r="N2752" i="11" l="1"/>
  <c r="M2753" i="11"/>
  <c r="N2753" i="11" l="1"/>
  <c r="M2754" i="11"/>
  <c r="M2755" i="11" l="1"/>
  <c r="N2754" i="11"/>
  <c r="N2755" i="11" l="1"/>
  <c r="M2756" i="11"/>
  <c r="N2756" i="11" l="1"/>
  <c r="M2757" i="11"/>
  <c r="N2757" i="11" l="1"/>
  <c r="M2758" i="11"/>
  <c r="N2758" i="11" l="1"/>
  <c r="M2759" i="11"/>
  <c r="N2759" i="11" l="1"/>
  <c r="M2760" i="11"/>
  <c r="M2761" i="11" l="1"/>
  <c r="N2760" i="11"/>
  <c r="N2761" i="11" l="1"/>
  <c r="M2762" i="11"/>
  <c r="N2762" i="11" l="1"/>
  <c r="M2763" i="11"/>
  <c r="N2763" i="11" l="1"/>
  <c r="M2764" i="11"/>
  <c r="N2764" i="11" l="1"/>
  <c r="M2765" i="11"/>
  <c r="M2766" i="11" l="1"/>
  <c r="N2765" i="11"/>
  <c r="N2766" i="11" l="1"/>
  <c r="M2767" i="11"/>
  <c r="M2768" i="11" l="1"/>
  <c r="N2767" i="11"/>
  <c r="N2768" i="11" l="1"/>
  <c r="M2769" i="11"/>
  <c r="M2770" i="11" l="1"/>
  <c r="N2769" i="11"/>
  <c r="N2770" i="11" l="1"/>
  <c r="M2771" i="11"/>
  <c r="N2771" i="11" l="1"/>
  <c r="M2772" i="11"/>
  <c r="M2773" i="11" l="1"/>
  <c r="N2772" i="11"/>
  <c r="M2774" i="11" l="1"/>
  <c r="N2773" i="11"/>
  <c r="N2774" i="11" l="1"/>
  <c r="M2775" i="11"/>
  <c r="N2775" i="11" l="1"/>
  <c r="M2776" i="11"/>
  <c r="N2776" i="11" l="1"/>
  <c r="M2777" i="11"/>
  <c r="N2777" i="11" l="1"/>
  <c r="M2778" i="11"/>
  <c r="M2779" i="11" l="1"/>
  <c r="N2778" i="11"/>
  <c r="M2780" i="11" l="1"/>
  <c r="N2779" i="11"/>
  <c r="N2780" i="11" l="1"/>
  <c r="M2781" i="11"/>
  <c r="N2781" i="11" l="1"/>
  <c r="M2782" i="11"/>
  <c r="N2782" i="11" l="1"/>
  <c r="M2783" i="11"/>
  <c r="N2783" i="11" l="1"/>
  <c r="M2784" i="11"/>
  <c r="N2784" i="11" l="1"/>
  <c r="M2785" i="11"/>
  <c r="M2786" i="11" l="1"/>
  <c r="N2785" i="11"/>
  <c r="N2786" i="11" l="1"/>
  <c r="M2787" i="11"/>
  <c r="N2787" i="11" l="1"/>
  <c r="M2788" i="11"/>
  <c r="N2788" i="11" l="1"/>
  <c r="M2789" i="11"/>
  <c r="N2789" i="11" l="1"/>
  <c r="M2790" i="11"/>
  <c r="N2790" i="11" l="1"/>
  <c r="M2791" i="11"/>
  <c r="N2791" i="11" l="1"/>
  <c r="M2792" i="11"/>
  <c r="M2793" i="11" l="1"/>
  <c r="N2792" i="11"/>
  <c r="N2793" i="11" l="1"/>
  <c r="M2794" i="11"/>
  <c r="N2794" i="11" l="1"/>
  <c r="M2795" i="11"/>
  <c r="N2795" i="11" l="1"/>
  <c r="M2796" i="11"/>
  <c r="N2796" i="11" l="1"/>
  <c r="M2797" i="11"/>
  <c r="N2797" i="11" l="1"/>
  <c r="M2798" i="11"/>
  <c r="M2799" i="11" l="1"/>
  <c r="N2798" i="11"/>
  <c r="N2799" i="11" l="1"/>
  <c r="M2800" i="11"/>
  <c r="M2801" i="11" l="1"/>
  <c r="N2800" i="11"/>
  <c r="N2801" i="11" l="1"/>
  <c r="M2802" i="11"/>
  <c r="N2802" i="11" l="1"/>
  <c r="M2803" i="11"/>
  <c r="N2803" i="11" l="1"/>
  <c r="M2804" i="11"/>
  <c r="M2805" i="11" l="1"/>
  <c r="N2804" i="11"/>
  <c r="N2805" i="11" l="1"/>
  <c r="M2806" i="11"/>
  <c r="N2806" i="11" l="1"/>
  <c r="M2807" i="11"/>
  <c r="N2807" i="11" l="1"/>
  <c r="M2808" i="11"/>
  <c r="N2808" i="11" l="1"/>
  <c r="M2809" i="11"/>
  <c r="M2810" i="11" l="1"/>
  <c r="N2809" i="11"/>
  <c r="M2811" i="11" l="1"/>
  <c r="N2810" i="11"/>
  <c r="N2811" i="11" l="1"/>
  <c r="M2812" i="11"/>
  <c r="N2812" i="11" l="1"/>
  <c r="M2813" i="11"/>
  <c r="N2813" i="11" l="1"/>
  <c r="M2814" i="11"/>
  <c r="N2814" i="11" l="1"/>
  <c r="M2815" i="11"/>
  <c r="M2816" i="11" l="1"/>
  <c r="N2815" i="11"/>
  <c r="N2816" i="11" l="1"/>
  <c r="M2817" i="11"/>
  <c r="M2818" i="11" l="1"/>
  <c r="N2817" i="11"/>
  <c r="N2818" i="11" l="1"/>
  <c r="M2819" i="11"/>
  <c r="N2819" i="11" l="1"/>
  <c r="M2820" i="11"/>
  <c r="N2820" i="11" l="1"/>
  <c r="M2821" i="11"/>
  <c r="N2821" i="11" l="1"/>
  <c r="M2822" i="11"/>
  <c r="M2823" i="11" l="1"/>
  <c r="N2822" i="11"/>
  <c r="M2824" i="11" l="1"/>
  <c r="N2823" i="11"/>
  <c r="N2824" i="11" l="1"/>
  <c r="M2825" i="11"/>
  <c r="M2826" i="11" l="1"/>
  <c r="N2825" i="11"/>
  <c r="N2826" i="11" l="1"/>
  <c r="M2827" i="11"/>
  <c r="N2827" i="11" l="1"/>
  <c r="M2828" i="11"/>
  <c r="N2828" i="11" l="1"/>
  <c r="M2829" i="11"/>
  <c r="M2830" i="11" l="1"/>
  <c r="N2829" i="11"/>
  <c r="N2830" i="11" l="1"/>
  <c r="M2831" i="11"/>
  <c r="N2831" i="11" l="1"/>
  <c r="M2832" i="11"/>
  <c r="M2833" i="11" l="1"/>
  <c r="N2832" i="11"/>
  <c r="N2833" i="11" l="1"/>
  <c r="M2834" i="11"/>
  <c r="N2834" i="11" l="1"/>
  <c r="M2835" i="11"/>
  <c r="M2836" i="11" l="1"/>
  <c r="N2835" i="11"/>
  <c r="N2836" i="11" l="1"/>
  <c r="M2837" i="11"/>
  <c r="N2837" i="11" l="1"/>
  <c r="M2838" i="11"/>
  <c r="N2838" i="11" l="1"/>
  <c r="M2839" i="11"/>
  <c r="N2839" i="11" l="1"/>
  <c r="M2840" i="11"/>
  <c r="M2841" i="11" l="1"/>
  <c r="N2840" i="11"/>
  <c r="N2841" i="11" l="1"/>
  <c r="M2842" i="11"/>
  <c r="M2843" i="11" l="1"/>
  <c r="N2842" i="11"/>
  <c r="N2843" i="11" l="1"/>
  <c r="M2844" i="11"/>
  <c r="M2845" i="11" l="1"/>
  <c r="N2844" i="11"/>
  <c r="N2845" i="11" l="1"/>
  <c r="M2846" i="11"/>
  <c r="N2846" i="11" l="1"/>
  <c r="M2847" i="11"/>
  <c r="N2847" i="11" l="1"/>
  <c r="M2848" i="11"/>
  <c r="M2849" i="11" l="1"/>
  <c r="N2848" i="11"/>
  <c r="N2849" i="11" l="1"/>
  <c r="M2850" i="11"/>
  <c r="N2850" i="11" l="1"/>
  <c r="M2851" i="11"/>
  <c r="N2851" i="11" l="1"/>
  <c r="M2852" i="11"/>
  <c r="N2852" i="11" l="1"/>
  <c r="M2853" i="11"/>
  <c r="M2854" i="11" l="1"/>
  <c r="N2853" i="11"/>
  <c r="N2854" i="11" l="1"/>
  <c r="M2855" i="11"/>
  <c r="M2856" i="11" l="1"/>
  <c r="N2855" i="11"/>
  <c r="N2856" i="11" l="1"/>
  <c r="M2857" i="11"/>
  <c r="N2857" i="11" l="1"/>
  <c r="M2858" i="11"/>
  <c r="M2859" i="11" l="1"/>
  <c r="N2858" i="11"/>
  <c r="N2859" i="11" l="1"/>
  <c r="M2860" i="11"/>
  <c r="M2861" i="11" l="1"/>
  <c r="N2860" i="11"/>
  <c r="M2862" i="11" l="1"/>
  <c r="N2861" i="11"/>
  <c r="N2862" i="11" l="1"/>
  <c r="M2863" i="11"/>
  <c r="N2863" i="11" l="1"/>
  <c r="M2864" i="11"/>
  <c r="M2865" i="11" l="1"/>
  <c r="N2864" i="11"/>
  <c r="N2865" i="11" l="1"/>
  <c r="M2866" i="11"/>
  <c r="M2867" i="11" l="1"/>
  <c r="N2866" i="11"/>
  <c r="N2867" i="11" l="1"/>
  <c r="M2868" i="11"/>
  <c r="M2869" i="11" l="1"/>
  <c r="N2868" i="11"/>
  <c r="M2870" i="11" l="1"/>
  <c r="N2869" i="11"/>
  <c r="N2870" i="11" l="1"/>
  <c r="M2871" i="11"/>
  <c r="N2871" i="11" l="1"/>
  <c r="M2872" i="11"/>
  <c r="N2872" i="11" l="1"/>
  <c r="M2873" i="11"/>
  <c r="N2873" i="11" l="1"/>
  <c r="M2874" i="11"/>
  <c r="M2875" i="11" l="1"/>
  <c r="N2874" i="11"/>
  <c r="N2875" i="11" l="1"/>
  <c r="M2876" i="11"/>
  <c r="N2876" i="11" l="1"/>
  <c r="M2877" i="11"/>
  <c r="M2878" i="11" l="1"/>
  <c r="N2877" i="11"/>
  <c r="N2878" i="11" l="1"/>
  <c r="M2879" i="11"/>
  <c r="M2880" i="11" l="1"/>
  <c r="N2879" i="11"/>
  <c r="N2880" i="11" l="1"/>
  <c r="M2881" i="11"/>
  <c r="N2881" i="11" l="1"/>
  <c r="M2882" i="11"/>
  <c r="M2883" i="11" l="1"/>
  <c r="N2882" i="11"/>
  <c r="N2883" i="11" l="1"/>
  <c r="M2884" i="11"/>
  <c r="M2885" i="11" l="1"/>
  <c r="N2884" i="11"/>
  <c r="N2885" i="11" l="1"/>
  <c r="M2886" i="11"/>
  <c r="N2886" i="11" l="1"/>
  <c r="M2887" i="11"/>
  <c r="N2887" i="11" l="1"/>
  <c r="M2888" i="11"/>
  <c r="M2889" i="11" l="1"/>
  <c r="N2888" i="11"/>
  <c r="M2890" i="11" l="1"/>
  <c r="N2889" i="11"/>
  <c r="N2890" i="11" l="1"/>
  <c r="M2891" i="11"/>
  <c r="M2892" i="11" l="1"/>
  <c r="N2891" i="11"/>
  <c r="M2893" i="11" l="1"/>
  <c r="N2892" i="11"/>
  <c r="N2893" i="11" l="1"/>
  <c r="M2894" i="11"/>
  <c r="N289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rgb="FF000000"/>
            <rFont val="Tahoma"/>
            <family val="2"/>
          </rPr>
          <t xml:space="preserve">This set the maximum number of failures that can be diagramed in this chart.
</t>
        </r>
        <r>
          <rPr>
            <sz val="10"/>
            <color rgb="FF000000"/>
            <rFont val="Tahoma"/>
            <family val="2"/>
          </rPr>
          <t xml:space="preserve">
</t>
        </r>
        <r>
          <rPr>
            <sz val="10"/>
            <color rgb="FF000000"/>
            <rFont val="Tahoma"/>
            <family val="2"/>
          </rPr>
          <t>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rgb="FF000000"/>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rgb="FF000000"/>
            <rFont val="Tahoma"/>
            <family val="2"/>
          </rPr>
          <t xml:space="preserve">You may enter zero when no failures have yet been observed.  Enter the cumulative count after the first failure (2, 3, …) . 
</t>
        </r>
        <r>
          <rPr>
            <b/>
            <sz val="10"/>
            <color rgb="FF000000"/>
            <rFont val="Tahoma"/>
            <family val="2"/>
          </rPr>
          <t xml:space="preserve">
</t>
        </r>
        <r>
          <rPr>
            <b/>
            <sz val="10"/>
            <color rgb="FF000000"/>
            <rFont val="Tahoma"/>
            <family val="2"/>
          </rPr>
          <t>If you enter an inconsistent failure count, the cell will turn red.  The cell after the last entry is always red -- this is normal.</t>
        </r>
      </text>
    </comment>
    <comment ref="F11" authorId="0" shapeId="0" xr:uid="{00000000-0006-0000-0300-000003000000}">
      <text>
        <r>
          <rPr>
            <b/>
            <sz val="10"/>
            <color rgb="FF000000"/>
            <rFont val="Tahoma"/>
            <family val="2"/>
          </rPr>
          <t>Enter the cumulative number of "natural" input event or time units for the observation.</t>
        </r>
      </text>
    </comment>
    <comment ref="G11" authorId="0" shapeId="0" xr:uid="{00000000-0006-0000-0300-000004000000}">
      <text>
        <r>
          <rPr>
            <sz val="10"/>
            <color rgb="FF000000"/>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rgb="FF000000"/>
            <rFont val="Tahoma"/>
            <family val="2"/>
          </rPr>
          <t>Bob_Binder:</t>
        </r>
        <r>
          <rPr>
            <sz val="10"/>
            <color rgb="FF000000"/>
            <rFont val="Tahoma"/>
            <family val="2"/>
          </rPr>
          <t xml:space="preserve">
</t>
        </r>
        <r>
          <rPr>
            <sz val="10"/>
            <color rgb="FF000000"/>
            <rFont val="Tahoma"/>
            <family val="2"/>
          </rPr>
          <t xml:space="preserve">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N694" authorId="0" shapeId="0" xr:uid="{00000000-0006-0000-0500-000003000000}">
      <text>
        <r>
          <rPr>
            <sz val="10"/>
            <color indexed="81"/>
            <rFont val="Tahoma"/>
            <family val="2"/>
          </rPr>
          <t xml:space="preserve">(ymax - ymin)/(xmax-xmin)
</t>
        </r>
      </text>
    </comment>
    <comment ref="N701" authorId="0" shapeId="0" xr:uid="{00000000-0006-0000-0500-000004000000}">
      <text>
        <r>
          <rPr>
            <sz val="10"/>
            <color indexed="81"/>
            <rFont val="Tahoma"/>
            <family val="2"/>
          </rPr>
          <t xml:space="preserve">(ymax - ymin)/(xmax-xmin)
</t>
        </r>
      </text>
    </comment>
    <comment ref="S711"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S731"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<sst xmlns="http://schemas.openxmlformats.org/spreadsheetml/2006/main" count="239" uniqueCount="132">
  <si>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</si>
  <si>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</si>
  <si>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</si>
  <si>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</si>
  <si>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</si>
  <si>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</si>
  <si>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</si>
  <si>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</si>
  <si>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</si>
  <si>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</si>
  <si>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</si>
  <si>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</si>
  <si>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</si>
  <si>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</si>
  <si>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</si>
  <si>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</si>
  <si>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</si>
  <si>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</si>
  <si>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</si>
  <si>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</si>
  <si>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</si>
  <si>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</si>
  <si>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</si>
  <si>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</si>
  <si>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</si>
  <si>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</si>
  <si>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</si>
  <si>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</si>
  <si>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</si>
  <si>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</si>
  <si>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</si>
  <si>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</si>
  <si>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</si>
  <si>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</si>
  <si>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</si>
  <si>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</si>
  <si>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</si>
  <si>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</si>
  <si>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</si>
  <si>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</si>
  <si>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</si>
  <si>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</si>
  <si>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</si>
  <si>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</si>
  <si>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</si>
  <si>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</si>
  <si>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</si>
  <si>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</si>
  <si>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</si>
  <si>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</si>
  <si>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</si>
  <si>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</si>
  <si>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</si>
  <si>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</si>
  <si>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</si>
  <si>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</si>
  <si>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</si>
  <si>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</si>
  <si>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</si>
  <si>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</si>
  <si>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</si>
  <si>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</si>
  <si>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</si>
  <si>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</si>
  <si>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</si>
  <si>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</si>
  <si>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</si>
  <si>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family val="2"/>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</si>
  <si>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</si>
  <si>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</si>
  <si>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</si>
  <si>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</si>
  <si>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</si>
  <si>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</si>
  <si>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</si>
  <si>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</si>
  <si>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</si>
  <si>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</si>
  <si>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</si>
  <si>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</si>
  <si>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</si>
  <si>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</si>
  <si>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</si>
  <si>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</si>
  <si>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</si>
  <si>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</si>
  <si>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</si>
  <si>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</si>
  <si>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</si>
  <si>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</si>
  <si>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</si>
  <si>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</si>
  <si>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</si>
  <si>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</si>
  <si>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</si>
  <si>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</si>
  <si>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</si>
  <si>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</si>
  <si>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</si>
  <si>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</si>
  <si>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</si>
  <si>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</si>
  <si>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</si>
  <si>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</si>
  <si>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</si>
  <si>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</si>
  <si>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</si>
  <si>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</si>
  <si>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</si>
  <si>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</si>
  <si>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</si>
  <si>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</si>
  <si>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</si>
  <si>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</si>
  <si>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</si>
  <si>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</si>
  <si>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</si>
  <si>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</si>
  <si>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</si>
  <si>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</si>
  <si>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</si>
  <si>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</si>
  <si>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</si>
  <si>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</si>
  <si>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</si>
  <si>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SENG 637</t>
  </si>
  <si>
    <t>Assignment 5</t>
  </si>
  <si>
    <t>Part 2</t>
  </si>
  <si>
    <t>Interval When Observed</t>
  </si>
  <si>
    <t>interval</t>
  </si>
  <si>
    <t>Per Number of input events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</si>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</sst>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
    <numFmt numFmtId="165" formatCode="0.000"/>
    <numFmt numFmtId="166" formatCode="_(* #,##0_);_(* \(#,##0\);_(* &quot;-&quot;??_);_(@_)"/>
    <numFmt numFmtId="167" formatCode="yyyy\ mm\ dd"/>
    <numFmt numFmtId="168" formatCode="[$-409]d\-mmm\-yy;@"/>
    <numFmt numFmtId="169" formatCode="[$-F400]h:mm:ss\ AM/PM"/>
  </numFmts>
  <fonts count="16" x14ac:knownFonts="1">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sz val="10"/>
      <name val="Arial"/>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
      <sz val="10"/>
      <name val="Arial"/>
      <family val="2"/>
    </font>
    <font>
      <sz val="10"/>
      <color rgb="FF000000"/>
      <name val="Tahoma"/>
      <family val="2"/>
    </font>
    <font>
      <b/>
      <sz val="10"/>
      <color rgb="FF000000"/>
      <name val="Tahoma"/>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43"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56">
    <xf numFmtId="0" fontId="0" fillId="0" borderId="0" xfId="0"/>
    <xf numFmtId="164" fontId="0" fillId="0" borderId="0" xfId="0" applyNumberFormat="1"/>
    <xf numFmtId="1" fontId="0" fillId="0" borderId="0" xfId="0" applyNumberFormat="1"/>
    <xf numFmtId="165" fontId="0" fillId="0" borderId="0" xfId="0" applyNumberFormat="1"/>
    <xf numFmtId="0" fontId="2" fillId="0" borderId="0" xfId="0" applyFont="1" applyAlignment="1">
      <alignment horizontal="right"/>
    </xf>
    <xf numFmtId="165" fontId="3" fillId="0" borderId="0" xfId="0" applyNumberFormat="1" applyFont="1"/>
    <xf numFmtId="0" fontId="3" fillId="0" borderId="0" xfId="0" applyFont="1"/>
    <xf numFmtId="165" fontId="3" fillId="0" borderId="0" xfId="0" applyNumberFormat="1" applyFont="1" applyAlignment="1">
      <alignment horizontal="right"/>
    </xf>
    <xf numFmtId="165"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lignment wrapText="1"/>
    </xf>
    <xf numFmtId="0" fontId="8" fillId="0" borderId="0" xfId="2" applyAlignment="1" applyProtection="1">
      <alignment wrapText="1"/>
    </xf>
    <xf numFmtId="165"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8" fillId="0" borderId="0" xfId="2" applyAlignment="1" applyProtection="1"/>
    <xf numFmtId="0" fontId="9" fillId="0" borderId="0" xfId="0" applyFo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0"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166" fontId="0" fillId="0" borderId="0" xfId="1" applyNumberFormat="1" applyFont="1" applyAlignment="1" applyProtection="1">
      <alignment horizontal="right"/>
    </xf>
    <xf numFmtId="2" fontId="0" fillId="0" borderId="0" xfId="0" applyNumberFormat="1"/>
    <xf numFmtId="165" fontId="0" fillId="3" borderId="0" xfId="0" applyNumberFormat="1" applyFill="1" applyProtection="1">
      <protection locked="0"/>
    </xf>
    <xf numFmtId="165" fontId="0" fillId="6" borderId="0" xfId="0" applyNumberFormat="1" applyFill="1" applyProtection="1">
      <protection locked="0"/>
    </xf>
    <xf numFmtId="0" fontId="12" fillId="0" borderId="0" xfId="0" applyFont="1"/>
    <xf numFmtId="0" fontId="2" fillId="0" borderId="0" xfId="0" applyFont="1"/>
    <xf numFmtId="167"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165"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8" fontId="0" fillId="0" borderId="0" xfId="0" applyNumberFormat="1" applyAlignment="1">
      <alignment vertical="top"/>
    </xf>
    <xf numFmtId="0" fontId="13" fillId="3" borderId="0" xfId="0" applyFont="1" applyFill="1"/>
    <xf numFmtId="43" fontId="0" fillId="3" borderId="0" xfId="1" applyFont="1" applyFill="1" applyProtection="1">
      <protection locked="0"/>
    </xf>
    <xf numFmtId="0" fontId="7" fillId="3" borderId="0" xfId="0" applyFont="1" applyFill="1" applyAlignment="1" applyProtection="1">
      <alignment horizontal="right"/>
      <protection locked="0"/>
    </xf>
    <xf numFmtId="0" fontId="7" fillId="0" borderId="0" xfId="0" applyFont="1"/>
    <xf numFmtId="0" fontId="13" fillId="0" borderId="0" xfId="0" applyFont="1"/>
    <xf numFmtId="0" fontId="1" fillId="0" borderId="0" xfId="0" applyFont="1"/>
    <xf numFmtId="0" fontId="1" fillId="6" borderId="0" xfId="1" applyNumberFormat="1" applyFont="1" applyFill="1" applyAlignment="1" applyProtection="1">
      <alignment horizontal="center"/>
      <protection locked="0"/>
    </xf>
    <xf numFmtId="169" fontId="1" fillId="6" borderId="0" xfId="1" applyNumberFormat="1" applyFont="1" applyFill="1" applyProtection="1">
      <protection locked="0"/>
    </xf>
    <xf numFmtId="0" fontId="1" fillId="0" borderId="0" xfId="0" applyFont="1" applyAlignment="1">
      <alignment horizontal="left"/>
    </xf>
    <xf numFmtId="0" fontId="1" fillId="6" borderId="0" xfId="0" applyFont="1" applyFill="1" applyAlignment="1" applyProtection="1">
      <alignment horizontal="left"/>
      <protection locked="0"/>
    </xf>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Data'!$P$697:$P$700</c:f>
              <c:numCache>
                <c:formatCode>0.000</c:formatCode>
                <c:ptCount val="4"/>
                <c:pt idx="0">
                  <c:v>2.1972245773362191</c:v>
                </c:pt>
                <c:pt idx="1">
                  <c:v>13.287579466295345</c:v>
                </c:pt>
                <c:pt idx="2">
                  <c:v>0</c:v>
                </c:pt>
                <c:pt idx="3">
                  <c:v>92</c:v>
                </c:pt>
              </c:numCache>
            </c:numRef>
          </c:xVal>
          <c:yVal>
            <c:numRef>
              <c:f>'Plot Data'!$Q$697:$Q$700</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Data'!$P$690:$P$693</c:f>
              <c:numCache>
                <c:formatCode>0.000</c:formatCode>
                <c:ptCount val="4"/>
                <c:pt idx="0">
                  <c:v>-2.1972245773362196</c:v>
                </c:pt>
                <c:pt idx="1">
                  <c:v>8.8931303116229046</c:v>
                </c:pt>
                <c:pt idx="2">
                  <c:v>0</c:v>
                </c:pt>
                <c:pt idx="3">
                  <c:v>92</c:v>
                </c:pt>
              </c:numCache>
            </c:numRef>
          </c:xVal>
          <c:yVal>
            <c:numRef>
              <c:f>'Plot Data'!$Q$690:$Q$693</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Data'!$P$704:$P$705</c:f>
              <c:numCache>
                <c:formatCode>General</c:formatCode>
                <c:ptCount val="2"/>
                <c:pt idx="0">
                  <c:v>0</c:v>
                </c:pt>
                <c:pt idx="1">
                  <c:v>92</c:v>
                </c:pt>
              </c:numCache>
            </c:numRef>
          </c:xVal>
          <c:yVal>
            <c:numRef>
              <c:f>'Plot Data'!$Q$704:$Q$705</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Data'!$P$707:$P$708</c:f>
              <c:numCache>
                <c:formatCode>General</c:formatCode>
                <c:ptCount val="2"/>
                <c:pt idx="0">
                  <c:v>92</c:v>
                </c:pt>
                <c:pt idx="1">
                  <c:v>92</c:v>
                </c:pt>
              </c:numCache>
            </c:numRef>
          </c:xVal>
          <c:yVal>
            <c:numRef>
              <c:f>'Plot Data'!$Q$707:$Q$708</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Data'!$A$9:$A$1220</c:f>
              <c:numCache>
                <c:formatCode>0.0</c:formatCode>
                <c:ptCount val="121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numCache>
            </c:numRef>
          </c:cat>
          <c:val>
            <c:numRef>
              <c:f>'Plot Data'!$H$9:$H$1220</c:f>
              <c:numCache>
                <c:formatCode>0,000</c:formatCode>
                <c:ptCount val="1212"/>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pt idx="501">
                  <c:v>122.53272116992653</c:v>
                </c:pt>
                <c:pt idx="502">
                  <c:v>122.78362465529852</c:v>
                </c:pt>
                <c:pt idx="503">
                  <c:v>123.03452814067052</c:v>
                </c:pt>
                <c:pt idx="504">
                  <c:v>123.28543162604251</c:v>
                </c:pt>
                <c:pt idx="505">
                  <c:v>123.5363351114145</c:v>
                </c:pt>
                <c:pt idx="506">
                  <c:v>123.78723859678649</c:v>
                </c:pt>
                <c:pt idx="507">
                  <c:v>124.0381420821585</c:v>
                </c:pt>
                <c:pt idx="508">
                  <c:v>124.28904556753049</c:v>
                </c:pt>
                <c:pt idx="509">
                  <c:v>124.53994905290249</c:v>
                </c:pt>
                <c:pt idx="510">
                  <c:v>124.79085253827448</c:v>
                </c:pt>
                <c:pt idx="511">
                  <c:v>125.04175602364647</c:v>
                </c:pt>
                <c:pt idx="512">
                  <c:v>125.29265950901846</c:v>
                </c:pt>
                <c:pt idx="513">
                  <c:v>125.54356299439046</c:v>
                </c:pt>
                <c:pt idx="514">
                  <c:v>125.79446647976245</c:v>
                </c:pt>
                <c:pt idx="515">
                  <c:v>126.04536996513444</c:v>
                </c:pt>
                <c:pt idx="516">
                  <c:v>126.29627345050643</c:v>
                </c:pt>
                <c:pt idx="517">
                  <c:v>126.54717693587843</c:v>
                </c:pt>
                <c:pt idx="518">
                  <c:v>126.79808042125042</c:v>
                </c:pt>
                <c:pt idx="519">
                  <c:v>127.04898390662241</c:v>
                </c:pt>
                <c:pt idx="520">
                  <c:v>127.2998873919944</c:v>
                </c:pt>
                <c:pt idx="521">
                  <c:v>127.5507908773664</c:v>
                </c:pt>
                <c:pt idx="522">
                  <c:v>127.80169436273839</c:v>
                </c:pt>
                <c:pt idx="523">
                  <c:v>128.05259784811037</c:v>
                </c:pt>
                <c:pt idx="524">
                  <c:v>128.30350133348239</c:v>
                </c:pt>
                <c:pt idx="525">
                  <c:v>128.55440481885438</c:v>
                </c:pt>
                <c:pt idx="526">
                  <c:v>128.80530830422637</c:v>
                </c:pt>
                <c:pt idx="527">
                  <c:v>129.05621178959836</c:v>
                </c:pt>
                <c:pt idx="528">
                  <c:v>129.30711527497036</c:v>
                </c:pt>
                <c:pt idx="529">
                  <c:v>129.55801876034235</c:v>
                </c:pt>
                <c:pt idx="530">
                  <c:v>129.80892224571434</c:v>
                </c:pt>
                <c:pt idx="531">
                  <c:v>130.05982573108633</c:v>
                </c:pt>
                <c:pt idx="532">
                  <c:v>130.31072921645833</c:v>
                </c:pt>
                <c:pt idx="533">
                  <c:v>130.56163270183032</c:v>
                </c:pt>
                <c:pt idx="534">
                  <c:v>130.81253618720231</c:v>
                </c:pt>
                <c:pt idx="535">
                  <c:v>131.0634396725743</c:v>
                </c:pt>
                <c:pt idx="536">
                  <c:v>131.3143431579463</c:v>
                </c:pt>
                <c:pt idx="537">
                  <c:v>131.56524664331829</c:v>
                </c:pt>
                <c:pt idx="538">
                  <c:v>131.81615012869028</c:v>
                </c:pt>
                <c:pt idx="539">
                  <c:v>132.06705361406227</c:v>
                </c:pt>
                <c:pt idx="540">
                  <c:v>132.31795709943427</c:v>
                </c:pt>
                <c:pt idx="541">
                  <c:v>132.56886058480626</c:v>
                </c:pt>
                <c:pt idx="542">
                  <c:v>132.81976407017825</c:v>
                </c:pt>
                <c:pt idx="543">
                  <c:v>133.07066755555024</c:v>
                </c:pt>
                <c:pt idx="544">
                  <c:v>133.32157104092224</c:v>
                </c:pt>
                <c:pt idx="545">
                  <c:v>133.57247452629423</c:v>
                </c:pt>
                <c:pt idx="546">
                  <c:v>133.82337801166622</c:v>
                </c:pt>
                <c:pt idx="547">
                  <c:v>134.07428149703824</c:v>
                </c:pt>
                <c:pt idx="548">
                  <c:v>134.32518498241024</c:v>
                </c:pt>
                <c:pt idx="549">
                  <c:v>134.57608846778223</c:v>
                </c:pt>
                <c:pt idx="550">
                  <c:v>134.82699195315422</c:v>
                </c:pt>
                <c:pt idx="551">
                  <c:v>135.07789543852621</c:v>
                </c:pt>
                <c:pt idx="552">
                  <c:v>135.3287989238982</c:v>
                </c:pt>
                <c:pt idx="553">
                  <c:v>135.5797024092702</c:v>
                </c:pt>
                <c:pt idx="554">
                  <c:v>135.83060589464219</c:v>
                </c:pt>
                <c:pt idx="555">
                  <c:v>136.08150938001418</c:v>
                </c:pt>
                <c:pt idx="556">
                  <c:v>136.33241286538617</c:v>
                </c:pt>
                <c:pt idx="557">
                  <c:v>136.58331635075817</c:v>
                </c:pt>
                <c:pt idx="558">
                  <c:v>136.83421983613016</c:v>
                </c:pt>
                <c:pt idx="559">
                  <c:v>137.08512332150215</c:v>
                </c:pt>
                <c:pt idx="560">
                  <c:v>137.33602680687414</c:v>
                </c:pt>
                <c:pt idx="561">
                  <c:v>137.58693029224614</c:v>
                </c:pt>
                <c:pt idx="562">
                  <c:v>137.83783377761813</c:v>
                </c:pt>
                <c:pt idx="563">
                  <c:v>138.08873726299012</c:v>
                </c:pt>
                <c:pt idx="564">
                  <c:v>138.33964074836211</c:v>
                </c:pt>
                <c:pt idx="565">
                  <c:v>138.59054423373411</c:v>
                </c:pt>
                <c:pt idx="566">
                  <c:v>138.8414477191061</c:v>
                </c:pt>
                <c:pt idx="567">
                  <c:v>139.09235120447809</c:v>
                </c:pt>
                <c:pt idx="568">
                  <c:v>139.34325468985008</c:v>
                </c:pt>
                <c:pt idx="569">
                  <c:v>139.59415817522208</c:v>
                </c:pt>
                <c:pt idx="570">
                  <c:v>139.84506166059407</c:v>
                </c:pt>
                <c:pt idx="571">
                  <c:v>140.09596514596609</c:v>
                </c:pt>
                <c:pt idx="572">
                  <c:v>140.34686863133808</c:v>
                </c:pt>
                <c:pt idx="573">
                  <c:v>140.59777211671008</c:v>
                </c:pt>
                <c:pt idx="574">
                  <c:v>140.84867560208207</c:v>
                </c:pt>
                <c:pt idx="575">
                  <c:v>141.09957908745406</c:v>
                </c:pt>
                <c:pt idx="576">
                  <c:v>141.35048257282605</c:v>
                </c:pt>
                <c:pt idx="577">
                  <c:v>141.60138605819805</c:v>
                </c:pt>
                <c:pt idx="578">
                  <c:v>141.85228954357004</c:v>
                </c:pt>
                <c:pt idx="579">
                  <c:v>142.10319302894203</c:v>
                </c:pt>
                <c:pt idx="580">
                  <c:v>142.35409651431402</c:v>
                </c:pt>
                <c:pt idx="581">
                  <c:v>142.60499999968602</c:v>
                </c:pt>
                <c:pt idx="582">
                  <c:v>142.85590348505801</c:v>
                </c:pt>
                <c:pt idx="583">
                  <c:v>143.10680697043</c:v>
                </c:pt>
                <c:pt idx="584">
                  <c:v>143.35771045580199</c:v>
                </c:pt>
                <c:pt idx="585">
                  <c:v>143.60861394117399</c:v>
                </c:pt>
                <c:pt idx="586">
                  <c:v>143.85951742654598</c:v>
                </c:pt>
                <c:pt idx="587">
                  <c:v>144.11042091191797</c:v>
                </c:pt>
                <c:pt idx="588">
                  <c:v>144.36132439728996</c:v>
                </c:pt>
                <c:pt idx="589">
                  <c:v>144.61222788266195</c:v>
                </c:pt>
                <c:pt idx="590">
                  <c:v>144.86313136803395</c:v>
                </c:pt>
                <c:pt idx="591">
                  <c:v>145.11403485340594</c:v>
                </c:pt>
                <c:pt idx="592">
                  <c:v>145.36493833877793</c:v>
                </c:pt>
                <c:pt idx="593">
                  <c:v>145.61584182414992</c:v>
                </c:pt>
                <c:pt idx="594">
                  <c:v>145.86674530952195</c:v>
                </c:pt>
                <c:pt idx="595">
                  <c:v>146.11764879489394</c:v>
                </c:pt>
                <c:pt idx="596">
                  <c:v>146.36855228026593</c:v>
                </c:pt>
                <c:pt idx="597">
                  <c:v>146.61945576563792</c:v>
                </c:pt>
                <c:pt idx="598">
                  <c:v>146.87035925100992</c:v>
                </c:pt>
                <c:pt idx="599">
                  <c:v>147.12126273638191</c:v>
                </c:pt>
                <c:pt idx="600">
                  <c:v>147.3721662217539</c:v>
                </c:pt>
                <c:pt idx="601">
                  <c:v>147.62306970712589</c:v>
                </c:pt>
                <c:pt idx="602">
                  <c:v>147.87397319249789</c:v>
                </c:pt>
                <c:pt idx="603">
                  <c:v>148.12487667786988</c:v>
                </c:pt>
                <c:pt idx="604">
                  <c:v>148.37578016324187</c:v>
                </c:pt>
                <c:pt idx="605">
                  <c:v>148.62668364861386</c:v>
                </c:pt>
                <c:pt idx="606">
                  <c:v>148.87758713398586</c:v>
                </c:pt>
                <c:pt idx="607">
                  <c:v>149.12849061935785</c:v>
                </c:pt>
                <c:pt idx="608">
                  <c:v>149.37939410472984</c:v>
                </c:pt>
                <c:pt idx="609">
                  <c:v>149.63029759010183</c:v>
                </c:pt>
                <c:pt idx="610">
                  <c:v>149.88120107547383</c:v>
                </c:pt>
                <c:pt idx="611">
                  <c:v>150.13210456084582</c:v>
                </c:pt>
                <c:pt idx="612">
                  <c:v>150.38300804621781</c:v>
                </c:pt>
                <c:pt idx="613">
                  <c:v>150.6339115315898</c:v>
                </c:pt>
                <c:pt idx="614">
                  <c:v>150.8848150169618</c:v>
                </c:pt>
                <c:pt idx="615">
                  <c:v>151.13571850233379</c:v>
                </c:pt>
                <c:pt idx="616">
                  <c:v>151.38662198770578</c:v>
                </c:pt>
                <c:pt idx="617">
                  <c:v>151.6375254730778</c:v>
                </c:pt>
                <c:pt idx="618">
                  <c:v>151.88842895844979</c:v>
                </c:pt>
                <c:pt idx="619">
                  <c:v>152.13933244382179</c:v>
                </c:pt>
                <c:pt idx="620">
                  <c:v>152.39023592919378</c:v>
                </c:pt>
                <c:pt idx="621">
                  <c:v>152.64113941456577</c:v>
                </c:pt>
                <c:pt idx="622">
                  <c:v>152.89204289993776</c:v>
                </c:pt>
                <c:pt idx="623">
                  <c:v>153.14294638530976</c:v>
                </c:pt>
                <c:pt idx="624">
                  <c:v>153.39384987068175</c:v>
                </c:pt>
                <c:pt idx="625">
                  <c:v>153.64475335605374</c:v>
                </c:pt>
                <c:pt idx="626">
                  <c:v>153.89565684142573</c:v>
                </c:pt>
                <c:pt idx="627">
                  <c:v>154.14656032679773</c:v>
                </c:pt>
                <c:pt idx="628">
                  <c:v>154.39746381216972</c:v>
                </c:pt>
                <c:pt idx="629">
                  <c:v>154.64836729754171</c:v>
                </c:pt>
                <c:pt idx="630">
                  <c:v>154.8992707829137</c:v>
                </c:pt>
                <c:pt idx="631">
                  <c:v>155.1501742682857</c:v>
                </c:pt>
                <c:pt idx="632">
                  <c:v>155.40107775365769</c:v>
                </c:pt>
                <c:pt idx="633">
                  <c:v>155.65198123902968</c:v>
                </c:pt>
                <c:pt idx="634">
                  <c:v>155.90288472440167</c:v>
                </c:pt>
                <c:pt idx="635">
                  <c:v>156.15378820977367</c:v>
                </c:pt>
                <c:pt idx="636">
                  <c:v>156.40469169514566</c:v>
                </c:pt>
                <c:pt idx="637">
                  <c:v>156.65559518051765</c:v>
                </c:pt>
                <c:pt idx="638">
                  <c:v>156.90649866588964</c:v>
                </c:pt>
                <c:pt idx="639">
                  <c:v>157.15740215126164</c:v>
                </c:pt>
                <c:pt idx="640">
                  <c:v>157.40830563663366</c:v>
                </c:pt>
                <c:pt idx="641">
                  <c:v>157.65920912200565</c:v>
                </c:pt>
                <c:pt idx="642">
                  <c:v>157.91011260737764</c:v>
                </c:pt>
                <c:pt idx="643">
                  <c:v>158.16101609274963</c:v>
                </c:pt>
                <c:pt idx="644">
                  <c:v>158.41191957812163</c:v>
                </c:pt>
                <c:pt idx="645">
                  <c:v>158.66282306349362</c:v>
                </c:pt>
                <c:pt idx="646">
                  <c:v>158.91372654886561</c:v>
                </c:pt>
                <c:pt idx="647">
                  <c:v>159.1646300342376</c:v>
                </c:pt>
                <c:pt idx="648">
                  <c:v>159.4155335196096</c:v>
                </c:pt>
                <c:pt idx="649">
                  <c:v>159.66643700498159</c:v>
                </c:pt>
                <c:pt idx="650">
                  <c:v>159.91734049035358</c:v>
                </c:pt>
                <c:pt idx="651">
                  <c:v>160.16824397572557</c:v>
                </c:pt>
                <c:pt idx="652">
                  <c:v>160.41914746109757</c:v>
                </c:pt>
                <c:pt idx="653">
                  <c:v>160.67005094646956</c:v>
                </c:pt>
                <c:pt idx="654">
                  <c:v>160.92095443184155</c:v>
                </c:pt>
                <c:pt idx="655">
                  <c:v>161.17185791721354</c:v>
                </c:pt>
                <c:pt idx="656">
                  <c:v>161.42276140258554</c:v>
                </c:pt>
                <c:pt idx="657">
                  <c:v>161.67366488795753</c:v>
                </c:pt>
                <c:pt idx="658">
                  <c:v>161.92456837332952</c:v>
                </c:pt>
                <c:pt idx="659">
                  <c:v>162.17547185870151</c:v>
                </c:pt>
                <c:pt idx="660">
                  <c:v>162.42637534407351</c:v>
                </c:pt>
                <c:pt idx="661">
                  <c:v>162.6772788294455</c:v>
                </c:pt>
                <c:pt idx="662">
                  <c:v>162.92818231481749</c:v>
                </c:pt>
                <c:pt idx="663">
                  <c:v>163.17908580018948</c:v>
                </c:pt>
                <c:pt idx="664">
                  <c:v>163.4299892855615</c:v>
                </c:pt>
                <c:pt idx="665">
                  <c:v>163.6808927709335</c:v>
                </c:pt>
                <c:pt idx="666">
                  <c:v>163.93179625630549</c:v>
                </c:pt>
                <c:pt idx="667">
                  <c:v>164.18269974167748</c:v>
                </c:pt>
                <c:pt idx="668">
                  <c:v>164.43360322704947</c:v>
                </c:pt>
                <c:pt idx="669">
                  <c:v>164.68450671242147</c:v>
                </c:pt>
                <c:pt idx="670">
                  <c:v>164.93541019779346</c:v>
                </c:pt>
                <c:pt idx="671">
                  <c:v>165.18631368316545</c:v>
                </c:pt>
                <c:pt idx="672">
                  <c:v>165.43721716853744</c:v>
                </c:pt>
                <c:pt idx="673">
                  <c:v>165.68812065390944</c:v>
                </c:pt>
                <c:pt idx="674">
                  <c:v>165.93902413928143</c:v>
                </c:pt>
                <c:pt idx="675">
                  <c:v>166.18992762465342</c:v>
                </c:pt>
                <c:pt idx="676">
                  <c:v>166.44083111002541</c:v>
                </c:pt>
                <c:pt idx="677">
                  <c:v>166.69173459539741</c:v>
                </c:pt>
                <c:pt idx="678">
                  <c:v>166.9426380807694</c:v>
                </c:pt>
                <c:pt idx="679">
                  <c:v>167.19354156614139</c:v>
                </c:pt>
                <c:pt idx="680">
                  <c:v>167.44444505151338</c:v>
                </c:pt>
                <c:pt idx="681">
                  <c:v>167.69534853688538</c:v>
                </c:pt>
                <c:pt idx="682">
                  <c:v>167.94625202225737</c:v>
                </c:pt>
                <c:pt idx="683">
                  <c:v>168.19715550762936</c:v>
                </c:pt>
                <c:pt idx="684">
                  <c:v>168.44805899300135</c:v>
                </c:pt>
                <c:pt idx="685">
                  <c:v>168.69896247837335</c:v>
                </c:pt>
                <c:pt idx="686">
                  <c:v>168.94986596374534</c:v>
                </c:pt>
                <c:pt idx="687">
                  <c:v>169.20076944911736</c:v>
                </c:pt>
                <c:pt idx="688">
                  <c:v>169.45167293448935</c:v>
                </c:pt>
                <c:pt idx="689">
                  <c:v>169.70257641986134</c:v>
                </c:pt>
                <c:pt idx="690">
                  <c:v>169.95347990523334</c:v>
                </c:pt>
                <c:pt idx="691">
                  <c:v>170.20438339060533</c:v>
                </c:pt>
                <c:pt idx="692">
                  <c:v>170.45528687597732</c:v>
                </c:pt>
                <c:pt idx="693">
                  <c:v>170.70619036134931</c:v>
                </c:pt>
                <c:pt idx="694">
                  <c:v>170.95709384672131</c:v>
                </c:pt>
                <c:pt idx="695">
                  <c:v>171.2079973320933</c:v>
                </c:pt>
                <c:pt idx="696">
                  <c:v>171.45890081746529</c:v>
                </c:pt>
                <c:pt idx="697">
                  <c:v>171.70980430283728</c:v>
                </c:pt>
                <c:pt idx="698">
                  <c:v>171.96070778820928</c:v>
                </c:pt>
                <c:pt idx="699">
                  <c:v>172.21161127358127</c:v>
                </c:pt>
                <c:pt idx="700">
                  <c:v>172.46251475895326</c:v>
                </c:pt>
                <c:pt idx="701">
                  <c:v>172.71341824432525</c:v>
                </c:pt>
                <c:pt idx="702">
                  <c:v>172.96432172969725</c:v>
                </c:pt>
                <c:pt idx="703">
                  <c:v>173.21522521506924</c:v>
                </c:pt>
                <c:pt idx="704">
                  <c:v>173.46612870044123</c:v>
                </c:pt>
                <c:pt idx="705">
                  <c:v>173.71703218581322</c:v>
                </c:pt>
                <c:pt idx="706">
                  <c:v>173.96793567118522</c:v>
                </c:pt>
                <c:pt idx="707">
                  <c:v>174.21883915655721</c:v>
                </c:pt>
                <c:pt idx="708">
                  <c:v>174.4697426419292</c:v>
                </c:pt>
                <c:pt idx="709">
                  <c:v>174.72064612730119</c:v>
                </c:pt>
                <c:pt idx="710">
                  <c:v>174.97154961267321</c:v>
                </c:pt>
                <c:pt idx="711">
                  <c:v>175.22245309804521</c:v>
                </c:pt>
                <c:pt idx="712">
                  <c:v>175.4733565834172</c:v>
                </c:pt>
                <c:pt idx="713">
                  <c:v>175.72426006878919</c:v>
                </c:pt>
                <c:pt idx="714">
                  <c:v>175.97516355416118</c:v>
                </c:pt>
                <c:pt idx="715">
                  <c:v>176.22606703953318</c:v>
                </c:pt>
                <c:pt idx="716">
                  <c:v>176.47697052490517</c:v>
                </c:pt>
                <c:pt idx="717">
                  <c:v>176.72787401027716</c:v>
                </c:pt>
                <c:pt idx="718">
                  <c:v>176.97877749564915</c:v>
                </c:pt>
                <c:pt idx="719">
                  <c:v>177.22968098102115</c:v>
                </c:pt>
                <c:pt idx="720">
                  <c:v>177.48058446639314</c:v>
                </c:pt>
                <c:pt idx="721">
                  <c:v>177.73148795176513</c:v>
                </c:pt>
                <c:pt idx="722">
                  <c:v>177.98239143713712</c:v>
                </c:pt>
                <c:pt idx="723">
                  <c:v>178.23329492250912</c:v>
                </c:pt>
                <c:pt idx="724">
                  <c:v>178.48419840788111</c:v>
                </c:pt>
                <c:pt idx="725">
                  <c:v>178.7351018932531</c:v>
                </c:pt>
                <c:pt idx="726">
                  <c:v>178.98600537862509</c:v>
                </c:pt>
                <c:pt idx="727">
                  <c:v>179.23690886399709</c:v>
                </c:pt>
                <c:pt idx="728">
                  <c:v>179.48781234936908</c:v>
                </c:pt>
                <c:pt idx="729">
                  <c:v>179.73871583474107</c:v>
                </c:pt>
                <c:pt idx="730">
                  <c:v>179.98961932011306</c:v>
                </c:pt>
                <c:pt idx="731">
                  <c:v>180.24052280548506</c:v>
                </c:pt>
                <c:pt idx="732">
                  <c:v>180.49142629085705</c:v>
                </c:pt>
                <c:pt idx="733">
                  <c:v>180.74232977622904</c:v>
                </c:pt>
                <c:pt idx="734">
                  <c:v>180.99323326160106</c:v>
                </c:pt>
                <c:pt idx="735">
                  <c:v>181.24413674697306</c:v>
                </c:pt>
                <c:pt idx="736">
                  <c:v>181.49504023234505</c:v>
                </c:pt>
                <c:pt idx="737">
                  <c:v>181.74594371771704</c:v>
                </c:pt>
                <c:pt idx="738">
                  <c:v>181.99684720308903</c:v>
                </c:pt>
                <c:pt idx="739">
                  <c:v>182.24775068846102</c:v>
                </c:pt>
                <c:pt idx="740">
                  <c:v>182.49865417383302</c:v>
                </c:pt>
                <c:pt idx="741">
                  <c:v>182.74955765920501</c:v>
                </c:pt>
                <c:pt idx="742">
                  <c:v>183.000461144577</c:v>
                </c:pt>
                <c:pt idx="743">
                  <c:v>183.25136462994899</c:v>
                </c:pt>
                <c:pt idx="744">
                  <c:v>183.50226811532099</c:v>
                </c:pt>
                <c:pt idx="745">
                  <c:v>183.75317160069298</c:v>
                </c:pt>
                <c:pt idx="746">
                  <c:v>184.00407508606497</c:v>
                </c:pt>
                <c:pt idx="747">
                  <c:v>184.25497857143696</c:v>
                </c:pt>
                <c:pt idx="748">
                  <c:v>184.50588205680896</c:v>
                </c:pt>
                <c:pt idx="749">
                  <c:v>184.75678554218095</c:v>
                </c:pt>
                <c:pt idx="750">
                  <c:v>185.00768902755294</c:v>
                </c:pt>
                <c:pt idx="751">
                  <c:v>185.25859251292493</c:v>
                </c:pt>
                <c:pt idx="752">
                  <c:v>185.50949599829693</c:v>
                </c:pt>
                <c:pt idx="753">
                  <c:v>185.76039948366892</c:v>
                </c:pt>
                <c:pt idx="754">
                  <c:v>186.01130296904091</c:v>
                </c:pt>
                <c:pt idx="755">
                  <c:v>186.2622064544129</c:v>
                </c:pt>
                <c:pt idx="756">
                  <c:v>186.5131099397849</c:v>
                </c:pt>
                <c:pt idx="757">
                  <c:v>186.76401342515692</c:v>
                </c:pt>
                <c:pt idx="758">
                  <c:v>187.01491691052891</c:v>
                </c:pt>
                <c:pt idx="759">
                  <c:v>187.2658203959009</c:v>
                </c:pt>
                <c:pt idx="760">
                  <c:v>187.5167238812729</c:v>
                </c:pt>
                <c:pt idx="761">
                  <c:v>187.76762736664489</c:v>
                </c:pt>
                <c:pt idx="762">
                  <c:v>188.01853085201688</c:v>
                </c:pt>
                <c:pt idx="763">
                  <c:v>188.26943433738887</c:v>
                </c:pt>
                <c:pt idx="764">
                  <c:v>188.52033782276087</c:v>
                </c:pt>
                <c:pt idx="765">
                  <c:v>188.77124130813286</c:v>
                </c:pt>
                <c:pt idx="766">
                  <c:v>189.02214479350485</c:v>
                </c:pt>
                <c:pt idx="767">
                  <c:v>189.27304827887684</c:v>
                </c:pt>
                <c:pt idx="768">
                  <c:v>189.52395176424884</c:v>
                </c:pt>
                <c:pt idx="769">
                  <c:v>189.77485524962083</c:v>
                </c:pt>
                <c:pt idx="770">
                  <c:v>190.02575873499282</c:v>
                </c:pt>
                <c:pt idx="771">
                  <c:v>190.27666222036481</c:v>
                </c:pt>
                <c:pt idx="772">
                  <c:v>190.52756570573681</c:v>
                </c:pt>
                <c:pt idx="773">
                  <c:v>190.7784691911088</c:v>
                </c:pt>
                <c:pt idx="774">
                  <c:v>191.02937267648079</c:v>
                </c:pt>
                <c:pt idx="775">
                  <c:v>191.28027616185278</c:v>
                </c:pt>
                <c:pt idx="776">
                  <c:v>191.53117964722477</c:v>
                </c:pt>
                <c:pt idx="777">
                  <c:v>191.78208313259677</c:v>
                </c:pt>
                <c:pt idx="778">
                  <c:v>192.03298661796876</c:v>
                </c:pt>
                <c:pt idx="779">
                  <c:v>192.28389010334075</c:v>
                </c:pt>
                <c:pt idx="780">
                  <c:v>192.53479358871277</c:v>
                </c:pt>
                <c:pt idx="781">
                  <c:v>192.78569707408477</c:v>
                </c:pt>
                <c:pt idx="782">
                  <c:v>193.03660055945676</c:v>
                </c:pt>
                <c:pt idx="783">
                  <c:v>193.28750404482875</c:v>
                </c:pt>
                <c:pt idx="784">
                  <c:v>193.53840753020074</c:v>
                </c:pt>
                <c:pt idx="785">
                  <c:v>193.78931101557274</c:v>
                </c:pt>
                <c:pt idx="786">
                  <c:v>194.04021450094473</c:v>
                </c:pt>
                <c:pt idx="787">
                  <c:v>194.29111798631672</c:v>
                </c:pt>
                <c:pt idx="788">
                  <c:v>194.54202147168871</c:v>
                </c:pt>
                <c:pt idx="789">
                  <c:v>194.79292495706071</c:v>
                </c:pt>
                <c:pt idx="790">
                  <c:v>195.0438284424327</c:v>
                </c:pt>
                <c:pt idx="791">
                  <c:v>195.29473192780469</c:v>
                </c:pt>
                <c:pt idx="792">
                  <c:v>195.54563541317668</c:v>
                </c:pt>
                <c:pt idx="793">
                  <c:v>195.79653889854868</c:v>
                </c:pt>
                <c:pt idx="794">
                  <c:v>196.04744238392067</c:v>
                </c:pt>
                <c:pt idx="795">
                  <c:v>196.29834586929266</c:v>
                </c:pt>
                <c:pt idx="796">
                  <c:v>196.54924935466465</c:v>
                </c:pt>
                <c:pt idx="797">
                  <c:v>196.80015284003665</c:v>
                </c:pt>
                <c:pt idx="798">
                  <c:v>197.05105632540864</c:v>
                </c:pt>
                <c:pt idx="799">
                  <c:v>197.30195981078063</c:v>
                </c:pt>
                <c:pt idx="800">
                  <c:v>197.55286329615262</c:v>
                </c:pt>
                <c:pt idx="801">
                  <c:v>197.80376678152462</c:v>
                </c:pt>
                <c:pt idx="802">
                  <c:v>198.05467026689661</c:v>
                </c:pt>
                <c:pt idx="803">
                  <c:v>198.30557375226863</c:v>
                </c:pt>
                <c:pt idx="804">
                  <c:v>198.55647723764062</c:v>
                </c:pt>
                <c:pt idx="805">
                  <c:v>198.80738072301261</c:v>
                </c:pt>
                <c:pt idx="806">
                  <c:v>199.05828420838461</c:v>
                </c:pt>
                <c:pt idx="807">
                  <c:v>199.3091876937566</c:v>
                </c:pt>
                <c:pt idx="808">
                  <c:v>199.56009117912859</c:v>
                </c:pt>
                <c:pt idx="809">
                  <c:v>199.81099466450058</c:v>
                </c:pt>
                <c:pt idx="810">
                  <c:v>200.06189814987258</c:v>
                </c:pt>
                <c:pt idx="811">
                  <c:v>200.31280163524457</c:v>
                </c:pt>
                <c:pt idx="812">
                  <c:v>200.56370512061656</c:v>
                </c:pt>
                <c:pt idx="813">
                  <c:v>200.81460860598855</c:v>
                </c:pt>
                <c:pt idx="814">
                  <c:v>201.06551209136055</c:v>
                </c:pt>
                <c:pt idx="815">
                  <c:v>201.31641557673254</c:v>
                </c:pt>
                <c:pt idx="816">
                  <c:v>201.56731906210453</c:v>
                </c:pt>
                <c:pt idx="817">
                  <c:v>201.81822254747652</c:v>
                </c:pt>
                <c:pt idx="818">
                  <c:v>202.06912603284852</c:v>
                </c:pt>
                <c:pt idx="819">
                  <c:v>202.32002951822051</c:v>
                </c:pt>
                <c:pt idx="820">
                  <c:v>202.5709330035925</c:v>
                </c:pt>
                <c:pt idx="821">
                  <c:v>202.82183648896449</c:v>
                </c:pt>
                <c:pt idx="822">
                  <c:v>203.07273997433649</c:v>
                </c:pt>
                <c:pt idx="823">
                  <c:v>203.32364345970848</c:v>
                </c:pt>
                <c:pt idx="824">
                  <c:v>203.57454694508047</c:v>
                </c:pt>
                <c:pt idx="825">
                  <c:v>203.82545043045246</c:v>
                </c:pt>
                <c:pt idx="826">
                  <c:v>204.07635391582446</c:v>
                </c:pt>
                <c:pt idx="827">
                  <c:v>204.32725740119648</c:v>
                </c:pt>
                <c:pt idx="828">
                  <c:v>204.57816088656847</c:v>
                </c:pt>
                <c:pt idx="829">
                  <c:v>204.82906437194046</c:v>
                </c:pt>
                <c:pt idx="830">
                  <c:v>205.07996785731245</c:v>
                </c:pt>
                <c:pt idx="831">
                  <c:v>205.33087134268445</c:v>
                </c:pt>
                <c:pt idx="832">
                  <c:v>205.58177482805644</c:v>
                </c:pt>
                <c:pt idx="833">
                  <c:v>205.83267831342843</c:v>
                </c:pt>
                <c:pt idx="834">
                  <c:v>206.08358179880042</c:v>
                </c:pt>
                <c:pt idx="835">
                  <c:v>206.33448528417242</c:v>
                </c:pt>
                <c:pt idx="836">
                  <c:v>206.58538876954441</c:v>
                </c:pt>
                <c:pt idx="837">
                  <c:v>206.8362922549164</c:v>
                </c:pt>
                <c:pt idx="838">
                  <c:v>207.08719574028839</c:v>
                </c:pt>
                <c:pt idx="839">
                  <c:v>207.33809922566039</c:v>
                </c:pt>
                <c:pt idx="840">
                  <c:v>207.58900271103238</c:v>
                </c:pt>
                <c:pt idx="841">
                  <c:v>207.83990619640437</c:v>
                </c:pt>
                <c:pt idx="842">
                  <c:v>208.09080968177636</c:v>
                </c:pt>
                <c:pt idx="843">
                  <c:v>208.34171316714836</c:v>
                </c:pt>
                <c:pt idx="844">
                  <c:v>208.59261665252035</c:v>
                </c:pt>
                <c:pt idx="845">
                  <c:v>208.84352013789234</c:v>
                </c:pt>
                <c:pt idx="846">
                  <c:v>209.09442362326433</c:v>
                </c:pt>
                <c:pt idx="847">
                  <c:v>209.34532710863633</c:v>
                </c:pt>
                <c:pt idx="848">
                  <c:v>209.59623059400832</c:v>
                </c:pt>
                <c:pt idx="849">
                  <c:v>209.84713407938031</c:v>
                </c:pt>
                <c:pt idx="850">
                  <c:v>210.09803756475233</c:v>
                </c:pt>
                <c:pt idx="851">
                  <c:v>210.34894105012432</c:v>
                </c:pt>
                <c:pt idx="852">
                  <c:v>210.59984453549632</c:v>
                </c:pt>
                <c:pt idx="853">
                  <c:v>210.85074802086831</c:v>
                </c:pt>
                <c:pt idx="854">
                  <c:v>211.1016515062403</c:v>
                </c:pt>
                <c:pt idx="855">
                  <c:v>211.35255499161229</c:v>
                </c:pt>
                <c:pt idx="856">
                  <c:v>211.60345847698429</c:v>
                </c:pt>
                <c:pt idx="857">
                  <c:v>211.85436196235628</c:v>
                </c:pt>
                <c:pt idx="858">
                  <c:v>212.10526544772827</c:v>
                </c:pt>
                <c:pt idx="859">
                  <c:v>212.35616893310026</c:v>
                </c:pt>
                <c:pt idx="860">
                  <c:v>212.60707241847226</c:v>
                </c:pt>
                <c:pt idx="861">
                  <c:v>212.85797590384425</c:v>
                </c:pt>
                <c:pt idx="862">
                  <c:v>213.10887938921624</c:v>
                </c:pt>
                <c:pt idx="863">
                  <c:v>213.35978287458823</c:v>
                </c:pt>
                <c:pt idx="864">
                  <c:v>213.61068635996023</c:v>
                </c:pt>
                <c:pt idx="865">
                  <c:v>213.86158984533222</c:v>
                </c:pt>
                <c:pt idx="866">
                  <c:v>214.11249333070421</c:v>
                </c:pt>
                <c:pt idx="867">
                  <c:v>214.3633968160762</c:v>
                </c:pt>
                <c:pt idx="868">
                  <c:v>214.6143003014482</c:v>
                </c:pt>
                <c:pt idx="869">
                  <c:v>214.86520378682019</c:v>
                </c:pt>
                <c:pt idx="870">
                  <c:v>215.11610727219218</c:v>
                </c:pt>
                <c:pt idx="871">
                  <c:v>215.36701075756417</c:v>
                </c:pt>
                <c:pt idx="872">
                  <c:v>215.61791424293617</c:v>
                </c:pt>
                <c:pt idx="873">
                  <c:v>215.86881772830819</c:v>
                </c:pt>
                <c:pt idx="874">
                  <c:v>216.11972121368018</c:v>
                </c:pt>
                <c:pt idx="875">
                  <c:v>216.37062469905217</c:v>
                </c:pt>
                <c:pt idx="876">
                  <c:v>216.62152818442416</c:v>
                </c:pt>
                <c:pt idx="877">
                  <c:v>216.87243166979616</c:v>
                </c:pt>
                <c:pt idx="878">
                  <c:v>217.12333515516815</c:v>
                </c:pt>
                <c:pt idx="879">
                  <c:v>217.37423864054014</c:v>
                </c:pt>
                <c:pt idx="880">
                  <c:v>217.62514212591213</c:v>
                </c:pt>
                <c:pt idx="881">
                  <c:v>217.87604561128413</c:v>
                </c:pt>
                <c:pt idx="882">
                  <c:v>218.12694909665612</c:v>
                </c:pt>
                <c:pt idx="883">
                  <c:v>218.37785258202811</c:v>
                </c:pt>
                <c:pt idx="884">
                  <c:v>218.6287560674001</c:v>
                </c:pt>
                <c:pt idx="885">
                  <c:v>218.8796595527721</c:v>
                </c:pt>
                <c:pt idx="886">
                  <c:v>219.13056303814409</c:v>
                </c:pt>
                <c:pt idx="887">
                  <c:v>219.38146652351608</c:v>
                </c:pt>
                <c:pt idx="888">
                  <c:v>219.63237000888807</c:v>
                </c:pt>
                <c:pt idx="889">
                  <c:v>219.88327349426007</c:v>
                </c:pt>
                <c:pt idx="890">
                  <c:v>220.13417697963206</c:v>
                </c:pt>
                <c:pt idx="891">
                  <c:v>220.38508046500405</c:v>
                </c:pt>
                <c:pt idx="892">
                  <c:v>220.63598395037604</c:v>
                </c:pt>
                <c:pt idx="893">
                  <c:v>220.88688743574804</c:v>
                </c:pt>
                <c:pt idx="894">
                  <c:v>221.13779092112003</c:v>
                </c:pt>
                <c:pt idx="895">
                  <c:v>221.38869440649202</c:v>
                </c:pt>
                <c:pt idx="896">
                  <c:v>221.63959789186401</c:v>
                </c:pt>
                <c:pt idx="897">
                  <c:v>221.89050137723603</c:v>
                </c:pt>
                <c:pt idx="898">
                  <c:v>222.14140486260803</c:v>
                </c:pt>
                <c:pt idx="899">
                  <c:v>222.39230834798002</c:v>
                </c:pt>
                <c:pt idx="900">
                  <c:v>222.64321183335201</c:v>
                </c:pt>
                <c:pt idx="901">
                  <c:v>222.894115318724</c:v>
                </c:pt>
                <c:pt idx="902">
                  <c:v>223.145018804096</c:v>
                </c:pt>
                <c:pt idx="903">
                  <c:v>223.39592228946799</c:v>
                </c:pt>
                <c:pt idx="904">
                  <c:v>223.64682577483998</c:v>
                </c:pt>
                <c:pt idx="905">
                  <c:v>223.89772926021197</c:v>
                </c:pt>
                <c:pt idx="906">
                  <c:v>224.14863274558397</c:v>
                </c:pt>
                <c:pt idx="907">
                  <c:v>224.39953623095596</c:v>
                </c:pt>
                <c:pt idx="908">
                  <c:v>224.65043971632795</c:v>
                </c:pt>
                <c:pt idx="909">
                  <c:v>224.90134320169994</c:v>
                </c:pt>
                <c:pt idx="910">
                  <c:v>225.15224668707194</c:v>
                </c:pt>
                <c:pt idx="911">
                  <c:v>225.40315017244393</c:v>
                </c:pt>
                <c:pt idx="912">
                  <c:v>225.65405365781592</c:v>
                </c:pt>
                <c:pt idx="913">
                  <c:v>225.90495714318791</c:v>
                </c:pt>
                <c:pt idx="914">
                  <c:v>226.15586062855991</c:v>
                </c:pt>
                <c:pt idx="915">
                  <c:v>226.4067641139319</c:v>
                </c:pt>
                <c:pt idx="916">
                  <c:v>226.65766759930389</c:v>
                </c:pt>
                <c:pt idx="917">
                  <c:v>226.90857108467588</c:v>
                </c:pt>
                <c:pt idx="918">
                  <c:v>227.15947457004788</c:v>
                </c:pt>
                <c:pt idx="919">
                  <c:v>227.41037805541987</c:v>
                </c:pt>
                <c:pt idx="920">
                  <c:v>227.66128154079189</c:v>
                </c:pt>
                <c:pt idx="921">
                  <c:v>227.91218502616388</c:v>
                </c:pt>
                <c:pt idx="922">
                  <c:v>228.16308851153588</c:v>
                </c:pt>
                <c:pt idx="923">
                  <c:v>228.41399199690787</c:v>
                </c:pt>
                <c:pt idx="924">
                  <c:v>228.66489548227986</c:v>
                </c:pt>
                <c:pt idx="925">
                  <c:v>228.91579896765185</c:v>
                </c:pt>
                <c:pt idx="926">
                  <c:v>229.16670245302385</c:v>
                </c:pt>
                <c:pt idx="927">
                  <c:v>229.41760593839584</c:v>
                </c:pt>
                <c:pt idx="928">
                  <c:v>229.66850942376783</c:v>
                </c:pt>
                <c:pt idx="929">
                  <c:v>229.91941290913982</c:v>
                </c:pt>
                <c:pt idx="930">
                  <c:v>230.17031639451181</c:v>
                </c:pt>
                <c:pt idx="931">
                  <c:v>230.42121987988381</c:v>
                </c:pt>
                <c:pt idx="932">
                  <c:v>230.6721233652558</c:v>
                </c:pt>
                <c:pt idx="933">
                  <c:v>230.92302685062779</c:v>
                </c:pt>
                <c:pt idx="934">
                  <c:v>231.17393033599978</c:v>
                </c:pt>
                <c:pt idx="935">
                  <c:v>231.42483382137178</c:v>
                </c:pt>
                <c:pt idx="936">
                  <c:v>231.67573730674377</c:v>
                </c:pt>
                <c:pt idx="937">
                  <c:v>231.92664079211576</c:v>
                </c:pt>
                <c:pt idx="938">
                  <c:v>232.17754427748775</c:v>
                </c:pt>
                <c:pt idx="939">
                  <c:v>232.42844776285975</c:v>
                </c:pt>
                <c:pt idx="940">
                  <c:v>232.67935124823174</c:v>
                </c:pt>
                <c:pt idx="941">
                  <c:v>232.93025473360373</c:v>
                </c:pt>
                <c:pt idx="942">
                  <c:v>233.18115821897572</c:v>
                </c:pt>
                <c:pt idx="943">
                  <c:v>233.43206170434775</c:v>
                </c:pt>
                <c:pt idx="944">
                  <c:v>233.68296518971974</c:v>
                </c:pt>
                <c:pt idx="945">
                  <c:v>233.93386867509173</c:v>
                </c:pt>
                <c:pt idx="946">
                  <c:v>234.18477216046372</c:v>
                </c:pt>
                <c:pt idx="947">
                  <c:v>234.43567564583572</c:v>
                </c:pt>
                <c:pt idx="948">
                  <c:v>234.68657913120771</c:v>
                </c:pt>
                <c:pt idx="949">
                  <c:v>234.9374826165797</c:v>
                </c:pt>
                <c:pt idx="950">
                  <c:v>235.18838610195169</c:v>
                </c:pt>
                <c:pt idx="951">
                  <c:v>235.43928958732369</c:v>
                </c:pt>
                <c:pt idx="952">
                  <c:v>235.69019307269568</c:v>
                </c:pt>
                <c:pt idx="953">
                  <c:v>235.94109655806767</c:v>
                </c:pt>
                <c:pt idx="954">
                  <c:v>236.19200004343966</c:v>
                </c:pt>
                <c:pt idx="955">
                  <c:v>236.44290352881166</c:v>
                </c:pt>
                <c:pt idx="956">
                  <c:v>236.69380701418365</c:v>
                </c:pt>
                <c:pt idx="957">
                  <c:v>236.94471049955564</c:v>
                </c:pt>
                <c:pt idx="958">
                  <c:v>237.19561398492763</c:v>
                </c:pt>
                <c:pt idx="959">
                  <c:v>237.44651747029963</c:v>
                </c:pt>
                <c:pt idx="960">
                  <c:v>237.69742095567162</c:v>
                </c:pt>
                <c:pt idx="961">
                  <c:v>237.94832444104361</c:v>
                </c:pt>
                <c:pt idx="962">
                  <c:v>238.1992279264156</c:v>
                </c:pt>
                <c:pt idx="963">
                  <c:v>238.45013141178759</c:v>
                </c:pt>
                <c:pt idx="964">
                  <c:v>238.70103489715959</c:v>
                </c:pt>
                <c:pt idx="965">
                  <c:v>238.95193838253158</c:v>
                </c:pt>
                <c:pt idx="966">
                  <c:v>239.2028418679036</c:v>
                </c:pt>
                <c:pt idx="967">
                  <c:v>239.45374535327559</c:v>
                </c:pt>
                <c:pt idx="968">
                  <c:v>239.70464883864759</c:v>
                </c:pt>
                <c:pt idx="969">
                  <c:v>239.95555232401958</c:v>
                </c:pt>
                <c:pt idx="970">
                  <c:v>240.20645580939157</c:v>
                </c:pt>
                <c:pt idx="971">
                  <c:v>240.45735929476356</c:v>
                </c:pt>
                <c:pt idx="972">
                  <c:v>240.70826278013556</c:v>
                </c:pt>
                <c:pt idx="973">
                  <c:v>240.95916626550755</c:v>
                </c:pt>
                <c:pt idx="974">
                  <c:v>241.21006975087954</c:v>
                </c:pt>
                <c:pt idx="975">
                  <c:v>241.46097323625153</c:v>
                </c:pt>
                <c:pt idx="976">
                  <c:v>241.71187672162353</c:v>
                </c:pt>
                <c:pt idx="977">
                  <c:v>241.96278020699552</c:v>
                </c:pt>
                <c:pt idx="978">
                  <c:v>242.21368369236751</c:v>
                </c:pt>
                <c:pt idx="979">
                  <c:v>242.4645871777395</c:v>
                </c:pt>
                <c:pt idx="980">
                  <c:v>242.7154906631115</c:v>
                </c:pt>
                <c:pt idx="981">
                  <c:v>242.96639414848349</c:v>
                </c:pt>
                <c:pt idx="982">
                  <c:v>243.21729763385548</c:v>
                </c:pt>
                <c:pt idx="983">
                  <c:v>243.46820111922747</c:v>
                </c:pt>
                <c:pt idx="984">
                  <c:v>243.71910460459947</c:v>
                </c:pt>
                <c:pt idx="985">
                  <c:v>243.97000808997146</c:v>
                </c:pt>
                <c:pt idx="986">
                  <c:v>244.22091157534345</c:v>
                </c:pt>
                <c:pt idx="987">
                  <c:v>244.47181506071544</c:v>
                </c:pt>
                <c:pt idx="988">
                  <c:v>244.72271854608744</c:v>
                </c:pt>
                <c:pt idx="989">
                  <c:v>244.97362203145943</c:v>
                </c:pt>
                <c:pt idx="990">
                  <c:v>245.22452551683145</c:v>
                </c:pt>
                <c:pt idx="991">
                  <c:v>245.47542900220344</c:v>
                </c:pt>
                <c:pt idx="992">
                  <c:v>245.72633248757543</c:v>
                </c:pt>
                <c:pt idx="993">
                  <c:v>245.97723597294743</c:v>
                </c:pt>
                <c:pt idx="994">
                  <c:v>246.22813945831942</c:v>
                </c:pt>
                <c:pt idx="995">
                  <c:v>246.47904294369141</c:v>
                </c:pt>
                <c:pt idx="996">
                  <c:v>246.7299464290634</c:v>
                </c:pt>
                <c:pt idx="997">
                  <c:v>246.9808499144354</c:v>
                </c:pt>
                <c:pt idx="998">
                  <c:v>247.23175339980739</c:v>
                </c:pt>
                <c:pt idx="999">
                  <c:v>247.48265688517938</c:v>
                </c:pt>
                <c:pt idx="1000">
                  <c:v>247.73356037055137</c:v>
                </c:pt>
                <c:pt idx="1001">
                  <c:v>247.98446385592337</c:v>
                </c:pt>
                <c:pt idx="1002">
                  <c:v>248.23536734129536</c:v>
                </c:pt>
                <c:pt idx="1003">
                  <c:v>248.48627082666735</c:v>
                </c:pt>
                <c:pt idx="1004">
                  <c:v>248.73717431203934</c:v>
                </c:pt>
                <c:pt idx="1005">
                  <c:v>248.98807779741134</c:v>
                </c:pt>
                <c:pt idx="1006">
                  <c:v>249.23898128278333</c:v>
                </c:pt>
                <c:pt idx="1007">
                  <c:v>249.48988476815532</c:v>
                </c:pt>
                <c:pt idx="1008">
                  <c:v>249.74078825352731</c:v>
                </c:pt>
                <c:pt idx="1009">
                  <c:v>249.99169173889931</c:v>
                </c:pt>
                <c:pt idx="1010">
                  <c:v>250.2425952242713</c:v>
                </c:pt>
                <c:pt idx="1011">
                  <c:v>250.49349870964329</c:v>
                </c:pt>
                <c:pt idx="1012">
                  <c:v>250.74440219501528</c:v>
                </c:pt>
                <c:pt idx="1013">
                  <c:v>250.9953056803873</c:v>
                </c:pt>
                <c:pt idx="1014">
                  <c:v>251.2462091657593</c:v>
                </c:pt>
                <c:pt idx="1015">
                  <c:v>251.49711265113129</c:v>
                </c:pt>
                <c:pt idx="1016">
                  <c:v>251.74801613650328</c:v>
                </c:pt>
                <c:pt idx="1017">
                  <c:v>251.99891962187527</c:v>
                </c:pt>
                <c:pt idx="1018">
                  <c:v>252.24982310724727</c:v>
                </c:pt>
                <c:pt idx="1019">
                  <c:v>252.50072659261926</c:v>
                </c:pt>
                <c:pt idx="1020">
                  <c:v>252.75163007799125</c:v>
                </c:pt>
                <c:pt idx="1021">
                  <c:v>253.00253356336322</c:v>
                </c:pt>
                <c:pt idx="1022">
                  <c:v>253.25343704873524</c:v>
                </c:pt>
                <c:pt idx="1023">
                  <c:v>253.5043405341072</c:v>
                </c:pt>
                <c:pt idx="1024">
                  <c:v>253.75524401947922</c:v>
                </c:pt>
                <c:pt idx="1025">
                  <c:v>254.00614750485124</c:v>
                </c:pt>
                <c:pt idx="1026">
                  <c:v>254.25705099022321</c:v>
                </c:pt>
                <c:pt idx="1027">
                  <c:v>254.50795447559523</c:v>
                </c:pt>
                <c:pt idx="1028">
                  <c:v>254.75885796096719</c:v>
                </c:pt>
                <c:pt idx="1029">
                  <c:v>255.00976144633921</c:v>
                </c:pt>
                <c:pt idx="1030">
                  <c:v>255.26066493171118</c:v>
                </c:pt>
                <c:pt idx="1031">
                  <c:v>255.5115684170832</c:v>
                </c:pt>
                <c:pt idx="1032">
                  <c:v>255.76247190245516</c:v>
                </c:pt>
                <c:pt idx="1033">
                  <c:v>256.01337538782718</c:v>
                </c:pt>
                <c:pt idx="1034">
                  <c:v>256.26427887319915</c:v>
                </c:pt>
                <c:pt idx="1035">
                  <c:v>256.51518235857117</c:v>
                </c:pt>
                <c:pt idx="1036">
                  <c:v>256.76608584394313</c:v>
                </c:pt>
                <c:pt idx="1037">
                  <c:v>257.01698932931515</c:v>
                </c:pt>
                <c:pt idx="1038">
                  <c:v>257.26789281468712</c:v>
                </c:pt>
                <c:pt idx="1039">
                  <c:v>257.51879630005914</c:v>
                </c:pt>
                <c:pt idx="1040">
                  <c:v>257.7696997854311</c:v>
                </c:pt>
                <c:pt idx="1041">
                  <c:v>258.02060327080312</c:v>
                </c:pt>
                <c:pt idx="1042">
                  <c:v>258.27150675617509</c:v>
                </c:pt>
                <c:pt idx="1043">
                  <c:v>258.52241024154711</c:v>
                </c:pt>
                <c:pt idx="1044">
                  <c:v>258.77331372691907</c:v>
                </c:pt>
                <c:pt idx="1045">
                  <c:v>259.02421721229109</c:v>
                </c:pt>
                <c:pt idx="1046">
                  <c:v>259.27512069766306</c:v>
                </c:pt>
                <c:pt idx="1047">
                  <c:v>259.52602418303508</c:v>
                </c:pt>
                <c:pt idx="1048">
                  <c:v>259.7769276684071</c:v>
                </c:pt>
                <c:pt idx="1049">
                  <c:v>260.02783115377906</c:v>
                </c:pt>
                <c:pt idx="1050">
                  <c:v>260.27873463915108</c:v>
                </c:pt>
                <c:pt idx="1051">
                  <c:v>260.52963812452305</c:v>
                </c:pt>
                <c:pt idx="1052">
                  <c:v>260.78054160989507</c:v>
                </c:pt>
                <c:pt idx="1053">
                  <c:v>261.03144509526703</c:v>
                </c:pt>
                <c:pt idx="1054">
                  <c:v>261.28234858063905</c:v>
                </c:pt>
                <c:pt idx="1055">
                  <c:v>261.53325206601102</c:v>
                </c:pt>
                <c:pt idx="1056">
                  <c:v>261.78415555138304</c:v>
                </c:pt>
                <c:pt idx="1057">
                  <c:v>262.035059036755</c:v>
                </c:pt>
                <c:pt idx="1058">
                  <c:v>262.28596252212702</c:v>
                </c:pt>
                <c:pt idx="1059">
                  <c:v>262.53686600749899</c:v>
                </c:pt>
                <c:pt idx="1060">
                  <c:v>262.78776949287101</c:v>
                </c:pt>
                <c:pt idx="1061">
                  <c:v>263.03867297824297</c:v>
                </c:pt>
                <c:pt idx="1062">
                  <c:v>263.28957646361499</c:v>
                </c:pt>
                <c:pt idx="1063">
                  <c:v>263.54047994898696</c:v>
                </c:pt>
                <c:pt idx="1064">
                  <c:v>263.79138343435898</c:v>
                </c:pt>
                <c:pt idx="1065">
                  <c:v>264.04228691973094</c:v>
                </c:pt>
                <c:pt idx="1066">
                  <c:v>264.29319040510296</c:v>
                </c:pt>
                <c:pt idx="1067">
                  <c:v>264.54409389047493</c:v>
                </c:pt>
                <c:pt idx="1068">
                  <c:v>264.79499737584695</c:v>
                </c:pt>
                <c:pt idx="1069">
                  <c:v>265.04590086121891</c:v>
                </c:pt>
                <c:pt idx="1070">
                  <c:v>265.29680434659093</c:v>
                </c:pt>
                <c:pt idx="1071">
                  <c:v>265.54770783196295</c:v>
                </c:pt>
                <c:pt idx="1072">
                  <c:v>265.79861131733492</c:v>
                </c:pt>
                <c:pt idx="1073">
                  <c:v>266.04951480270694</c:v>
                </c:pt>
                <c:pt idx="1074">
                  <c:v>266.3004182880789</c:v>
                </c:pt>
                <c:pt idx="1075">
                  <c:v>266.55132177345092</c:v>
                </c:pt>
                <c:pt idx="1076">
                  <c:v>266.80222525882289</c:v>
                </c:pt>
                <c:pt idx="1077">
                  <c:v>267.05312874419491</c:v>
                </c:pt>
                <c:pt idx="1078">
                  <c:v>267.30403222956687</c:v>
                </c:pt>
                <c:pt idx="1079">
                  <c:v>267.55493571493889</c:v>
                </c:pt>
                <c:pt idx="1080">
                  <c:v>267.80583920031086</c:v>
                </c:pt>
                <c:pt idx="1081">
                  <c:v>268.05674268568288</c:v>
                </c:pt>
                <c:pt idx="1082">
                  <c:v>268.30764617105484</c:v>
                </c:pt>
                <c:pt idx="1083">
                  <c:v>268.55854965642686</c:v>
                </c:pt>
                <c:pt idx="1084">
                  <c:v>268.80945314179883</c:v>
                </c:pt>
                <c:pt idx="1085">
                  <c:v>269.06035662717085</c:v>
                </c:pt>
                <c:pt idx="1086">
                  <c:v>269.31126011254281</c:v>
                </c:pt>
                <c:pt idx="1087">
                  <c:v>269.56216359791483</c:v>
                </c:pt>
                <c:pt idx="1088">
                  <c:v>269.8130670832868</c:v>
                </c:pt>
                <c:pt idx="1089">
                  <c:v>270.06397056865882</c:v>
                </c:pt>
                <c:pt idx="1090">
                  <c:v>270.31487405403078</c:v>
                </c:pt>
                <c:pt idx="1091">
                  <c:v>270.5657775394028</c:v>
                </c:pt>
                <c:pt idx="1092">
                  <c:v>270.81668102477477</c:v>
                </c:pt>
                <c:pt idx="1093">
                  <c:v>271.06758451014679</c:v>
                </c:pt>
                <c:pt idx="1094">
                  <c:v>271.31848799551881</c:v>
                </c:pt>
                <c:pt idx="1095">
                  <c:v>271.56939148089077</c:v>
                </c:pt>
                <c:pt idx="1096">
                  <c:v>271.82029496626279</c:v>
                </c:pt>
                <c:pt idx="1097">
                  <c:v>272.07119845163476</c:v>
                </c:pt>
                <c:pt idx="1098">
                  <c:v>272.32210193700678</c:v>
                </c:pt>
                <c:pt idx="1099">
                  <c:v>272.57300542237874</c:v>
                </c:pt>
                <c:pt idx="1100">
                  <c:v>272.82390890775076</c:v>
                </c:pt>
                <c:pt idx="1101">
                  <c:v>273.07481239312273</c:v>
                </c:pt>
                <c:pt idx="1102">
                  <c:v>273.32571587849475</c:v>
                </c:pt>
                <c:pt idx="1103">
                  <c:v>273.57661936386671</c:v>
                </c:pt>
                <c:pt idx="1104">
                  <c:v>273.82752284923873</c:v>
                </c:pt>
                <c:pt idx="1105">
                  <c:v>274.0784263346107</c:v>
                </c:pt>
                <c:pt idx="1106">
                  <c:v>274.32932981998272</c:v>
                </c:pt>
                <c:pt idx="1107">
                  <c:v>274.58023330535468</c:v>
                </c:pt>
                <c:pt idx="1108">
                  <c:v>274.8311367907267</c:v>
                </c:pt>
                <c:pt idx="1109">
                  <c:v>275.08204027609867</c:v>
                </c:pt>
                <c:pt idx="1110">
                  <c:v>275.33294376147069</c:v>
                </c:pt>
                <c:pt idx="1111">
                  <c:v>275.58384724684265</c:v>
                </c:pt>
                <c:pt idx="1112">
                  <c:v>275.83475073221467</c:v>
                </c:pt>
                <c:pt idx="1113">
                  <c:v>276.08565421758664</c:v>
                </c:pt>
                <c:pt idx="1114">
                  <c:v>276.33655770295866</c:v>
                </c:pt>
                <c:pt idx="1115">
                  <c:v>276.58746118833062</c:v>
                </c:pt>
                <c:pt idx="1116">
                  <c:v>276.83836467370264</c:v>
                </c:pt>
                <c:pt idx="1117">
                  <c:v>277.08926815907461</c:v>
                </c:pt>
                <c:pt idx="1118">
                  <c:v>277.34017164444663</c:v>
                </c:pt>
                <c:pt idx="1119">
                  <c:v>277.59107512981865</c:v>
                </c:pt>
                <c:pt idx="1120">
                  <c:v>277.84197861519061</c:v>
                </c:pt>
                <c:pt idx="1121">
                  <c:v>278.09288210056263</c:v>
                </c:pt>
                <c:pt idx="1122">
                  <c:v>278.3437855859346</c:v>
                </c:pt>
                <c:pt idx="1123">
                  <c:v>278.59468907130662</c:v>
                </c:pt>
                <c:pt idx="1124">
                  <c:v>278.84559255667858</c:v>
                </c:pt>
                <c:pt idx="1125">
                  <c:v>279.0964960420506</c:v>
                </c:pt>
                <c:pt idx="1126">
                  <c:v>279.34739952742257</c:v>
                </c:pt>
                <c:pt idx="1127">
                  <c:v>279.59830301279459</c:v>
                </c:pt>
                <c:pt idx="1128">
                  <c:v>279.84920649816655</c:v>
                </c:pt>
                <c:pt idx="1129">
                  <c:v>280.10010998353857</c:v>
                </c:pt>
                <c:pt idx="1130">
                  <c:v>280.35101346891054</c:v>
                </c:pt>
                <c:pt idx="1131">
                  <c:v>280.60191695428256</c:v>
                </c:pt>
                <c:pt idx="1132">
                  <c:v>280.85282043965452</c:v>
                </c:pt>
                <c:pt idx="1133">
                  <c:v>281.10372392502654</c:v>
                </c:pt>
                <c:pt idx="1134">
                  <c:v>281.35462741039851</c:v>
                </c:pt>
                <c:pt idx="1135">
                  <c:v>281.60553089577053</c:v>
                </c:pt>
                <c:pt idx="1136">
                  <c:v>281.85643438114249</c:v>
                </c:pt>
                <c:pt idx="1137">
                  <c:v>282.10733786651451</c:v>
                </c:pt>
                <c:pt idx="1138">
                  <c:v>282.35824135188648</c:v>
                </c:pt>
                <c:pt idx="1139">
                  <c:v>282.6091448372585</c:v>
                </c:pt>
                <c:pt idx="1140">
                  <c:v>282.86004832263046</c:v>
                </c:pt>
                <c:pt idx="1141">
                  <c:v>283.11095180800248</c:v>
                </c:pt>
                <c:pt idx="1142">
                  <c:v>283.3618552933745</c:v>
                </c:pt>
                <c:pt idx="1143">
                  <c:v>283.61275877874647</c:v>
                </c:pt>
                <c:pt idx="1144">
                  <c:v>283.86366226411849</c:v>
                </c:pt>
                <c:pt idx="1145">
                  <c:v>284.11456574949045</c:v>
                </c:pt>
                <c:pt idx="1146">
                  <c:v>284.36546923486247</c:v>
                </c:pt>
                <c:pt idx="1147">
                  <c:v>284.61637272023444</c:v>
                </c:pt>
                <c:pt idx="1148">
                  <c:v>284.86727620560646</c:v>
                </c:pt>
                <c:pt idx="1149">
                  <c:v>285.11817969097842</c:v>
                </c:pt>
                <c:pt idx="1150">
                  <c:v>285.36908317635044</c:v>
                </c:pt>
                <c:pt idx="1151">
                  <c:v>285.61998666172241</c:v>
                </c:pt>
                <c:pt idx="1152">
                  <c:v>285.87089014709443</c:v>
                </c:pt>
                <c:pt idx="1153">
                  <c:v>286.12179363246639</c:v>
                </c:pt>
                <c:pt idx="1154">
                  <c:v>286.37269711783841</c:v>
                </c:pt>
                <c:pt idx="1155">
                  <c:v>286.62360060321038</c:v>
                </c:pt>
                <c:pt idx="1156">
                  <c:v>286.8745040885824</c:v>
                </c:pt>
                <c:pt idx="1157">
                  <c:v>287.12540757395436</c:v>
                </c:pt>
                <c:pt idx="1158">
                  <c:v>287.37631105932638</c:v>
                </c:pt>
                <c:pt idx="1159">
                  <c:v>287.62721454469835</c:v>
                </c:pt>
                <c:pt idx="1160">
                  <c:v>287.87811803007037</c:v>
                </c:pt>
                <c:pt idx="1161">
                  <c:v>288.12902151544233</c:v>
                </c:pt>
                <c:pt idx="1162">
                  <c:v>288.37992500081435</c:v>
                </c:pt>
                <c:pt idx="1163">
                  <c:v>288.63082848618632</c:v>
                </c:pt>
                <c:pt idx="1164">
                  <c:v>288.88173197155834</c:v>
                </c:pt>
                <c:pt idx="1165">
                  <c:v>289.13263545693036</c:v>
                </c:pt>
                <c:pt idx="1166">
                  <c:v>289.38353894230232</c:v>
                </c:pt>
                <c:pt idx="1167">
                  <c:v>289.63444242767434</c:v>
                </c:pt>
                <c:pt idx="1168">
                  <c:v>289.88534591304631</c:v>
                </c:pt>
                <c:pt idx="1169">
                  <c:v>290.13624939841833</c:v>
                </c:pt>
                <c:pt idx="1170">
                  <c:v>290.38715288379029</c:v>
                </c:pt>
                <c:pt idx="1171">
                  <c:v>290.63805636916231</c:v>
                </c:pt>
                <c:pt idx="1172">
                  <c:v>290.88895985453428</c:v>
                </c:pt>
                <c:pt idx="1173">
                  <c:v>291.1398633399063</c:v>
                </c:pt>
                <c:pt idx="1174">
                  <c:v>291.39076682527826</c:v>
                </c:pt>
                <c:pt idx="1175">
                  <c:v>291.64167031065028</c:v>
                </c:pt>
                <c:pt idx="1176">
                  <c:v>291.89257379602225</c:v>
                </c:pt>
                <c:pt idx="1177">
                  <c:v>292.14347728139427</c:v>
                </c:pt>
                <c:pt idx="1178">
                  <c:v>292.39438076676623</c:v>
                </c:pt>
                <c:pt idx="1179">
                  <c:v>292.64528425213825</c:v>
                </c:pt>
                <c:pt idx="1180">
                  <c:v>292.89618773751022</c:v>
                </c:pt>
                <c:pt idx="1181">
                  <c:v>293.14709122288224</c:v>
                </c:pt>
                <c:pt idx="1182">
                  <c:v>293.3979947082542</c:v>
                </c:pt>
                <c:pt idx="1183">
                  <c:v>293.64889819362622</c:v>
                </c:pt>
                <c:pt idx="1184">
                  <c:v>293.89980167899819</c:v>
                </c:pt>
                <c:pt idx="1185">
                  <c:v>294.15070516437021</c:v>
                </c:pt>
                <c:pt idx="1186">
                  <c:v>294.40160864974217</c:v>
                </c:pt>
                <c:pt idx="1187">
                  <c:v>294.65251213511419</c:v>
                </c:pt>
                <c:pt idx="1188">
                  <c:v>294.90341562048621</c:v>
                </c:pt>
                <c:pt idx="1189">
                  <c:v>295.15431910585818</c:v>
                </c:pt>
                <c:pt idx="1190">
                  <c:v>295.4052225912302</c:v>
                </c:pt>
                <c:pt idx="1191">
                  <c:v>295.65612607660216</c:v>
                </c:pt>
                <c:pt idx="1192">
                  <c:v>295.90702956197418</c:v>
                </c:pt>
                <c:pt idx="1193">
                  <c:v>296.15793304734615</c:v>
                </c:pt>
                <c:pt idx="1194">
                  <c:v>296.40883653271817</c:v>
                </c:pt>
                <c:pt idx="1195">
                  <c:v>296.65974001809013</c:v>
                </c:pt>
                <c:pt idx="1196">
                  <c:v>296.91064350346215</c:v>
                </c:pt>
                <c:pt idx="1197">
                  <c:v>297.16154698883412</c:v>
                </c:pt>
                <c:pt idx="1198">
                  <c:v>297.41245047420614</c:v>
                </c:pt>
                <c:pt idx="1199">
                  <c:v>297.6633539595781</c:v>
                </c:pt>
                <c:pt idx="1200">
                  <c:v>297.91425744495012</c:v>
                </c:pt>
                <c:pt idx="1201">
                  <c:v>298.16516093032209</c:v>
                </c:pt>
                <c:pt idx="1202">
                  <c:v>298.41606441569411</c:v>
                </c:pt>
                <c:pt idx="1203">
                  <c:v>298.66696790106607</c:v>
                </c:pt>
                <c:pt idx="1204">
                  <c:v>298.91787138643809</c:v>
                </c:pt>
                <c:pt idx="1205">
                  <c:v>299.16877487181006</c:v>
                </c:pt>
                <c:pt idx="1206">
                  <c:v>299.41967835718208</c:v>
                </c:pt>
                <c:pt idx="1207">
                  <c:v>299.67058184255404</c:v>
                </c:pt>
                <c:pt idx="1208">
                  <c:v>299.92148532792606</c:v>
                </c:pt>
                <c:pt idx="1209">
                  <c:v>300.17238881329803</c:v>
                </c:pt>
                <c:pt idx="1210">
                  <c:v>300.42329229867005</c:v>
                </c:pt>
                <c:pt idx="1211">
                  <c:v>300.67419578404207</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Data'!$A$9:$A$1220</c:f>
              <c:numCache>
                <c:formatCode>0.0</c:formatCode>
                <c:ptCount val="121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numCache>
            </c:numRef>
          </c:cat>
          <c:val>
            <c:numRef>
              <c:f>'Plot Data'!$G$9:$G$1220</c:f>
              <c:numCache>
                <c:formatCode>0.000</c:formatCode>
                <c:ptCount val="1212"/>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pt idx="501">
                  <c:v>6.3398500028845888</c:v>
                </c:pt>
                <c:pt idx="502">
                  <c:v>6.3398500028845888</c:v>
                </c:pt>
                <c:pt idx="503">
                  <c:v>6.3398500028845888</c:v>
                </c:pt>
                <c:pt idx="504">
                  <c:v>6.3398500028845888</c:v>
                </c:pt>
                <c:pt idx="505">
                  <c:v>6.3398500028845888</c:v>
                </c:pt>
                <c:pt idx="506">
                  <c:v>6.3398500028846172</c:v>
                </c:pt>
                <c:pt idx="507">
                  <c:v>6.339850002884603</c:v>
                </c:pt>
                <c:pt idx="508">
                  <c:v>6.339850002884603</c:v>
                </c:pt>
                <c:pt idx="509">
                  <c:v>6.339850002884603</c:v>
                </c:pt>
                <c:pt idx="510">
                  <c:v>6.339850002884603</c:v>
                </c:pt>
                <c:pt idx="511">
                  <c:v>6.339850002884603</c:v>
                </c:pt>
                <c:pt idx="512">
                  <c:v>6.339850002884603</c:v>
                </c:pt>
                <c:pt idx="513">
                  <c:v>6.339850002884603</c:v>
                </c:pt>
                <c:pt idx="514">
                  <c:v>6.339850002884603</c:v>
                </c:pt>
                <c:pt idx="515">
                  <c:v>6.339850002884603</c:v>
                </c:pt>
                <c:pt idx="516">
                  <c:v>6.339850002884603</c:v>
                </c:pt>
                <c:pt idx="517">
                  <c:v>6.339850002884603</c:v>
                </c:pt>
                <c:pt idx="518">
                  <c:v>6.339850002884603</c:v>
                </c:pt>
                <c:pt idx="519">
                  <c:v>6.339850002884603</c:v>
                </c:pt>
                <c:pt idx="520">
                  <c:v>6.339850002884603</c:v>
                </c:pt>
                <c:pt idx="521">
                  <c:v>6.339850002884603</c:v>
                </c:pt>
                <c:pt idx="522">
                  <c:v>6.339850002884603</c:v>
                </c:pt>
                <c:pt idx="523">
                  <c:v>6.3398500028846172</c:v>
                </c:pt>
                <c:pt idx="524">
                  <c:v>6.3398500028845888</c:v>
                </c:pt>
                <c:pt idx="525">
                  <c:v>6.3398500028846172</c:v>
                </c:pt>
                <c:pt idx="526">
                  <c:v>6.3398500028846172</c:v>
                </c:pt>
                <c:pt idx="527">
                  <c:v>6.3398500028846172</c:v>
                </c:pt>
                <c:pt idx="528">
                  <c:v>6.3398500028846172</c:v>
                </c:pt>
                <c:pt idx="529">
                  <c:v>6.3398500028846172</c:v>
                </c:pt>
                <c:pt idx="530">
                  <c:v>6.3398500028846172</c:v>
                </c:pt>
                <c:pt idx="531">
                  <c:v>6.3398500028846172</c:v>
                </c:pt>
                <c:pt idx="532">
                  <c:v>6.3398500028846172</c:v>
                </c:pt>
                <c:pt idx="533">
                  <c:v>6.3398500028846172</c:v>
                </c:pt>
                <c:pt idx="534">
                  <c:v>6.3398500028846172</c:v>
                </c:pt>
                <c:pt idx="535">
                  <c:v>6.3398500028846172</c:v>
                </c:pt>
                <c:pt idx="536">
                  <c:v>6.3398500028846172</c:v>
                </c:pt>
                <c:pt idx="537">
                  <c:v>6.3398500028846172</c:v>
                </c:pt>
                <c:pt idx="538">
                  <c:v>6.3398500028846172</c:v>
                </c:pt>
                <c:pt idx="539">
                  <c:v>6.3398500028846172</c:v>
                </c:pt>
                <c:pt idx="540">
                  <c:v>6.3398500028846172</c:v>
                </c:pt>
                <c:pt idx="541">
                  <c:v>6.3398500028846172</c:v>
                </c:pt>
                <c:pt idx="542">
                  <c:v>6.3398500028846172</c:v>
                </c:pt>
                <c:pt idx="543">
                  <c:v>6.3398500028846172</c:v>
                </c:pt>
                <c:pt idx="544">
                  <c:v>6.3398500028846172</c:v>
                </c:pt>
                <c:pt idx="545">
                  <c:v>6.3398500028846172</c:v>
                </c:pt>
                <c:pt idx="546">
                  <c:v>6.3398500028846172</c:v>
                </c:pt>
                <c:pt idx="547">
                  <c:v>6.3398500028845888</c:v>
                </c:pt>
                <c:pt idx="548">
                  <c:v>6.3398500028845888</c:v>
                </c:pt>
                <c:pt idx="549">
                  <c:v>6.3398500028846172</c:v>
                </c:pt>
                <c:pt idx="550">
                  <c:v>6.3398500028846172</c:v>
                </c:pt>
                <c:pt idx="551">
                  <c:v>6.3398500028846172</c:v>
                </c:pt>
                <c:pt idx="552">
                  <c:v>6.3398500028846172</c:v>
                </c:pt>
                <c:pt idx="553">
                  <c:v>6.3398500028846172</c:v>
                </c:pt>
                <c:pt idx="554">
                  <c:v>6.3398500028846172</c:v>
                </c:pt>
                <c:pt idx="555">
                  <c:v>6.3398500028846172</c:v>
                </c:pt>
                <c:pt idx="556">
                  <c:v>6.3398500028846172</c:v>
                </c:pt>
                <c:pt idx="557">
                  <c:v>6.3398500028846172</c:v>
                </c:pt>
                <c:pt idx="558">
                  <c:v>6.3398500028846172</c:v>
                </c:pt>
                <c:pt idx="559">
                  <c:v>6.3398500028846172</c:v>
                </c:pt>
                <c:pt idx="560">
                  <c:v>6.3398500028846172</c:v>
                </c:pt>
                <c:pt idx="561">
                  <c:v>6.3398500028846172</c:v>
                </c:pt>
                <c:pt idx="562">
                  <c:v>6.3398500028846172</c:v>
                </c:pt>
                <c:pt idx="563">
                  <c:v>6.3398500028846172</c:v>
                </c:pt>
                <c:pt idx="564">
                  <c:v>6.3398500028846172</c:v>
                </c:pt>
                <c:pt idx="565">
                  <c:v>6.3398500028846172</c:v>
                </c:pt>
                <c:pt idx="566">
                  <c:v>6.3398500028846172</c:v>
                </c:pt>
                <c:pt idx="567">
                  <c:v>6.3398500028846172</c:v>
                </c:pt>
                <c:pt idx="568">
                  <c:v>6.3398500028846172</c:v>
                </c:pt>
                <c:pt idx="569">
                  <c:v>6.3398500028846172</c:v>
                </c:pt>
                <c:pt idx="570">
                  <c:v>6.3398500028846172</c:v>
                </c:pt>
                <c:pt idx="571">
                  <c:v>6.3398500028845888</c:v>
                </c:pt>
                <c:pt idx="572">
                  <c:v>6.3398500028845888</c:v>
                </c:pt>
                <c:pt idx="573">
                  <c:v>6.3398500028846172</c:v>
                </c:pt>
                <c:pt idx="574">
                  <c:v>6.3398500028846172</c:v>
                </c:pt>
                <c:pt idx="575">
                  <c:v>6.3398500028846172</c:v>
                </c:pt>
                <c:pt idx="576">
                  <c:v>6.3398500028846172</c:v>
                </c:pt>
                <c:pt idx="577">
                  <c:v>6.3398500028846172</c:v>
                </c:pt>
                <c:pt idx="578">
                  <c:v>6.3398500028846172</c:v>
                </c:pt>
                <c:pt idx="579">
                  <c:v>6.3398500028846172</c:v>
                </c:pt>
                <c:pt idx="580">
                  <c:v>6.3398500028846172</c:v>
                </c:pt>
                <c:pt idx="581">
                  <c:v>6.3398500028846172</c:v>
                </c:pt>
                <c:pt idx="582">
                  <c:v>6.3398500028846172</c:v>
                </c:pt>
                <c:pt idx="583">
                  <c:v>6.3398500028846172</c:v>
                </c:pt>
                <c:pt idx="584">
                  <c:v>6.3398500028846172</c:v>
                </c:pt>
                <c:pt idx="585">
                  <c:v>6.3398500028846172</c:v>
                </c:pt>
                <c:pt idx="586">
                  <c:v>6.3398500028846172</c:v>
                </c:pt>
                <c:pt idx="587">
                  <c:v>6.3398500028846172</c:v>
                </c:pt>
                <c:pt idx="588">
                  <c:v>6.3398500028846172</c:v>
                </c:pt>
                <c:pt idx="589">
                  <c:v>6.3398500028846172</c:v>
                </c:pt>
                <c:pt idx="590">
                  <c:v>6.3398500028846172</c:v>
                </c:pt>
                <c:pt idx="591">
                  <c:v>6.3398500028846172</c:v>
                </c:pt>
                <c:pt idx="592">
                  <c:v>6.3398500028846172</c:v>
                </c:pt>
                <c:pt idx="593">
                  <c:v>6.3398500028846172</c:v>
                </c:pt>
                <c:pt idx="594">
                  <c:v>6.3398500028845888</c:v>
                </c:pt>
                <c:pt idx="595">
                  <c:v>6.3398500028845888</c:v>
                </c:pt>
                <c:pt idx="596">
                  <c:v>6.3398500028845888</c:v>
                </c:pt>
                <c:pt idx="597">
                  <c:v>6.3398500028845888</c:v>
                </c:pt>
                <c:pt idx="598">
                  <c:v>6.3398500028846172</c:v>
                </c:pt>
                <c:pt idx="599">
                  <c:v>6.3398500028846172</c:v>
                </c:pt>
                <c:pt idx="600">
                  <c:v>6.3398500028846172</c:v>
                </c:pt>
                <c:pt idx="601">
                  <c:v>6.3398500028846172</c:v>
                </c:pt>
                <c:pt idx="602">
                  <c:v>6.3398500028846172</c:v>
                </c:pt>
                <c:pt idx="603">
                  <c:v>6.3398500028846172</c:v>
                </c:pt>
                <c:pt idx="604">
                  <c:v>6.3398500028846172</c:v>
                </c:pt>
                <c:pt idx="605">
                  <c:v>6.3398500028846172</c:v>
                </c:pt>
                <c:pt idx="606">
                  <c:v>6.3398500028846172</c:v>
                </c:pt>
                <c:pt idx="607">
                  <c:v>6.3398500028846172</c:v>
                </c:pt>
                <c:pt idx="608">
                  <c:v>6.3398500028846172</c:v>
                </c:pt>
                <c:pt idx="609">
                  <c:v>6.3398500028846172</c:v>
                </c:pt>
                <c:pt idx="610">
                  <c:v>6.3398500028846172</c:v>
                </c:pt>
                <c:pt idx="611">
                  <c:v>6.3398500028846172</c:v>
                </c:pt>
                <c:pt idx="612">
                  <c:v>6.3398500028846172</c:v>
                </c:pt>
                <c:pt idx="613">
                  <c:v>6.3398500028846172</c:v>
                </c:pt>
                <c:pt idx="614">
                  <c:v>6.3398500028846172</c:v>
                </c:pt>
                <c:pt idx="615">
                  <c:v>6.3398500028846172</c:v>
                </c:pt>
                <c:pt idx="616">
                  <c:v>6.3398500028846172</c:v>
                </c:pt>
                <c:pt idx="617">
                  <c:v>6.3398500028845888</c:v>
                </c:pt>
                <c:pt idx="618">
                  <c:v>6.3398500028845888</c:v>
                </c:pt>
                <c:pt idx="619">
                  <c:v>6.3398500028845888</c:v>
                </c:pt>
                <c:pt idx="620">
                  <c:v>6.3398500028845888</c:v>
                </c:pt>
                <c:pt idx="621">
                  <c:v>6.3398500028845888</c:v>
                </c:pt>
                <c:pt idx="622">
                  <c:v>6.3398500028846172</c:v>
                </c:pt>
                <c:pt idx="623">
                  <c:v>6.3398500028846172</c:v>
                </c:pt>
                <c:pt idx="624">
                  <c:v>6.3398500028846172</c:v>
                </c:pt>
                <c:pt idx="625">
                  <c:v>6.3398500028846172</c:v>
                </c:pt>
                <c:pt idx="626">
                  <c:v>6.3398500028846172</c:v>
                </c:pt>
                <c:pt idx="627">
                  <c:v>6.3398500028846172</c:v>
                </c:pt>
                <c:pt idx="628">
                  <c:v>6.3398500028846172</c:v>
                </c:pt>
                <c:pt idx="629">
                  <c:v>6.3398500028846172</c:v>
                </c:pt>
                <c:pt idx="630">
                  <c:v>6.3398500028846172</c:v>
                </c:pt>
                <c:pt idx="631">
                  <c:v>6.3398500028846172</c:v>
                </c:pt>
                <c:pt idx="632">
                  <c:v>6.3398500028846172</c:v>
                </c:pt>
                <c:pt idx="633">
                  <c:v>6.3398500028846172</c:v>
                </c:pt>
                <c:pt idx="634">
                  <c:v>6.3398500028846172</c:v>
                </c:pt>
                <c:pt idx="635">
                  <c:v>6.3398500028846172</c:v>
                </c:pt>
                <c:pt idx="636">
                  <c:v>6.3398500028846172</c:v>
                </c:pt>
                <c:pt idx="637">
                  <c:v>6.3398500028846172</c:v>
                </c:pt>
                <c:pt idx="638">
                  <c:v>6.3398500028846172</c:v>
                </c:pt>
                <c:pt idx="639">
                  <c:v>6.3398500028846172</c:v>
                </c:pt>
                <c:pt idx="640">
                  <c:v>6.3398500028845888</c:v>
                </c:pt>
                <c:pt idx="641">
                  <c:v>6.3398500028845888</c:v>
                </c:pt>
                <c:pt idx="642">
                  <c:v>6.3398500028845888</c:v>
                </c:pt>
                <c:pt idx="643">
                  <c:v>6.3398500028845888</c:v>
                </c:pt>
                <c:pt idx="644">
                  <c:v>6.3398500028845888</c:v>
                </c:pt>
                <c:pt idx="645">
                  <c:v>6.3398500028845888</c:v>
                </c:pt>
                <c:pt idx="646">
                  <c:v>6.3398500028845888</c:v>
                </c:pt>
                <c:pt idx="647">
                  <c:v>6.3398500028846172</c:v>
                </c:pt>
                <c:pt idx="648">
                  <c:v>6.3398500028846172</c:v>
                </c:pt>
                <c:pt idx="649">
                  <c:v>6.3398500028846172</c:v>
                </c:pt>
                <c:pt idx="650">
                  <c:v>6.3398500028846172</c:v>
                </c:pt>
                <c:pt idx="651">
                  <c:v>6.3398500028846172</c:v>
                </c:pt>
                <c:pt idx="652">
                  <c:v>6.3398500028846172</c:v>
                </c:pt>
                <c:pt idx="653">
                  <c:v>6.3398500028846172</c:v>
                </c:pt>
                <c:pt idx="654">
                  <c:v>6.3398500028846172</c:v>
                </c:pt>
                <c:pt idx="655">
                  <c:v>6.3398500028846172</c:v>
                </c:pt>
                <c:pt idx="656">
                  <c:v>6.3398500028846172</c:v>
                </c:pt>
                <c:pt idx="657">
                  <c:v>6.3398500028846172</c:v>
                </c:pt>
                <c:pt idx="658">
                  <c:v>6.3398500028846172</c:v>
                </c:pt>
                <c:pt idx="659">
                  <c:v>6.3398500028846172</c:v>
                </c:pt>
                <c:pt idx="660">
                  <c:v>6.3398500028846172</c:v>
                </c:pt>
                <c:pt idx="661">
                  <c:v>6.3398500028846172</c:v>
                </c:pt>
                <c:pt idx="662">
                  <c:v>6.3398500028846172</c:v>
                </c:pt>
                <c:pt idx="663">
                  <c:v>6.3398500028846172</c:v>
                </c:pt>
                <c:pt idx="664">
                  <c:v>6.3398500028845888</c:v>
                </c:pt>
                <c:pt idx="665">
                  <c:v>6.3398500028845888</c:v>
                </c:pt>
                <c:pt idx="666">
                  <c:v>6.3398500028845888</c:v>
                </c:pt>
                <c:pt idx="667">
                  <c:v>6.3398500028845888</c:v>
                </c:pt>
                <c:pt idx="668">
                  <c:v>6.3398500028845888</c:v>
                </c:pt>
                <c:pt idx="669">
                  <c:v>6.3398500028845888</c:v>
                </c:pt>
                <c:pt idx="670">
                  <c:v>6.3398500028845888</c:v>
                </c:pt>
                <c:pt idx="671">
                  <c:v>6.3398500028846172</c:v>
                </c:pt>
                <c:pt idx="672">
                  <c:v>6.3398500028846172</c:v>
                </c:pt>
                <c:pt idx="673">
                  <c:v>6.3398500028846172</c:v>
                </c:pt>
                <c:pt idx="674">
                  <c:v>6.3398500028846172</c:v>
                </c:pt>
                <c:pt idx="675">
                  <c:v>6.3398500028846172</c:v>
                </c:pt>
                <c:pt idx="676">
                  <c:v>6.3398500028846172</c:v>
                </c:pt>
                <c:pt idx="677">
                  <c:v>6.3398500028846172</c:v>
                </c:pt>
                <c:pt idx="678">
                  <c:v>6.3398500028846172</c:v>
                </c:pt>
                <c:pt idx="679">
                  <c:v>6.3398500028846172</c:v>
                </c:pt>
                <c:pt idx="680">
                  <c:v>6.3398500028846172</c:v>
                </c:pt>
                <c:pt idx="681">
                  <c:v>6.3398500028846172</c:v>
                </c:pt>
                <c:pt idx="682">
                  <c:v>6.3398500028846172</c:v>
                </c:pt>
                <c:pt idx="683">
                  <c:v>6.3398500028846172</c:v>
                </c:pt>
                <c:pt idx="684">
                  <c:v>6.3398500028846172</c:v>
                </c:pt>
                <c:pt idx="685">
                  <c:v>6.3398500028846172</c:v>
                </c:pt>
                <c:pt idx="686">
                  <c:v>6.3398500028846172</c:v>
                </c:pt>
                <c:pt idx="687">
                  <c:v>6.3398500028845888</c:v>
                </c:pt>
                <c:pt idx="688">
                  <c:v>6.3398500028845888</c:v>
                </c:pt>
                <c:pt idx="689">
                  <c:v>6.3398500028845888</c:v>
                </c:pt>
                <c:pt idx="690">
                  <c:v>6.3398500028845888</c:v>
                </c:pt>
                <c:pt idx="691">
                  <c:v>6.3398500028845888</c:v>
                </c:pt>
                <c:pt idx="692">
                  <c:v>6.3398500028845888</c:v>
                </c:pt>
                <c:pt idx="693">
                  <c:v>6.3398500028845888</c:v>
                </c:pt>
                <c:pt idx="694">
                  <c:v>6.3398500028845888</c:v>
                </c:pt>
                <c:pt idx="695">
                  <c:v>6.3398500028846172</c:v>
                </c:pt>
                <c:pt idx="696">
                  <c:v>6.3398500028846172</c:v>
                </c:pt>
                <c:pt idx="697">
                  <c:v>6.3398500028846172</c:v>
                </c:pt>
                <c:pt idx="698">
                  <c:v>6.3398500028846172</c:v>
                </c:pt>
                <c:pt idx="699">
                  <c:v>6.3398500028846172</c:v>
                </c:pt>
                <c:pt idx="700">
                  <c:v>6.3398500028846172</c:v>
                </c:pt>
                <c:pt idx="701">
                  <c:v>6.3398500028846172</c:v>
                </c:pt>
                <c:pt idx="702">
                  <c:v>6.3398500028846172</c:v>
                </c:pt>
                <c:pt idx="703">
                  <c:v>6.3398500028846172</c:v>
                </c:pt>
                <c:pt idx="704">
                  <c:v>6.3398500028846172</c:v>
                </c:pt>
                <c:pt idx="705">
                  <c:v>6.3398500028846172</c:v>
                </c:pt>
                <c:pt idx="706">
                  <c:v>6.3398500028846172</c:v>
                </c:pt>
                <c:pt idx="707">
                  <c:v>6.3398500028846172</c:v>
                </c:pt>
                <c:pt idx="708">
                  <c:v>6.3398500028846172</c:v>
                </c:pt>
                <c:pt idx="709">
                  <c:v>6.3398500028846172</c:v>
                </c:pt>
                <c:pt idx="710">
                  <c:v>6.3398500028845888</c:v>
                </c:pt>
                <c:pt idx="711">
                  <c:v>6.3398500028845888</c:v>
                </c:pt>
                <c:pt idx="712">
                  <c:v>6.3398500028845888</c:v>
                </c:pt>
                <c:pt idx="713">
                  <c:v>6.3398500028845888</c:v>
                </c:pt>
                <c:pt idx="714">
                  <c:v>6.3398500028845888</c:v>
                </c:pt>
                <c:pt idx="715">
                  <c:v>6.3398500028845888</c:v>
                </c:pt>
                <c:pt idx="716">
                  <c:v>6.3398500028845888</c:v>
                </c:pt>
                <c:pt idx="717">
                  <c:v>6.3398500028845888</c:v>
                </c:pt>
                <c:pt idx="718">
                  <c:v>6.3398500028845888</c:v>
                </c:pt>
                <c:pt idx="719">
                  <c:v>6.3398500028845888</c:v>
                </c:pt>
                <c:pt idx="720">
                  <c:v>6.3398500028846172</c:v>
                </c:pt>
                <c:pt idx="721">
                  <c:v>6.3398500028846172</c:v>
                </c:pt>
                <c:pt idx="722">
                  <c:v>6.3398500028846172</c:v>
                </c:pt>
                <c:pt idx="723">
                  <c:v>6.3398500028846172</c:v>
                </c:pt>
                <c:pt idx="724">
                  <c:v>6.3398500028846172</c:v>
                </c:pt>
                <c:pt idx="725">
                  <c:v>6.3398500028846172</c:v>
                </c:pt>
                <c:pt idx="726">
                  <c:v>6.3398500028846172</c:v>
                </c:pt>
                <c:pt idx="727">
                  <c:v>6.3398500028846172</c:v>
                </c:pt>
                <c:pt idx="728">
                  <c:v>6.3398500028846172</c:v>
                </c:pt>
                <c:pt idx="729">
                  <c:v>6.3398500028846172</c:v>
                </c:pt>
                <c:pt idx="730">
                  <c:v>6.3398500028846172</c:v>
                </c:pt>
                <c:pt idx="731">
                  <c:v>6.3398500028846172</c:v>
                </c:pt>
                <c:pt idx="732">
                  <c:v>6.3398500028846172</c:v>
                </c:pt>
                <c:pt idx="733">
                  <c:v>6.3398500028846172</c:v>
                </c:pt>
                <c:pt idx="734">
                  <c:v>6.3398500028845888</c:v>
                </c:pt>
                <c:pt idx="735">
                  <c:v>6.3398500028845888</c:v>
                </c:pt>
                <c:pt idx="736">
                  <c:v>6.3398500028845888</c:v>
                </c:pt>
                <c:pt idx="737">
                  <c:v>6.3398500028845888</c:v>
                </c:pt>
                <c:pt idx="738">
                  <c:v>6.3398500028845888</c:v>
                </c:pt>
                <c:pt idx="739">
                  <c:v>6.3398500028845888</c:v>
                </c:pt>
                <c:pt idx="740">
                  <c:v>6.3398500028845888</c:v>
                </c:pt>
                <c:pt idx="741">
                  <c:v>6.3398500028845888</c:v>
                </c:pt>
                <c:pt idx="742">
                  <c:v>6.3398500028845888</c:v>
                </c:pt>
                <c:pt idx="743">
                  <c:v>6.3398500028845888</c:v>
                </c:pt>
                <c:pt idx="744">
                  <c:v>6.3398500028846172</c:v>
                </c:pt>
                <c:pt idx="745">
                  <c:v>6.3398500028846172</c:v>
                </c:pt>
                <c:pt idx="746">
                  <c:v>6.3398500028846172</c:v>
                </c:pt>
                <c:pt idx="747">
                  <c:v>6.3398500028846172</c:v>
                </c:pt>
                <c:pt idx="748">
                  <c:v>6.3398500028846172</c:v>
                </c:pt>
                <c:pt idx="749">
                  <c:v>6.3398500028846172</c:v>
                </c:pt>
                <c:pt idx="750">
                  <c:v>6.3398500028846172</c:v>
                </c:pt>
                <c:pt idx="751">
                  <c:v>6.3398500028846172</c:v>
                </c:pt>
                <c:pt idx="752">
                  <c:v>6.3398500028846172</c:v>
                </c:pt>
                <c:pt idx="753">
                  <c:v>6.3398500028846172</c:v>
                </c:pt>
                <c:pt idx="754">
                  <c:v>6.3398500028846172</c:v>
                </c:pt>
                <c:pt idx="755">
                  <c:v>6.3398500028846172</c:v>
                </c:pt>
                <c:pt idx="756">
                  <c:v>6.3398500028846172</c:v>
                </c:pt>
                <c:pt idx="757">
                  <c:v>6.3398500028845888</c:v>
                </c:pt>
                <c:pt idx="758">
                  <c:v>6.3398500028845888</c:v>
                </c:pt>
                <c:pt idx="759">
                  <c:v>6.3398500028845888</c:v>
                </c:pt>
                <c:pt idx="760">
                  <c:v>6.3398500028845888</c:v>
                </c:pt>
                <c:pt idx="761">
                  <c:v>6.3398500028845888</c:v>
                </c:pt>
                <c:pt idx="762">
                  <c:v>6.3398500028845888</c:v>
                </c:pt>
                <c:pt idx="763">
                  <c:v>6.3398500028845888</c:v>
                </c:pt>
                <c:pt idx="764">
                  <c:v>6.3398500028845888</c:v>
                </c:pt>
                <c:pt idx="765">
                  <c:v>6.3398500028845888</c:v>
                </c:pt>
                <c:pt idx="766">
                  <c:v>6.3398500028845888</c:v>
                </c:pt>
                <c:pt idx="767">
                  <c:v>6.3398500028845888</c:v>
                </c:pt>
                <c:pt idx="768">
                  <c:v>6.3398500028846172</c:v>
                </c:pt>
                <c:pt idx="769">
                  <c:v>6.3398500028846172</c:v>
                </c:pt>
                <c:pt idx="770">
                  <c:v>6.3398500028846172</c:v>
                </c:pt>
                <c:pt idx="771">
                  <c:v>6.3398500028846172</c:v>
                </c:pt>
                <c:pt idx="772">
                  <c:v>6.3398500028846172</c:v>
                </c:pt>
                <c:pt idx="773">
                  <c:v>6.3398500028846172</c:v>
                </c:pt>
                <c:pt idx="774">
                  <c:v>6.3398500028846172</c:v>
                </c:pt>
                <c:pt idx="775">
                  <c:v>6.3398500028846172</c:v>
                </c:pt>
                <c:pt idx="776">
                  <c:v>6.3398500028846172</c:v>
                </c:pt>
                <c:pt idx="777">
                  <c:v>6.3398500028846172</c:v>
                </c:pt>
                <c:pt idx="778">
                  <c:v>6.3398500028846172</c:v>
                </c:pt>
                <c:pt idx="779">
                  <c:v>6.3398500028846172</c:v>
                </c:pt>
                <c:pt idx="780">
                  <c:v>6.3398500028845888</c:v>
                </c:pt>
                <c:pt idx="781">
                  <c:v>6.3398500028845888</c:v>
                </c:pt>
                <c:pt idx="782">
                  <c:v>6.3398500028845888</c:v>
                </c:pt>
                <c:pt idx="783">
                  <c:v>6.3398500028845888</c:v>
                </c:pt>
                <c:pt idx="784">
                  <c:v>6.3398500028845888</c:v>
                </c:pt>
                <c:pt idx="785">
                  <c:v>6.3398500028845888</c:v>
                </c:pt>
                <c:pt idx="786">
                  <c:v>6.3398500028845888</c:v>
                </c:pt>
                <c:pt idx="787">
                  <c:v>6.3398500028845888</c:v>
                </c:pt>
                <c:pt idx="788">
                  <c:v>6.3398500028845888</c:v>
                </c:pt>
                <c:pt idx="789">
                  <c:v>6.3398500028845888</c:v>
                </c:pt>
                <c:pt idx="790">
                  <c:v>6.3398500028845888</c:v>
                </c:pt>
                <c:pt idx="791">
                  <c:v>6.3398500028845888</c:v>
                </c:pt>
                <c:pt idx="792">
                  <c:v>6.3398500028845888</c:v>
                </c:pt>
                <c:pt idx="793">
                  <c:v>6.3398500028846172</c:v>
                </c:pt>
                <c:pt idx="794">
                  <c:v>6.3398500028846172</c:v>
                </c:pt>
                <c:pt idx="795">
                  <c:v>6.3398500028846172</c:v>
                </c:pt>
                <c:pt idx="796">
                  <c:v>6.3398500028846172</c:v>
                </c:pt>
                <c:pt idx="797">
                  <c:v>6.3398500028846172</c:v>
                </c:pt>
                <c:pt idx="798">
                  <c:v>6.3398500028846172</c:v>
                </c:pt>
                <c:pt idx="799">
                  <c:v>6.3398500028846172</c:v>
                </c:pt>
                <c:pt idx="800">
                  <c:v>6.3398500028846172</c:v>
                </c:pt>
                <c:pt idx="801">
                  <c:v>6.3398500028846172</c:v>
                </c:pt>
                <c:pt idx="802">
                  <c:v>6.3398500028846172</c:v>
                </c:pt>
                <c:pt idx="803">
                  <c:v>6.3398500028845888</c:v>
                </c:pt>
                <c:pt idx="804">
                  <c:v>6.3398500028845888</c:v>
                </c:pt>
                <c:pt idx="805">
                  <c:v>6.3398500028845888</c:v>
                </c:pt>
                <c:pt idx="806">
                  <c:v>6.3398500028845888</c:v>
                </c:pt>
                <c:pt idx="807">
                  <c:v>6.3398500028845888</c:v>
                </c:pt>
                <c:pt idx="808">
                  <c:v>6.3398500028845888</c:v>
                </c:pt>
                <c:pt idx="809">
                  <c:v>6.3398500028845888</c:v>
                </c:pt>
                <c:pt idx="810">
                  <c:v>6.3398500028845888</c:v>
                </c:pt>
                <c:pt idx="811">
                  <c:v>6.3398500028845888</c:v>
                </c:pt>
                <c:pt idx="812">
                  <c:v>6.3398500028845888</c:v>
                </c:pt>
                <c:pt idx="813">
                  <c:v>6.3398500028845888</c:v>
                </c:pt>
                <c:pt idx="814">
                  <c:v>6.3398500028845888</c:v>
                </c:pt>
                <c:pt idx="815">
                  <c:v>6.3398500028845888</c:v>
                </c:pt>
                <c:pt idx="816">
                  <c:v>6.3398500028845888</c:v>
                </c:pt>
                <c:pt idx="817">
                  <c:v>6.3398500028846172</c:v>
                </c:pt>
                <c:pt idx="818">
                  <c:v>6.3398500028846172</c:v>
                </c:pt>
                <c:pt idx="819">
                  <c:v>6.3398500028846172</c:v>
                </c:pt>
                <c:pt idx="820">
                  <c:v>6.3398500028846172</c:v>
                </c:pt>
                <c:pt idx="821">
                  <c:v>6.3398500028846172</c:v>
                </c:pt>
                <c:pt idx="822">
                  <c:v>6.3398500028846172</c:v>
                </c:pt>
                <c:pt idx="823">
                  <c:v>6.3398500028846172</c:v>
                </c:pt>
                <c:pt idx="824">
                  <c:v>6.3398500028846172</c:v>
                </c:pt>
                <c:pt idx="825">
                  <c:v>6.3398500028846172</c:v>
                </c:pt>
                <c:pt idx="826">
                  <c:v>6.3398500028846172</c:v>
                </c:pt>
                <c:pt idx="827">
                  <c:v>6.3398500028845888</c:v>
                </c:pt>
                <c:pt idx="828">
                  <c:v>6.3398500028845888</c:v>
                </c:pt>
                <c:pt idx="829">
                  <c:v>6.3398500028845888</c:v>
                </c:pt>
                <c:pt idx="830">
                  <c:v>6.3398500028845888</c:v>
                </c:pt>
                <c:pt idx="831">
                  <c:v>6.3398500028845888</c:v>
                </c:pt>
                <c:pt idx="832">
                  <c:v>6.3398500028845888</c:v>
                </c:pt>
                <c:pt idx="833">
                  <c:v>6.3398500028845888</c:v>
                </c:pt>
                <c:pt idx="834">
                  <c:v>6.3398500028845888</c:v>
                </c:pt>
                <c:pt idx="835">
                  <c:v>6.3398500028845888</c:v>
                </c:pt>
                <c:pt idx="836">
                  <c:v>6.3398500028845888</c:v>
                </c:pt>
                <c:pt idx="837">
                  <c:v>6.3398500028845888</c:v>
                </c:pt>
                <c:pt idx="838">
                  <c:v>6.3398500028845888</c:v>
                </c:pt>
                <c:pt idx="839">
                  <c:v>6.3398500028845888</c:v>
                </c:pt>
                <c:pt idx="840">
                  <c:v>6.3398500028845888</c:v>
                </c:pt>
                <c:pt idx="841">
                  <c:v>6.3398500028845888</c:v>
                </c:pt>
                <c:pt idx="842">
                  <c:v>6.3398500028846172</c:v>
                </c:pt>
                <c:pt idx="843">
                  <c:v>6.3398500028846172</c:v>
                </c:pt>
                <c:pt idx="844">
                  <c:v>6.3398500028846172</c:v>
                </c:pt>
                <c:pt idx="845">
                  <c:v>6.3398500028846172</c:v>
                </c:pt>
                <c:pt idx="846">
                  <c:v>6.3398500028846172</c:v>
                </c:pt>
                <c:pt idx="847">
                  <c:v>6.3398500028846172</c:v>
                </c:pt>
                <c:pt idx="848">
                  <c:v>6.3398500028846172</c:v>
                </c:pt>
                <c:pt idx="849">
                  <c:v>6.3398500028846172</c:v>
                </c:pt>
                <c:pt idx="850">
                  <c:v>6.3398500028845888</c:v>
                </c:pt>
                <c:pt idx="851">
                  <c:v>6.3398500028845888</c:v>
                </c:pt>
                <c:pt idx="852">
                  <c:v>6.3398500028845888</c:v>
                </c:pt>
                <c:pt idx="853">
                  <c:v>6.3398500028845888</c:v>
                </c:pt>
                <c:pt idx="854">
                  <c:v>6.3398500028845888</c:v>
                </c:pt>
                <c:pt idx="855">
                  <c:v>6.3398500028845888</c:v>
                </c:pt>
                <c:pt idx="856">
                  <c:v>6.3398500028845888</c:v>
                </c:pt>
                <c:pt idx="857">
                  <c:v>6.3398500028845888</c:v>
                </c:pt>
                <c:pt idx="858">
                  <c:v>6.3398500028845888</c:v>
                </c:pt>
                <c:pt idx="859">
                  <c:v>6.3398500028845888</c:v>
                </c:pt>
                <c:pt idx="860">
                  <c:v>6.3398500028845888</c:v>
                </c:pt>
                <c:pt idx="861">
                  <c:v>6.3398500028845888</c:v>
                </c:pt>
                <c:pt idx="862">
                  <c:v>6.3398500028845888</c:v>
                </c:pt>
                <c:pt idx="863">
                  <c:v>6.3398500028845888</c:v>
                </c:pt>
                <c:pt idx="864">
                  <c:v>6.3398500028845888</c:v>
                </c:pt>
                <c:pt idx="865">
                  <c:v>6.3398500028845888</c:v>
                </c:pt>
                <c:pt idx="866">
                  <c:v>6.3398500028846172</c:v>
                </c:pt>
                <c:pt idx="867">
                  <c:v>6.3398500028846172</c:v>
                </c:pt>
                <c:pt idx="868">
                  <c:v>6.3398500028846172</c:v>
                </c:pt>
                <c:pt idx="869">
                  <c:v>6.3398500028846172</c:v>
                </c:pt>
                <c:pt idx="870">
                  <c:v>6.3398500028846172</c:v>
                </c:pt>
                <c:pt idx="871">
                  <c:v>6.3398500028846172</c:v>
                </c:pt>
                <c:pt idx="872">
                  <c:v>6.3398500028846172</c:v>
                </c:pt>
                <c:pt idx="873">
                  <c:v>6.3398500028845888</c:v>
                </c:pt>
                <c:pt idx="874">
                  <c:v>6.3398500028845888</c:v>
                </c:pt>
                <c:pt idx="875">
                  <c:v>6.3398500028845888</c:v>
                </c:pt>
                <c:pt idx="876">
                  <c:v>6.3398500028845888</c:v>
                </c:pt>
                <c:pt idx="877">
                  <c:v>6.3398500028845888</c:v>
                </c:pt>
                <c:pt idx="878">
                  <c:v>6.3398500028845888</c:v>
                </c:pt>
                <c:pt idx="879">
                  <c:v>6.3398500028845888</c:v>
                </c:pt>
                <c:pt idx="880">
                  <c:v>6.3398500028845888</c:v>
                </c:pt>
                <c:pt idx="881">
                  <c:v>6.3398500028845888</c:v>
                </c:pt>
                <c:pt idx="882">
                  <c:v>6.3398500028845888</c:v>
                </c:pt>
                <c:pt idx="883">
                  <c:v>6.3398500028845888</c:v>
                </c:pt>
                <c:pt idx="884">
                  <c:v>6.3398500028845888</c:v>
                </c:pt>
                <c:pt idx="885">
                  <c:v>6.3398500028845888</c:v>
                </c:pt>
                <c:pt idx="886">
                  <c:v>6.3398500028845888</c:v>
                </c:pt>
                <c:pt idx="887">
                  <c:v>6.3398500028845888</c:v>
                </c:pt>
                <c:pt idx="888">
                  <c:v>6.3398500028845888</c:v>
                </c:pt>
                <c:pt idx="889">
                  <c:v>6.3398500028845888</c:v>
                </c:pt>
                <c:pt idx="890">
                  <c:v>6.3398500028846172</c:v>
                </c:pt>
                <c:pt idx="891">
                  <c:v>6.3398500028846172</c:v>
                </c:pt>
                <c:pt idx="892">
                  <c:v>6.3398500028846172</c:v>
                </c:pt>
                <c:pt idx="893">
                  <c:v>6.3398500028846172</c:v>
                </c:pt>
                <c:pt idx="894">
                  <c:v>6.3398500028846172</c:v>
                </c:pt>
                <c:pt idx="895">
                  <c:v>6.3398500028846172</c:v>
                </c:pt>
                <c:pt idx="896">
                  <c:v>6.3398500028846172</c:v>
                </c:pt>
                <c:pt idx="897">
                  <c:v>6.3398500028845888</c:v>
                </c:pt>
                <c:pt idx="898">
                  <c:v>6.3398500028845888</c:v>
                </c:pt>
                <c:pt idx="899">
                  <c:v>6.3398500028845888</c:v>
                </c:pt>
                <c:pt idx="900">
                  <c:v>6.3398500028845888</c:v>
                </c:pt>
                <c:pt idx="901">
                  <c:v>6.3398500028845888</c:v>
                </c:pt>
                <c:pt idx="902">
                  <c:v>6.3398500028845888</c:v>
                </c:pt>
                <c:pt idx="903">
                  <c:v>6.3398500028845888</c:v>
                </c:pt>
                <c:pt idx="904">
                  <c:v>6.3398500028845888</c:v>
                </c:pt>
                <c:pt idx="905">
                  <c:v>6.3398500028845888</c:v>
                </c:pt>
                <c:pt idx="906">
                  <c:v>6.3398500028845888</c:v>
                </c:pt>
                <c:pt idx="907">
                  <c:v>6.3398500028845888</c:v>
                </c:pt>
                <c:pt idx="908">
                  <c:v>6.3398500028845888</c:v>
                </c:pt>
                <c:pt idx="909">
                  <c:v>6.3398500028845888</c:v>
                </c:pt>
                <c:pt idx="910">
                  <c:v>6.3398500028845888</c:v>
                </c:pt>
                <c:pt idx="911">
                  <c:v>6.3398500028845888</c:v>
                </c:pt>
                <c:pt idx="912">
                  <c:v>6.3398500028845888</c:v>
                </c:pt>
                <c:pt idx="913">
                  <c:v>6.3398500028845888</c:v>
                </c:pt>
                <c:pt idx="914">
                  <c:v>6.3398500028845888</c:v>
                </c:pt>
                <c:pt idx="915">
                  <c:v>6.3398500028846172</c:v>
                </c:pt>
                <c:pt idx="916">
                  <c:v>6.3398500028846172</c:v>
                </c:pt>
                <c:pt idx="917">
                  <c:v>6.3398500028846172</c:v>
                </c:pt>
                <c:pt idx="918">
                  <c:v>6.3398500028846172</c:v>
                </c:pt>
                <c:pt idx="919">
                  <c:v>6.3398500028846172</c:v>
                </c:pt>
                <c:pt idx="920">
                  <c:v>6.3398500028845888</c:v>
                </c:pt>
                <c:pt idx="921">
                  <c:v>6.3398500028845888</c:v>
                </c:pt>
                <c:pt idx="922">
                  <c:v>6.3398500028845888</c:v>
                </c:pt>
                <c:pt idx="923">
                  <c:v>6.3398500028845888</c:v>
                </c:pt>
                <c:pt idx="924">
                  <c:v>6.3398500028845888</c:v>
                </c:pt>
                <c:pt idx="925">
                  <c:v>6.3398500028845888</c:v>
                </c:pt>
                <c:pt idx="926">
                  <c:v>6.3398500028845888</c:v>
                </c:pt>
                <c:pt idx="927">
                  <c:v>6.3398500028845888</c:v>
                </c:pt>
                <c:pt idx="928">
                  <c:v>6.3398500028845888</c:v>
                </c:pt>
                <c:pt idx="929">
                  <c:v>6.3398500028845888</c:v>
                </c:pt>
                <c:pt idx="930">
                  <c:v>6.3398500028845888</c:v>
                </c:pt>
                <c:pt idx="931">
                  <c:v>6.3398500028845888</c:v>
                </c:pt>
                <c:pt idx="932">
                  <c:v>6.3398500028845888</c:v>
                </c:pt>
                <c:pt idx="933">
                  <c:v>6.3398500028845888</c:v>
                </c:pt>
                <c:pt idx="934">
                  <c:v>6.3398500028845888</c:v>
                </c:pt>
                <c:pt idx="935">
                  <c:v>6.3398500028845888</c:v>
                </c:pt>
                <c:pt idx="936">
                  <c:v>6.3398500028845888</c:v>
                </c:pt>
                <c:pt idx="937">
                  <c:v>6.3398500028845888</c:v>
                </c:pt>
                <c:pt idx="938">
                  <c:v>6.3398500028845888</c:v>
                </c:pt>
                <c:pt idx="939">
                  <c:v>6.3398500028846172</c:v>
                </c:pt>
                <c:pt idx="940">
                  <c:v>6.3398500028846172</c:v>
                </c:pt>
                <c:pt idx="941">
                  <c:v>6.3398500028846172</c:v>
                </c:pt>
                <c:pt idx="942">
                  <c:v>6.3398500028846172</c:v>
                </c:pt>
                <c:pt idx="943">
                  <c:v>6.3398500028845888</c:v>
                </c:pt>
                <c:pt idx="944">
                  <c:v>6.3398500028845888</c:v>
                </c:pt>
                <c:pt idx="945">
                  <c:v>6.3398500028845888</c:v>
                </c:pt>
                <c:pt idx="946">
                  <c:v>6.3398500028845888</c:v>
                </c:pt>
                <c:pt idx="947">
                  <c:v>6.3398500028845888</c:v>
                </c:pt>
                <c:pt idx="948">
                  <c:v>6.3398500028845888</c:v>
                </c:pt>
                <c:pt idx="949">
                  <c:v>6.3398500028845888</c:v>
                </c:pt>
                <c:pt idx="950">
                  <c:v>6.3398500028845888</c:v>
                </c:pt>
                <c:pt idx="951">
                  <c:v>6.3398500028845888</c:v>
                </c:pt>
                <c:pt idx="952">
                  <c:v>6.3398500028845888</c:v>
                </c:pt>
                <c:pt idx="953">
                  <c:v>6.3398500028845888</c:v>
                </c:pt>
                <c:pt idx="954">
                  <c:v>6.3398500028845888</c:v>
                </c:pt>
                <c:pt idx="955">
                  <c:v>6.3398500028845888</c:v>
                </c:pt>
                <c:pt idx="956">
                  <c:v>6.3398500028845888</c:v>
                </c:pt>
                <c:pt idx="957">
                  <c:v>6.3398500028845888</c:v>
                </c:pt>
                <c:pt idx="958">
                  <c:v>6.3398500028845888</c:v>
                </c:pt>
                <c:pt idx="959">
                  <c:v>6.3398500028845888</c:v>
                </c:pt>
                <c:pt idx="960">
                  <c:v>6.3398500028845888</c:v>
                </c:pt>
                <c:pt idx="961">
                  <c:v>6.3398500028845888</c:v>
                </c:pt>
                <c:pt idx="962">
                  <c:v>6.3398500028845888</c:v>
                </c:pt>
                <c:pt idx="963">
                  <c:v>6.3398500028845888</c:v>
                </c:pt>
                <c:pt idx="964">
                  <c:v>6.3398500028846172</c:v>
                </c:pt>
                <c:pt idx="965">
                  <c:v>6.3398500028846172</c:v>
                </c:pt>
                <c:pt idx="966">
                  <c:v>6.3398500028845888</c:v>
                </c:pt>
                <c:pt idx="967">
                  <c:v>6.3398500028845888</c:v>
                </c:pt>
                <c:pt idx="968">
                  <c:v>6.3398500028845888</c:v>
                </c:pt>
                <c:pt idx="969">
                  <c:v>6.3398500028845888</c:v>
                </c:pt>
                <c:pt idx="970">
                  <c:v>6.3398500028845888</c:v>
                </c:pt>
                <c:pt idx="971">
                  <c:v>6.3398500028845888</c:v>
                </c:pt>
                <c:pt idx="972">
                  <c:v>6.3398500028845888</c:v>
                </c:pt>
                <c:pt idx="973">
                  <c:v>6.3398500028845888</c:v>
                </c:pt>
                <c:pt idx="974">
                  <c:v>6.3398500028845888</c:v>
                </c:pt>
                <c:pt idx="975">
                  <c:v>6.3398500028845888</c:v>
                </c:pt>
                <c:pt idx="976">
                  <c:v>6.3398500028845888</c:v>
                </c:pt>
                <c:pt idx="977">
                  <c:v>6.3398500028845888</c:v>
                </c:pt>
                <c:pt idx="978">
                  <c:v>6.3398500028845888</c:v>
                </c:pt>
                <c:pt idx="979">
                  <c:v>6.3398500028845888</c:v>
                </c:pt>
                <c:pt idx="980">
                  <c:v>6.3398500028845888</c:v>
                </c:pt>
                <c:pt idx="981">
                  <c:v>6.3398500028845888</c:v>
                </c:pt>
                <c:pt idx="982">
                  <c:v>6.3398500028845888</c:v>
                </c:pt>
                <c:pt idx="983">
                  <c:v>6.3398500028845888</c:v>
                </c:pt>
                <c:pt idx="984">
                  <c:v>6.3398500028845888</c:v>
                </c:pt>
                <c:pt idx="985">
                  <c:v>6.3398500028845888</c:v>
                </c:pt>
                <c:pt idx="986">
                  <c:v>6.3398500028845888</c:v>
                </c:pt>
                <c:pt idx="987">
                  <c:v>6.3398500028845888</c:v>
                </c:pt>
                <c:pt idx="988">
                  <c:v>6.3398500028846172</c:v>
                </c:pt>
                <c:pt idx="989">
                  <c:v>6.3398500028846172</c:v>
                </c:pt>
                <c:pt idx="990">
                  <c:v>6.3398500028845888</c:v>
                </c:pt>
                <c:pt idx="991">
                  <c:v>6.3398500028845888</c:v>
                </c:pt>
                <c:pt idx="992">
                  <c:v>6.3398500028845888</c:v>
                </c:pt>
                <c:pt idx="993">
                  <c:v>6.3398500028845888</c:v>
                </c:pt>
                <c:pt idx="994">
                  <c:v>6.3398500028845888</c:v>
                </c:pt>
                <c:pt idx="995">
                  <c:v>6.3398500028845888</c:v>
                </c:pt>
                <c:pt idx="996">
                  <c:v>6.3398500028845888</c:v>
                </c:pt>
                <c:pt idx="997">
                  <c:v>6.3398500028845888</c:v>
                </c:pt>
                <c:pt idx="998">
                  <c:v>6.3398500028845888</c:v>
                </c:pt>
                <c:pt idx="999">
                  <c:v>6.3398500028845888</c:v>
                </c:pt>
                <c:pt idx="1000">
                  <c:v>6.3398500028845888</c:v>
                </c:pt>
                <c:pt idx="1001">
                  <c:v>6.3398500028845888</c:v>
                </c:pt>
                <c:pt idx="1002">
                  <c:v>6.3398500028845888</c:v>
                </c:pt>
                <c:pt idx="1003">
                  <c:v>6.3398500028845888</c:v>
                </c:pt>
                <c:pt idx="1004">
                  <c:v>6.3398500028845888</c:v>
                </c:pt>
                <c:pt idx="1005">
                  <c:v>6.3398500028845888</c:v>
                </c:pt>
                <c:pt idx="1006">
                  <c:v>6.3398500028845888</c:v>
                </c:pt>
                <c:pt idx="1007">
                  <c:v>6.3398500028845888</c:v>
                </c:pt>
                <c:pt idx="1008">
                  <c:v>6.3398500028845604</c:v>
                </c:pt>
                <c:pt idx="1009">
                  <c:v>6.3398500028845888</c:v>
                </c:pt>
                <c:pt idx="1010">
                  <c:v>6.3398500028845604</c:v>
                </c:pt>
                <c:pt idx="1011">
                  <c:v>6.3398500028845888</c:v>
                </c:pt>
                <c:pt idx="1012">
                  <c:v>6.3398500028846172</c:v>
                </c:pt>
                <c:pt idx="1013">
                  <c:v>6.3398500028845604</c:v>
                </c:pt>
                <c:pt idx="1014">
                  <c:v>6.3398500028845888</c:v>
                </c:pt>
                <c:pt idx="1015">
                  <c:v>6.3398500028845604</c:v>
                </c:pt>
                <c:pt idx="1016">
                  <c:v>6.3398500028845888</c:v>
                </c:pt>
                <c:pt idx="1017">
                  <c:v>6.3398500028845604</c:v>
                </c:pt>
                <c:pt idx="1018">
                  <c:v>6.3398500028845888</c:v>
                </c:pt>
                <c:pt idx="1019">
                  <c:v>6.3398500028845604</c:v>
                </c:pt>
                <c:pt idx="1020">
                  <c:v>6.3398500028845888</c:v>
                </c:pt>
                <c:pt idx="1021">
                  <c:v>6.3398500028845888</c:v>
                </c:pt>
                <c:pt idx="1022">
                  <c:v>6.3398500028845888</c:v>
                </c:pt>
                <c:pt idx="1023">
                  <c:v>6.3398500028845888</c:v>
                </c:pt>
                <c:pt idx="1024">
                  <c:v>6.3398500028845888</c:v>
                </c:pt>
                <c:pt idx="1025">
                  <c:v>6.3398500028845888</c:v>
                </c:pt>
                <c:pt idx="1026">
                  <c:v>6.3398500028845888</c:v>
                </c:pt>
                <c:pt idx="1027">
                  <c:v>6.3398500028845888</c:v>
                </c:pt>
                <c:pt idx="1028">
                  <c:v>6.3398500028845888</c:v>
                </c:pt>
                <c:pt idx="1029">
                  <c:v>6.3398500028845888</c:v>
                </c:pt>
                <c:pt idx="1030">
                  <c:v>6.3398500028845888</c:v>
                </c:pt>
                <c:pt idx="1031">
                  <c:v>6.3398500028845888</c:v>
                </c:pt>
                <c:pt idx="1032">
                  <c:v>6.3398500028845888</c:v>
                </c:pt>
                <c:pt idx="1033">
                  <c:v>6.3398500028845888</c:v>
                </c:pt>
                <c:pt idx="1034">
                  <c:v>6.3398500028845888</c:v>
                </c:pt>
                <c:pt idx="1035">
                  <c:v>6.3398500028845888</c:v>
                </c:pt>
                <c:pt idx="1036">
                  <c:v>6.3398500028845888</c:v>
                </c:pt>
                <c:pt idx="1037">
                  <c:v>6.3398500028845888</c:v>
                </c:pt>
                <c:pt idx="1038">
                  <c:v>6.3398500028845888</c:v>
                </c:pt>
                <c:pt idx="1039">
                  <c:v>6.3398500028845888</c:v>
                </c:pt>
                <c:pt idx="1040">
                  <c:v>6.3398500028845888</c:v>
                </c:pt>
                <c:pt idx="1041">
                  <c:v>6.3398500028845888</c:v>
                </c:pt>
                <c:pt idx="1042">
                  <c:v>6.3398500028845888</c:v>
                </c:pt>
                <c:pt idx="1043">
                  <c:v>6.3398500028845888</c:v>
                </c:pt>
                <c:pt idx="1044">
                  <c:v>6.3398500028845888</c:v>
                </c:pt>
                <c:pt idx="1045">
                  <c:v>6.3398500028845888</c:v>
                </c:pt>
                <c:pt idx="1046">
                  <c:v>6.3398500028845888</c:v>
                </c:pt>
                <c:pt idx="1047">
                  <c:v>6.3398500028845888</c:v>
                </c:pt>
                <c:pt idx="1048">
                  <c:v>6.3398500028845319</c:v>
                </c:pt>
                <c:pt idx="1049">
                  <c:v>6.3398500028845888</c:v>
                </c:pt>
                <c:pt idx="1050">
                  <c:v>6.3398500028845888</c:v>
                </c:pt>
                <c:pt idx="1051">
                  <c:v>6.3398500028845888</c:v>
                </c:pt>
                <c:pt idx="1052">
                  <c:v>6.3398500028845888</c:v>
                </c:pt>
                <c:pt idx="1053">
                  <c:v>6.3398500028845888</c:v>
                </c:pt>
                <c:pt idx="1054">
                  <c:v>6.3398500028845888</c:v>
                </c:pt>
                <c:pt idx="1055">
                  <c:v>6.3398500028845888</c:v>
                </c:pt>
                <c:pt idx="1056">
                  <c:v>6.3398500028845888</c:v>
                </c:pt>
                <c:pt idx="1057">
                  <c:v>6.3398500028845888</c:v>
                </c:pt>
                <c:pt idx="1058">
                  <c:v>6.3398500028845888</c:v>
                </c:pt>
                <c:pt idx="1059">
                  <c:v>6.3398500028845888</c:v>
                </c:pt>
                <c:pt idx="1060">
                  <c:v>6.3398500028845888</c:v>
                </c:pt>
                <c:pt idx="1061">
                  <c:v>6.3398500028845888</c:v>
                </c:pt>
                <c:pt idx="1062">
                  <c:v>6.3398500028845888</c:v>
                </c:pt>
                <c:pt idx="1063">
                  <c:v>6.3398500028845888</c:v>
                </c:pt>
                <c:pt idx="1064">
                  <c:v>6.3398500028845888</c:v>
                </c:pt>
                <c:pt idx="1065">
                  <c:v>6.3398500028845888</c:v>
                </c:pt>
                <c:pt idx="1066">
                  <c:v>6.3398500028845888</c:v>
                </c:pt>
                <c:pt idx="1067">
                  <c:v>6.3398500028845888</c:v>
                </c:pt>
                <c:pt idx="1068">
                  <c:v>6.3398500028845888</c:v>
                </c:pt>
                <c:pt idx="1069">
                  <c:v>6.3398500028845888</c:v>
                </c:pt>
                <c:pt idx="1070">
                  <c:v>6.3398500028845888</c:v>
                </c:pt>
                <c:pt idx="1071">
                  <c:v>6.3398500028845319</c:v>
                </c:pt>
                <c:pt idx="1072">
                  <c:v>6.3398500028845888</c:v>
                </c:pt>
                <c:pt idx="1073">
                  <c:v>6.3398500028845888</c:v>
                </c:pt>
                <c:pt idx="1074">
                  <c:v>6.3398500028845888</c:v>
                </c:pt>
                <c:pt idx="1075">
                  <c:v>6.3398500028845888</c:v>
                </c:pt>
                <c:pt idx="1076">
                  <c:v>6.3398500028845888</c:v>
                </c:pt>
                <c:pt idx="1077">
                  <c:v>6.3398500028845888</c:v>
                </c:pt>
                <c:pt idx="1078">
                  <c:v>6.3398500028845888</c:v>
                </c:pt>
                <c:pt idx="1079">
                  <c:v>6.3398500028845888</c:v>
                </c:pt>
                <c:pt idx="1080">
                  <c:v>6.3398500028845888</c:v>
                </c:pt>
                <c:pt idx="1081">
                  <c:v>6.3398500028845888</c:v>
                </c:pt>
                <c:pt idx="1082">
                  <c:v>6.3398500028845888</c:v>
                </c:pt>
                <c:pt idx="1083">
                  <c:v>6.3398500028845888</c:v>
                </c:pt>
                <c:pt idx="1084">
                  <c:v>6.3398500028845888</c:v>
                </c:pt>
                <c:pt idx="1085">
                  <c:v>6.3398500028845888</c:v>
                </c:pt>
                <c:pt idx="1086">
                  <c:v>6.3398500028845888</c:v>
                </c:pt>
                <c:pt idx="1087">
                  <c:v>6.3398500028845888</c:v>
                </c:pt>
                <c:pt idx="1088">
                  <c:v>6.3398500028845888</c:v>
                </c:pt>
                <c:pt idx="1089">
                  <c:v>6.3398500028845888</c:v>
                </c:pt>
                <c:pt idx="1090">
                  <c:v>6.3398500028845888</c:v>
                </c:pt>
                <c:pt idx="1091">
                  <c:v>6.3398500028845888</c:v>
                </c:pt>
                <c:pt idx="1092">
                  <c:v>6.3398500028845888</c:v>
                </c:pt>
                <c:pt idx="1093">
                  <c:v>6.3398500028845888</c:v>
                </c:pt>
                <c:pt idx="1094">
                  <c:v>6.3398500028845319</c:v>
                </c:pt>
                <c:pt idx="1095">
                  <c:v>6.3398500028845888</c:v>
                </c:pt>
                <c:pt idx="1096">
                  <c:v>6.3398500028845319</c:v>
                </c:pt>
                <c:pt idx="1097">
                  <c:v>6.3398500028845888</c:v>
                </c:pt>
                <c:pt idx="1098">
                  <c:v>6.3398500028845888</c:v>
                </c:pt>
                <c:pt idx="1099">
                  <c:v>6.3398500028845888</c:v>
                </c:pt>
                <c:pt idx="1100">
                  <c:v>6.3398500028845888</c:v>
                </c:pt>
                <c:pt idx="1101">
                  <c:v>6.3398500028845888</c:v>
                </c:pt>
                <c:pt idx="1102">
                  <c:v>6.3398500028845888</c:v>
                </c:pt>
                <c:pt idx="1103">
                  <c:v>6.3398500028845888</c:v>
                </c:pt>
                <c:pt idx="1104">
                  <c:v>6.3398500028845888</c:v>
                </c:pt>
                <c:pt idx="1105">
                  <c:v>6.3398500028845888</c:v>
                </c:pt>
                <c:pt idx="1106">
                  <c:v>6.3398500028845888</c:v>
                </c:pt>
                <c:pt idx="1107">
                  <c:v>6.3398500028845888</c:v>
                </c:pt>
                <c:pt idx="1108">
                  <c:v>6.3398500028845888</c:v>
                </c:pt>
                <c:pt idx="1109">
                  <c:v>6.3398500028845888</c:v>
                </c:pt>
                <c:pt idx="1110">
                  <c:v>6.3398500028845888</c:v>
                </c:pt>
                <c:pt idx="1111">
                  <c:v>6.3398500028845888</c:v>
                </c:pt>
                <c:pt idx="1112">
                  <c:v>6.3398500028845888</c:v>
                </c:pt>
                <c:pt idx="1113">
                  <c:v>6.3398500028845888</c:v>
                </c:pt>
                <c:pt idx="1114">
                  <c:v>6.3398500028845888</c:v>
                </c:pt>
                <c:pt idx="1115">
                  <c:v>6.3398500028845888</c:v>
                </c:pt>
                <c:pt idx="1116">
                  <c:v>6.3398500028845888</c:v>
                </c:pt>
                <c:pt idx="1117">
                  <c:v>6.3398500028845888</c:v>
                </c:pt>
                <c:pt idx="1118">
                  <c:v>6.3398500028845888</c:v>
                </c:pt>
                <c:pt idx="1119">
                  <c:v>6.3398500028845319</c:v>
                </c:pt>
                <c:pt idx="1120">
                  <c:v>6.3398500028845888</c:v>
                </c:pt>
                <c:pt idx="1121">
                  <c:v>6.3398500028845319</c:v>
                </c:pt>
                <c:pt idx="1122">
                  <c:v>6.3398500028845888</c:v>
                </c:pt>
                <c:pt idx="1123">
                  <c:v>6.3398500028845888</c:v>
                </c:pt>
                <c:pt idx="1124">
                  <c:v>6.3398500028845888</c:v>
                </c:pt>
                <c:pt idx="1125">
                  <c:v>6.3398500028845888</c:v>
                </c:pt>
                <c:pt idx="1126">
                  <c:v>6.3398500028845888</c:v>
                </c:pt>
                <c:pt idx="1127">
                  <c:v>6.3398500028845888</c:v>
                </c:pt>
                <c:pt idx="1128">
                  <c:v>6.3398500028845888</c:v>
                </c:pt>
                <c:pt idx="1129">
                  <c:v>6.3398500028845888</c:v>
                </c:pt>
                <c:pt idx="1130">
                  <c:v>6.3398500028845888</c:v>
                </c:pt>
                <c:pt idx="1131">
                  <c:v>6.3398500028845888</c:v>
                </c:pt>
                <c:pt idx="1132">
                  <c:v>6.3398500028845888</c:v>
                </c:pt>
                <c:pt idx="1133">
                  <c:v>6.3398500028845888</c:v>
                </c:pt>
                <c:pt idx="1134">
                  <c:v>6.3398500028845888</c:v>
                </c:pt>
                <c:pt idx="1135">
                  <c:v>6.3398500028845888</c:v>
                </c:pt>
                <c:pt idx="1136">
                  <c:v>6.3398500028845888</c:v>
                </c:pt>
                <c:pt idx="1137">
                  <c:v>6.3398500028845888</c:v>
                </c:pt>
                <c:pt idx="1138">
                  <c:v>6.3398500028845888</c:v>
                </c:pt>
                <c:pt idx="1139">
                  <c:v>6.3398500028845888</c:v>
                </c:pt>
                <c:pt idx="1140">
                  <c:v>6.3398500028845888</c:v>
                </c:pt>
                <c:pt idx="1141">
                  <c:v>6.3398500028845888</c:v>
                </c:pt>
                <c:pt idx="1142">
                  <c:v>6.3398500028845319</c:v>
                </c:pt>
                <c:pt idx="1143">
                  <c:v>6.3398500028845888</c:v>
                </c:pt>
                <c:pt idx="1144">
                  <c:v>6.3398500028845319</c:v>
                </c:pt>
                <c:pt idx="1145">
                  <c:v>6.3398500028845888</c:v>
                </c:pt>
                <c:pt idx="1146">
                  <c:v>6.3398500028845888</c:v>
                </c:pt>
                <c:pt idx="1147">
                  <c:v>6.3398500028845888</c:v>
                </c:pt>
                <c:pt idx="1148">
                  <c:v>6.3398500028845888</c:v>
                </c:pt>
                <c:pt idx="1149">
                  <c:v>6.3398500028845888</c:v>
                </c:pt>
                <c:pt idx="1150">
                  <c:v>6.3398500028845888</c:v>
                </c:pt>
                <c:pt idx="1151">
                  <c:v>6.3398500028845888</c:v>
                </c:pt>
                <c:pt idx="1152">
                  <c:v>6.3398500028845888</c:v>
                </c:pt>
                <c:pt idx="1153">
                  <c:v>6.3398500028845888</c:v>
                </c:pt>
                <c:pt idx="1154">
                  <c:v>6.3398500028845888</c:v>
                </c:pt>
                <c:pt idx="1155">
                  <c:v>6.3398500028845888</c:v>
                </c:pt>
                <c:pt idx="1156">
                  <c:v>6.3398500028845888</c:v>
                </c:pt>
                <c:pt idx="1157">
                  <c:v>6.3398500028845888</c:v>
                </c:pt>
                <c:pt idx="1158">
                  <c:v>6.3398500028845888</c:v>
                </c:pt>
                <c:pt idx="1159">
                  <c:v>6.3398500028845888</c:v>
                </c:pt>
                <c:pt idx="1160">
                  <c:v>6.3398500028845888</c:v>
                </c:pt>
                <c:pt idx="1161">
                  <c:v>6.3398500028845888</c:v>
                </c:pt>
                <c:pt idx="1162">
                  <c:v>6.3398500028845888</c:v>
                </c:pt>
                <c:pt idx="1163">
                  <c:v>6.3398500028845888</c:v>
                </c:pt>
                <c:pt idx="1164">
                  <c:v>6.3398500028845888</c:v>
                </c:pt>
                <c:pt idx="1165">
                  <c:v>6.3398500028845319</c:v>
                </c:pt>
                <c:pt idx="1166">
                  <c:v>6.3398500028845888</c:v>
                </c:pt>
                <c:pt idx="1167">
                  <c:v>6.3398500028845319</c:v>
                </c:pt>
                <c:pt idx="1168">
                  <c:v>6.3398500028845888</c:v>
                </c:pt>
                <c:pt idx="1169">
                  <c:v>6.3398500028845319</c:v>
                </c:pt>
                <c:pt idx="1170">
                  <c:v>6.3398500028845888</c:v>
                </c:pt>
                <c:pt idx="1171">
                  <c:v>6.3398500028845888</c:v>
                </c:pt>
                <c:pt idx="1172">
                  <c:v>6.3398500028845888</c:v>
                </c:pt>
                <c:pt idx="1173">
                  <c:v>6.3398500028845888</c:v>
                </c:pt>
                <c:pt idx="1174">
                  <c:v>6.3398500028845888</c:v>
                </c:pt>
                <c:pt idx="1175">
                  <c:v>6.3398500028845888</c:v>
                </c:pt>
                <c:pt idx="1176">
                  <c:v>6.3398500028845888</c:v>
                </c:pt>
                <c:pt idx="1177">
                  <c:v>6.3398500028845888</c:v>
                </c:pt>
                <c:pt idx="1178">
                  <c:v>6.3398500028845888</c:v>
                </c:pt>
                <c:pt idx="1179">
                  <c:v>6.3398500028845888</c:v>
                </c:pt>
                <c:pt idx="1180">
                  <c:v>6.3398500028845888</c:v>
                </c:pt>
                <c:pt idx="1181">
                  <c:v>6.3398500028845888</c:v>
                </c:pt>
                <c:pt idx="1182">
                  <c:v>6.3398500028845888</c:v>
                </c:pt>
                <c:pt idx="1183">
                  <c:v>6.3398500028845888</c:v>
                </c:pt>
                <c:pt idx="1184">
                  <c:v>6.3398500028845888</c:v>
                </c:pt>
                <c:pt idx="1185">
                  <c:v>6.3398500028845888</c:v>
                </c:pt>
                <c:pt idx="1186">
                  <c:v>6.3398500028845888</c:v>
                </c:pt>
                <c:pt idx="1187">
                  <c:v>6.3398500028845888</c:v>
                </c:pt>
                <c:pt idx="1188">
                  <c:v>6.3398500028845319</c:v>
                </c:pt>
                <c:pt idx="1189">
                  <c:v>6.3398500028845888</c:v>
                </c:pt>
                <c:pt idx="1190">
                  <c:v>6.3398500028845319</c:v>
                </c:pt>
                <c:pt idx="1191">
                  <c:v>6.3398500028845888</c:v>
                </c:pt>
                <c:pt idx="1192">
                  <c:v>6.3398500028845319</c:v>
                </c:pt>
                <c:pt idx="1193">
                  <c:v>6.3398500028845888</c:v>
                </c:pt>
                <c:pt idx="1194">
                  <c:v>6.3398500028845319</c:v>
                </c:pt>
                <c:pt idx="1195">
                  <c:v>6.3398500028845888</c:v>
                </c:pt>
                <c:pt idx="1196">
                  <c:v>6.3398500028845888</c:v>
                </c:pt>
                <c:pt idx="1197">
                  <c:v>6.3398500028845888</c:v>
                </c:pt>
                <c:pt idx="1198">
                  <c:v>6.3398500028845888</c:v>
                </c:pt>
                <c:pt idx="1199">
                  <c:v>6.3398500028845888</c:v>
                </c:pt>
                <c:pt idx="1200">
                  <c:v>6.3398500028845888</c:v>
                </c:pt>
                <c:pt idx="1201">
                  <c:v>6.3398500028845888</c:v>
                </c:pt>
                <c:pt idx="1202">
                  <c:v>6.3398500028845888</c:v>
                </c:pt>
                <c:pt idx="1203">
                  <c:v>6.3398500028845888</c:v>
                </c:pt>
                <c:pt idx="1204">
                  <c:v>6.3398500028845888</c:v>
                </c:pt>
                <c:pt idx="1205">
                  <c:v>6.3398500028845888</c:v>
                </c:pt>
                <c:pt idx="1206">
                  <c:v>6.3398500028845888</c:v>
                </c:pt>
                <c:pt idx="1207">
                  <c:v>6.3398500028845888</c:v>
                </c:pt>
                <c:pt idx="1208">
                  <c:v>6.3398500028845888</c:v>
                </c:pt>
                <c:pt idx="1209">
                  <c:v>6.3398500028845888</c:v>
                </c:pt>
                <c:pt idx="1210">
                  <c:v>6.3398500028845888</c:v>
                </c:pt>
                <c:pt idx="1211">
                  <c:v>6.3398500028845319</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Data'!$A$9:$A$1220</c:f>
              <c:numCache>
                <c:formatCode>0.0</c:formatCode>
                <c:ptCount val="121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numCache>
            </c:numRef>
          </c:cat>
          <c:val>
            <c:numRef>
              <c:f>'Plot Data'!$F$9:$F$1220</c:f>
              <c:numCache>
                <c:formatCode>0.000</c:formatCode>
                <c:ptCount val="1212"/>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pt idx="501">
                  <c:v>-28.872571172811121</c:v>
                </c:pt>
                <c:pt idx="502">
                  <c:v>-29.123474658183113</c:v>
                </c:pt>
                <c:pt idx="503">
                  <c:v>-29.374378143555106</c:v>
                </c:pt>
                <c:pt idx="504">
                  <c:v>-29.625281628927098</c:v>
                </c:pt>
                <c:pt idx="505">
                  <c:v>-29.876185114299091</c:v>
                </c:pt>
                <c:pt idx="506">
                  <c:v>-30.127088599671112</c:v>
                </c:pt>
                <c:pt idx="507">
                  <c:v>-30.377992085043104</c:v>
                </c:pt>
                <c:pt idx="508">
                  <c:v>-30.628895570415096</c:v>
                </c:pt>
                <c:pt idx="509">
                  <c:v>-30.879799055787089</c:v>
                </c:pt>
                <c:pt idx="510">
                  <c:v>-31.130702541159081</c:v>
                </c:pt>
                <c:pt idx="511">
                  <c:v>-31.381606026531074</c:v>
                </c:pt>
                <c:pt idx="512">
                  <c:v>-31.632509511903066</c:v>
                </c:pt>
                <c:pt idx="513">
                  <c:v>-31.883412997275059</c:v>
                </c:pt>
                <c:pt idx="514">
                  <c:v>-32.134316482647051</c:v>
                </c:pt>
                <c:pt idx="515">
                  <c:v>-32.385219968019044</c:v>
                </c:pt>
                <c:pt idx="516">
                  <c:v>-32.636123453391036</c:v>
                </c:pt>
                <c:pt idx="517">
                  <c:v>-32.887026938763029</c:v>
                </c:pt>
                <c:pt idx="518">
                  <c:v>-33.137930424135021</c:v>
                </c:pt>
                <c:pt idx="519">
                  <c:v>-33.388833909507014</c:v>
                </c:pt>
                <c:pt idx="520">
                  <c:v>-33.639737394879006</c:v>
                </c:pt>
                <c:pt idx="521">
                  <c:v>-33.890640880250999</c:v>
                </c:pt>
                <c:pt idx="522">
                  <c:v>-34.141544365622991</c:v>
                </c:pt>
                <c:pt idx="523">
                  <c:v>-34.392447850994984</c:v>
                </c:pt>
                <c:pt idx="524">
                  <c:v>-34.643351336366976</c:v>
                </c:pt>
                <c:pt idx="525">
                  <c:v>-34.894254821738997</c:v>
                </c:pt>
                <c:pt idx="526">
                  <c:v>-35.145158307110989</c:v>
                </c:pt>
                <c:pt idx="527">
                  <c:v>-35.396061792482982</c:v>
                </c:pt>
                <c:pt idx="528">
                  <c:v>-35.646965277854974</c:v>
                </c:pt>
                <c:pt idx="529">
                  <c:v>-35.897868763226967</c:v>
                </c:pt>
                <c:pt idx="530">
                  <c:v>-36.148772248598959</c:v>
                </c:pt>
                <c:pt idx="531">
                  <c:v>-36.399675733970952</c:v>
                </c:pt>
                <c:pt idx="532">
                  <c:v>-36.650579219342944</c:v>
                </c:pt>
                <c:pt idx="533">
                  <c:v>-36.901482704714937</c:v>
                </c:pt>
                <c:pt idx="534">
                  <c:v>-37.152386190086929</c:v>
                </c:pt>
                <c:pt idx="535">
                  <c:v>-37.403289675458922</c:v>
                </c:pt>
                <c:pt idx="536">
                  <c:v>-37.654193160830914</c:v>
                </c:pt>
                <c:pt idx="537">
                  <c:v>-37.905096646202907</c:v>
                </c:pt>
                <c:pt idx="538">
                  <c:v>-38.156000131574899</c:v>
                </c:pt>
                <c:pt idx="539">
                  <c:v>-38.406903616946892</c:v>
                </c:pt>
                <c:pt idx="540">
                  <c:v>-38.657807102318884</c:v>
                </c:pt>
                <c:pt idx="541">
                  <c:v>-38.908710587690877</c:v>
                </c:pt>
                <c:pt idx="542">
                  <c:v>-39.159614073062869</c:v>
                </c:pt>
                <c:pt idx="543">
                  <c:v>-39.410517558434861</c:v>
                </c:pt>
                <c:pt idx="544">
                  <c:v>-39.661421043806854</c:v>
                </c:pt>
                <c:pt idx="545">
                  <c:v>-39.912324529178846</c:v>
                </c:pt>
                <c:pt idx="546">
                  <c:v>-40.163228014550839</c:v>
                </c:pt>
                <c:pt idx="547">
                  <c:v>-40.414131499922831</c:v>
                </c:pt>
                <c:pt idx="548">
                  <c:v>-40.665034985294824</c:v>
                </c:pt>
                <c:pt idx="549">
                  <c:v>-40.915938470666845</c:v>
                </c:pt>
                <c:pt idx="550">
                  <c:v>-41.166841956038837</c:v>
                </c:pt>
                <c:pt idx="551">
                  <c:v>-41.41774544141083</c:v>
                </c:pt>
                <c:pt idx="552">
                  <c:v>-41.668648926782822</c:v>
                </c:pt>
                <c:pt idx="553">
                  <c:v>-41.919552412154815</c:v>
                </c:pt>
                <c:pt idx="554">
                  <c:v>-42.170455897526807</c:v>
                </c:pt>
                <c:pt idx="555">
                  <c:v>-42.4213593828988</c:v>
                </c:pt>
                <c:pt idx="556">
                  <c:v>-42.672262868270792</c:v>
                </c:pt>
                <c:pt idx="557">
                  <c:v>-42.923166353642785</c:v>
                </c:pt>
                <c:pt idx="558">
                  <c:v>-43.174069839014777</c:v>
                </c:pt>
                <c:pt idx="559">
                  <c:v>-43.424973324386769</c:v>
                </c:pt>
                <c:pt idx="560">
                  <c:v>-43.675876809758762</c:v>
                </c:pt>
                <c:pt idx="561">
                  <c:v>-43.926780295130754</c:v>
                </c:pt>
                <c:pt idx="562">
                  <c:v>-44.177683780502747</c:v>
                </c:pt>
                <c:pt idx="563">
                  <c:v>-44.428587265874739</c:v>
                </c:pt>
                <c:pt idx="564">
                  <c:v>-44.679490751246732</c:v>
                </c:pt>
                <c:pt idx="565">
                  <c:v>-44.930394236618724</c:v>
                </c:pt>
                <c:pt idx="566">
                  <c:v>-45.181297721990717</c:v>
                </c:pt>
                <c:pt idx="567">
                  <c:v>-45.432201207362709</c:v>
                </c:pt>
                <c:pt idx="568">
                  <c:v>-45.683104692734702</c:v>
                </c:pt>
                <c:pt idx="569">
                  <c:v>-45.934008178106694</c:v>
                </c:pt>
                <c:pt idx="570">
                  <c:v>-46.184911663478687</c:v>
                </c:pt>
                <c:pt idx="571">
                  <c:v>-46.435815148850679</c:v>
                </c:pt>
                <c:pt idx="572">
                  <c:v>-46.686718634222672</c:v>
                </c:pt>
                <c:pt idx="573">
                  <c:v>-46.937622119594693</c:v>
                </c:pt>
                <c:pt idx="574">
                  <c:v>-47.188525604966685</c:v>
                </c:pt>
                <c:pt idx="575">
                  <c:v>-47.439429090338677</c:v>
                </c:pt>
                <c:pt idx="576">
                  <c:v>-47.69033257571067</c:v>
                </c:pt>
                <c:pt idx="577">
                  <c:v>-47.941236061082662</c:v>
                </c:pt>
                <c:pt idx="578">
                  <c:v>-48.192139546454655</c:v>
                </c:pt>
                <c:pt idx="579">
                  <c:v>-48.443043031826647</c:v>
                </c:pt>
                <c:pt idx="580">
                  <c:v>-48.69394651719864</c:v>
                </c:pt>
                <c:pt idx="581">
                  <c:v>-48.944850002570632</c:v>
                </c:pt>
                <c:pt idx="582">
                  <c:v>-49.195753487942625</c:v>
                </c:pt>
                <c:pt idx="583">
                  <c:v>-49.446656973314617</c:v>
                </c:pt>
                <c:pt idx="584">
                  <c:v>-49.69756045868661</c:v>
                </c:pt>
                <c:pt idx="585">
                  <c:v>-49.948463944058602</c:v>
                </c:pt>
                <c:pt idx="586">
                  <c:v>-50.199367429430595</c:v>
                </c:pt>
                <c:pt idx="587">
                  <c:v>-50.450270914802587</c:v>
                </c:pt>
                <c:pt idx="588">
                  <c:v>-50.70117440017458</c:v>
                </c:pt>
                <c:pt idx="589">
                  <c:v>-50.952077885546572</c:v>
                </c:pt>
                <c:pt idx="590">
                  <c:v>-51.202981370918565</c:v>
                </c:pt>
                <c:pt idx="591">
                  <c:v>-51.453884856290557</c:v>
                </c:pt>
                <c:pt idx="592">
                  <c:v>-51.70478834166255</c:v>
                </c:pt>
                <c:pt idx="593">
                  <c:v>-51.955691827034542</c:v>
                </c:pt>
                <c:pt idx="594">
                  <c:v>-52.206595312406535</c:v>
                </c:pt>
                <c:pt idx="595">
                  <c:v>-52.457498797778527</c:v>
                </c:pt>
                <c:pt idx="596">
                  <c:v>-52.708402283150519</c:v>
                </c:pt>
                <c:pt idx="597">
                  <c:v>-52.959305768522512</c:v>
                </c:pt>
                <c:pt idx="598">
                  <c:v>-53.210209253894533</c:v>
                </c:pt>
                <c:pt idx="599">
                  <c:v>-53.461112739266525</c:v>
                </c:pt>
                <c:pt idx="600">
                  <c:v>-53.712016224638518</c:v>
                </c:pt>
                <c:pt idx="601">
                  <c:v>-53.96291971001051</c:v>
                </c:pt>
                <c:pt idx="602">
                  <c:v>-54.213823195382503</c:v>
                </c:pt>
                <c:pt idx="603">
                  <c:v>-54.464726680754495</c:v>
                </c:pt>
                <c:pt idx="604">
                  <c:v>-54.715630166126488</c:v>
                </c:pt>
                <c:pt idx="605">
                  <c:v>-54.96653365149848</c:v>
                </c:pt>
                <c:pt idx="606">
                  <c:v>-55.217437136870473</c:v>
                </c:pt>
                <c:pt idx="607">
                  <c:v>-55.468340622242465</c:v>
                </c:pt>
                <c:pt idx="608">
                  <c:v>-55.719244107614458</c:v>
                </c:pt>
                <c:pt idx="609">
                  <c:v>-55.97014759298645</c:v>
                </c:pt>
                <c:pt idx="610">
                  <c:v>-56.221051078358443</c:v>
                </c:pt>
                <c:pt idx="611">
                  <c:v>-56.471954563730435</c:v>
                </c:pt>
                <c:pt idx="612">
                  <c:v>-56.722858049102427</c:v>
                </c:pt>
                <c:pt idx="613">
                  <c:v>-56.97376153447442</c:v>
                </c:pt>
                <c:pt idx="614">
                  <c:v>-57.224665019846412</c:v>
                </c:pt>
                <c:pt idx="615">
                  <c:v>-57.475568505218405</c:v>
                </c:pt>
                <c:pt idx="616">
                  <c:v>-57.726471990590397</c:v>
                </c:pt>
                <c:pt idx="617">
                  <c:v>-57.97737547596239</c:v>
                </c:pt>
                <c:pt idx="618">
                  <c:v>-58.228278961334382</c:v>
                </c:pt>
                <c:pt idx="619">
                  <c:v>-58.479182446706375</c:v>
                </c:pt>
                <c:pt idx="620">
                  <c:v>-58.730085932078367</c:v>
                </c:pt>
                <c:pt idx="621">
                  <c:v>-58.98098941745036</c:v>
                </c:pt>
                <c:pt idx="622">
                  <c:v>-59.231892902822381</c:v>
                </c:pt>
                <c:pt idx="623">
                  <c:v>-59.482796388194373</c:v>
                </c:pt>
                <c:pt idx="624">
                  <c:v>-59.733699873566366</c:v>
                </c:pt>
                <c:pt idx="625">
                  <c:v>-59.984603358938358</c:v>
                </c:pt>
                <c:pt idx="626">
                  <c:v>-60.235506844310351</c:v>
                </c:pt>
                <c:pt idx="627">
                  <c:v>-60.486410329682343</c:v>
                </c:pt>
                <c:pt idx="628">
                  <c:v>-60.737313815054335</c:v>
                </c:pt>
                <c:pt idx="629">
                  <c:v>-60.988217300426328</c:v>
                </c:pt>
                <c:pt idx="630">
                  <c:v>-61.23912078579832</c:v>
                </c:pt>
                <c:pt idx="631">
                  <c:v>-61.490024271170313</c:v>
                </c:pt>
                <c:pt idx="632">
                  <c:v>-61.740927756542305</c:v>
                </c:pt>
                <c:pt idx="633">
                  <c:v>-61.991831241914298</c:v>
                </c:pt>
                <c:pt idx="634">
                  <c:v>-62.24273472728629</c:v>
                </c:pt>
                <c:pt idx="635">
                  <c:v>-62.493638212658283</c:v>
                </c:pt>
                <c:pt idx="636">
                  <c:v>-62.744541698030275</c:v>
                </c:pt>
                <c:pt idx="637">
                  <c:v>-62.995445183402268</c:v>
                </c:pt>
                <c:pt idx="638">
                  <c:v>-63.24634866877426</c:v>
                </c:pt>
                <c:pt idx="639">
                  <c:v>-63.497252154146253</c:v>
                </c:pt>
                <c:pt idx="640">
                  <c:v>-63.748155639518245</c:v>
                </c:pt>
                <c:pt idx="641">
                  <c:v>-63.999059124890238</c:v>
                </c:pt>
                <c:pt idx="642">
                  <c:v>-64.24996261026223</c:v>
                </c:pt>
                <c:pt idx="643">
                  <c:v>-64.500866095634223</c:v>
                </c:pt>
                <c:pt idx="644">
                  <c:v>-64.751769581006215</c:v>
                </c:pt>
                <c:pt idx="645">
                  <c:v>-65.002673066378208</c:v>
                </c:pt>
                <c:pt idx="646">
                  <c:v>-65.2535765517502</c:v>
                </c:pt>
                <c:pt idx="647">
                  <c:v>-65.504480037122221</c:v>
                </c:pt>
                <c:pt idx="648">
                  <c:v>-65.755383522494213</c:v>
                </c:pt>
                <c:pt idx="649">
                  <c:v>-66.006287007866206</c:v>
                </c:pt>
                <c:pt idx="650">
                  <c:v>-66.257190493238198</c:v>
                </c:pt>
                <c:pt idx="651">
                  <c:v>-66.508093978610191</c:v>
                </c:pt>
                <c:pt idx="652">
                  <c:v>-66.758997463982183</c:v>
                </c:pt>
                <c:pt idx="653">
                  <c:v>-67.009900949354176</c:v>
                </c:pt>
                <c:pt idx="654">
                  <c:v>-67.260804434726168</c:v>
                </c:pt>
                <c:pt idx="655">
                  <c:v>-67.511707920098161</c:v>
                </c:pt>
                <c:pt idx="656">
                  <c:v>-67.762611405470153</c:v>
                </c:pt>
                <c:pt idx="657">
                  <c:v>-68.013514890842146</c:v>
                </c:pt>
                <c:pt idx="658">
                  <c:v>-68.264418376214138</c:v>
                </c:pt>
                <c:pt idx="659">
                  <c:v>-68.515321861586131</c:v>
                </c:pt>
                <c:pt idx="660">
                  <c:v>-68.766225346958123</c:v>
                </c:pt>
                <c:pt idx="661">
                  <c:v>-69.017128832330116</c:v>
                </c:pt>
                <c:pt idx="662">
                  <c:v>-69.268032317702108</c:v>
                </c:pt>
                <c:pt idx="663">
                  <c:v>-69.5189358030741</c:v>
                </c:pt>
                <c:pt idx="664">
                  <c:v>-69.769839288446093</c:v>
                </c:pt>
                <c:pt idx="665">
                  <c:v>-70.020742773818085</c:v>
                </c:pt>
                <c:pt idx="666">
                  <c:v>-70.271646259190078</c:v>
                </c:pt>
                <c:pt idx="667">
                  <c:v>-70.52254974456207</c:v>
                </c:pt>
                <c:pt idx="668">
                  <c:v>-70.773453229934063</c:v>
                </c:pt>
                <c:pt idx="669">
                  <c:v>-71.024356715306055</c:v>
                </c:pt>
                <c:pt idx="670">
                  <c:v>-71.275260200678048</c:v>
                </c:pt>
                <c:pt idx="671">
                  <c:v>-71.526163686050069</c:v>
                </c:pt>
                <c:pt idx="672">
                  <c:v>-71.777067171422061</c:v>
                </c:pt>
                <c:pt idx="673">
                  <c:v>-72.027970656794054</c:v>
                </c:pt>
                <c:pt idx="674">
                  <c:v>-72.278874142166046</c:v>
                </c:pt>
                <c:pt idx="675">
                  <c:v>-72.529777627538039</c:v>
                </c:pt>
                <c:pt idx="676">
                  <c:v>-72.780681112910031</c:v>
                </c:pt>
                <c:pt idx="677">
                  <c:v>-73.031584598282024</c:v>
                </c:pt>
                <c:pt idx="678">
                  <c:v>-73.282488083654016</c:v>
                </c:pt>
                <c:pt idx="679">
                  <c:v>-73.533391569026008</c:v>
                </c:pt>
                <c:pt idx="680">
                  <c:v>-73.784295054398001</c:v>
                </c:pt>
                <c:pt idx="681">
                  <c:v>-74.035198539769993</c:v>
                </c:pt>
                <c:pt idx="682">
                  <c:v>-74.286102025141986</c:v>
                </c:pt>
                <c:pt idx="683">
                  <c:v>-74.537005510513978</c:v>
                </c:pt>
                <c:pt idx="684">
                  <c:v>-74.787908995885971</c:v>
                </c:pt>
                <c:pt idx="685">
                  <c:v>-75.038812481257963</c:v>
                </c:pt>
                <c:pt idx="686">
                  <c:v>-75.289715966629956</c:v>
                </c:pt>
                <c:pt idx="687">
                  <c:v>-75.540619452001948</c:v>
                </c:pt>
                <c:pt idx="688">
                  <c:v>-75.791522937373941</c:v>
                </c:pt>
                <c:pt idx="689">
                  <c:v>-76.042426422745933</c:v>
                </c:pt>
                <c:pt idx="690">
                  <c:v>-76.293329908117926</c:v>
                </c:pt>
                <c:pt idx="691">
                  <c:v>-76.544233393489918</c:v>
                </c:pt>
                <c:pt idx="692">
                  <c:v>-76.795136878861911</c:v>
                </c:pt>
                <c:pt idx="693">
                  <c:v>-77.046040364233903</c:v>
                </c:pt>
                <c:pt idx="694">
                  <c:v>-77.296943849605896</c:v>
                </c:pt>
                <c:pt idx="695">
                  <c:v>-77.547847334977916</c:v>
                </c:pt>
                <c:pt idx="696">
                  <c:v>-77.798750820349909</c:v>
                </c:pt>
                <c:pt idx="697">
                  <c:v>-78.049654305721901</c:v>
                </c:pt>
                <c:pt idx="698">
                  <c:v>-78.300557791093894</c:v>
                </c:pt>
                <c:pt idx="699">
                  <c:v>-78.551461276465886</c:v>
                </c:pt>
                <c:pt idx="700">
                  <c:v>-78.802364761837879</c:v>
                </c:pt>
                <c:pt idx="701">
                  <c:v>-79.053268247209871</c:v>
                </c:pt>
                <c:pt idx="702">
                  <c:v>-79.304171732581864</c:v>
                </c:pt>
                <c:pt idx="703">
                  <c:v>-79.555075217953856</c:v>
                </c:pt>
                <c:pt idx="704">
                  <c:v>-79.805978703325849</c:v>
                </c:pt>
                <c:pt idx="705">
                  <c:v>-80.056882188697841</c:v>
                </c:pt>
                <c:pt idx="706">
                  <c:v>-80.307785674069834</c:v>
                </c:pt>
                <c:pt idx="707">
                  <c:v>-80.558689159441826</c:v>
                </c:pt>
                <c:pt idx="708">
                  <c:v>-80.809592644813819</c:v>
                </c:pt>
                <c:pt idx="709">
                  <c:v>-81.060496130185811</c:v>
                </c:pt>
                <c:pt idx="710">
                  <c:v>-81.311399615557804</c:v>
                </c:pt>
                <c:pt idx="711">
                  <c:v>-81.562303100929796</c:v>
                </c:pt>
                <c:pt idx="712">
                  <c:v>-81.813206586301789</c:v>
                </c:pt>
                <c:pt idx="713">
                  <c:v>-82.064110071673781</c:v>
                </c:pt>
                <c:pt idx="714">
                  <c:v>-82.315013557045773</c:v>
                </c:pt>
                <c:pt idx="715">
                  <c:v>-82.565917042417766</c:v>
                </c:pt>
                <c:pt idx="716">
                  <c:v>-82.816820527789758</c:v>
                </c:pt>
                <c:pt idx="717">
                  <c:v>-83.067724013161751</c:v>
                </c:pt>
                <c:pt idx="718">
                  <c:v>-83.318627498533743</c:v>
                </c:pt>
                <c:pt idx="719">
                  <c:v>-83.569530983905736</c:v>
                </c:pt>
                <c:pt idx="720">
                  <c:v>-83.820434469277757</c:v>
                </c:pt>
                <c:pt idx="721">
                  <c:v>-84.071337954649749</c:v>
                </c:pt>
                <c:pt idx="722">
                  <c:v>-84.322241440021742</c:v>
                </c:pt>
                <c:pt idx="723">
                  <c:v>-84.573144925393734</c:v>
                </c:pt>
                <c:pt idx="724">
                  <c:v>-84.824048410765727</c:v>
                </c:pt>
                <c:pt idx="725">
                  <c:v>-85.074951896137719</c:v>
                </c:pt>
                <c:pt idx="726">
                  <c:v>-85.325855381509712</c:v>
                </c:pt>
                <c:pt idx="727">
                  <c:v>-85.576758866881704</c:v>
                </c:pt>
                <c:pt idx="728">
                  <c:v>-85.827662352253697</c:v>
                </c:pt>
                <c:pt idx="729">
                  <c:v>-86.078565837625689</c:v>
                </c:pt>
                <c:pt idx="730">
                  <c:v>-86.329469322997682</c:v>
                </c:pt>
                <c:pt idx="731">
                  <c:v>-86.580372808369674</c:v>
                </c:pt>
                <c:pt idx="732">
                  <c:v>-86.831276293741666</c:v>
                </c:pt>
                <c:pt idx="733">
                  <c:v>-87.082179779113659</c:v>
                </c:pt>
                <c:pt idx="734">
                  <c:v>-87.333083264485651</c:v>
                </c:pt>
                <c:pt idx="735">
                  <c:v>-87.583986749857644</c:v>
                </c:pt>
                <c:pt idx="736">
                  <c:v>-87.834890235229636</c:v>
                </c:pt>
                <c:pt idx="737">
                  <c:v>-88.085793720601629</c:v>
                </c:pt>
                <c:pt idx="738">
                  <c:v>-88.336697205973621</c:v>
                </c:pt>
                <c:pt idx="739">
                  <c:v>-88.587600691345614</c:v>
                </c:pt>
                <c:pt idx="740">
                  <c:v>-88.838504176717606</c:v>
                </c:pt>
                <c:pt idx="741">
                  <c:v>-89.089407662089599</c:v>
                </c:pt>
                <c:pt idx="742">
                  <c:v>-89.340311147461591</c:v>
                </c:pt>
                <c:pt idx="743">
                  <c:v>-89.591214632833584</c:v>
                </c:pt>
                <c:pt idx="744">
                  <c:v>-89.842118118205605</c:v>
                </c:pt>
                <c:pt idx="745">
                  <c:v>-90.093021603577597</c:v>
                </c:pt>
                <c:pt idx="746">
                  <c:v>-90.34392508894959</c:v>
                </c:pt>
                <c:pt idx="747">
                  <c:v>-90.594828574321582</c:v>
                </c:pt>
                <c:pt idx="748">
                  <c:v>-90.845732059693574</c:v>
                </c:pt>
                <c:pt idx="749">
                  <c:v>-91.096635545065567</c:v>
                </c:pt>
                <c:pt idx="750">
                  <c:v>-91.347539030437559</c:v>
                </c:pt>
                <c:pt idx="751">
                  <c:v>-91.598442515809552</c:v>
                </c:pt>
                <c:pt idx="752">
                  <c:v>-91.849346001181544</c:v>
                </c:pt>
                <c:pt idx="753">
                  <c:v>-92.100249486553537</c:v>
                </c:pt>
                <c:pt idx="754">
                  <c:v>-92.351152971925529</c:v>
                </c:pt>
                <c:pt idx="755">
                  <c:v>-92.602056457297522</c:v>
                </c:pt>
                <c:pt idx="756">
                  <c:v>-92.852959942669514</c:v>
                </c:pt>
                <c:pt idx="757">
                  <c:v>-93.103863428041507</c:v>
                </c:pt>
                <c:pt idx="758">
                  <c:v>-93.354766913413499</c:v>
                </c:pt>
                <c:pt idx="759">
                  <c:v>-93.605670398785492</c:v>
                </c:pt>
                <c:pt idx="760">
                  <c:v>-93.856573884157484</c:v>
                </c:pt>
                <c:pt idx="761">
                  <c:v>-94.107477369529477</c:v>
                </c:pt>
                <c:pt idx="762">
                  <c:v>-94.358380854901469</c:v>
                </c:pt>
                <c:pt idx="763">
                  <c:v>-94.609284340273462</c:v>
                </c:pt>
                <c:pt idx="764">
                  <c:v>-94.860187825645454</c:v>
                </c:pt>
                <c:pt idx="765">
                  <c:v>-95.111091311017447</c:v>
                </c:pt>
                <c:pt idx="766">
                  <c:v>-95.361994796389439</c:v>
                </c:pt>
                <c:pt idx="767">
                  <c:v>-95.612898281761431</c:v>
                </c:pt>
                <c:pt idx="768">
                  <c:v>-95.863801767133452</c:v>
                </c:pt>
                <c:pt idx="769">
                  <c:v>-96.114705252505445</c:v>
                </c:pt>
                <c:pt idx="770">
                  <c:v>-96.365608737877437</c:v>
                </c:pt>
                <c:pt idx="771">
                  <c:v>-96.61651222324943</c:v>
                </c:pt>
                <c:pt idx="772">
                  <c:v>-96.867415708621422</c:v>
                </c:pt>
                <c:pt idx="773">
                  <c:v>-97.118319193993415</c:v>
                </c:pt>
                <c:pt idx="774">
                  <c:v>-97.369222679365407</c:v>
                </c:pt>
                <c:pt idx="775">
                  <c:v>-97.6201261647374</c:v>
                </c:pt>
                <c:pt idx="776">
                  <c:v>-97.871029650109392</c:v>
                </c:pt>
                <c:pt idx="777">
                  <c:v>-98.121933135481385</c:v>
                </c:pt>
                <c:pt idx="778">
                  <c:v>-98.372836620853377</c:v>
                </c:pt>
                <c:pt idx="779">
                  <c:v>-98.62374010622537</c:v>
                </c:pt>
                <c:pt idx="780">
                  <c:v>-98.874643591597362</c:v>
                </c:pt>
                <c:pt idx="781">
                  <c:v>-99.125547076969355</c:v>
                </c:pt>
                <c:pt idx="782">
                  <c:v>-99.376450562341347</c:v>
                </c:pt>
                <c:pt idx="783">
                  <c:v>-99.627354047713339</c:v>
                </c:pt>
                <c:pt idx="784">
                  <c:v>-99.878257533085332</c:v>
                </c:pt>
                <c:pt idx="785">
                  <c:v>-100.12916101845732</c:v>
                </c:pt>
                <c:pt idx="786">
                  <c:v>-100.38006450382932</c:v>
                </c:pt>
                <c:pt idx="787">
                  <c:v>-100.63096798920131</c:v>
                </c:pt>
                <c:pt idx="788">
                  <c:v>-100.8818714745733</c:v>
                </c:pt>
                <c:pt idx="789">
                  <c:v>-101.13277495994529</c:v>
                </c:pt>
                <c:pt idx="790">
                  <c:v>-101.38367844531729</c:v>
                </c:pt>
                <c:pt idx="791">
                  <c:v>-101.63458193068928</c:v>
                </c:pt>
                <c:pt idx="792">
                  <c:v>-101.88548541606127</c:v>
                </c:pt>
                <c:pt idx="793">
                  <c:v>-102.13638890143329</c:v>
                </c:pt>
                <c:pt idx="794">
                  <c:v>-102.38729238680529</c:v>
                </c:pt>
                <c:pt idx="795">
                  <c:v>-102.63819587217728</c:v>
                </c:pt>
                <c:pt idx="796">
                  <c:v>-102.88909935754927</c:v>
                </c:pt>
                <c:pt idx="797">
                  <c:v>-103.14000284292126</c:v>
                </c:pt>
                <c:pt idx="798">
                  <c:v>-103.39090632829326</c:v>
                </c:pt>
                <c:pt idx="799">
                  <c:v>-103.64180981366525</c:v>
                </c:pt>
                <c:pt idx="800">
                  <c:v>-103.89271329903724</c:v>
                </c:pt>
                <c:pt idx="801">
                  <c:v>-104.14361678440923</c:v>
                </c:pt>
                <c:pt idx="802">
                  <c:v>-104.39452026978122</c:v>
                </c:pt>
                <c:pt idx="803">
                  <c:v>-104.64542375515322</c:v>
                </c:pt>
                <c:pt idx="804">
                  <c:v>-104.89632724052521</c:v>
                </c:pt>
                <c:pt idx="805">
                  <c:v>-105.1472307258972</c:v>
                </c:pt>
                <c:pt idx="806">
                  <c:v>-105.39813421126919</c:v>
                </c:pt>
                <c:pt idx="807">
                  <c:v>-105.64903769664119</c:v>
                </c:pt>
                <c:pt idx="808">
                  <c:v>-105.89994118201318</c:v>
                </c:pt>
                <c:pt idx="809">
                  <c:v>-106.15084466738517</c:v>
                </c:pt>
                <c:pt idx="810">
                  <c:v>-106.40174815275716</c:v>
                </c:pt>
                <c:pt idx="811">
                  <c:v>-106.65265163812916</c:v>
                </c:pt>
                <c:pt idx="812">
                  <c:v>-106.90355512350115</c:v>
                </c:pt>
                <c:pt idx="813">
                  <c:v>-107.15445860887314</c:v>
                </c:pt>
                <c:pt idx="814">
                  <c:v>-107.40536209424513</c:v>
                </c:pt>
                <c:pt idx="815">
                  <c:v>-107.65626557961713</c:v>
                </c:pt>
                <c:pt idx="816">
                  <c:v>-107.90716906498912</c:v>
                </c:pt>
                <c:pt idx="817">
                  <c:v>-108.15807255036114</c:v>
                </c:pt>
                <c:pt idx="818">
                  <c:v>-108.40897603573313</c:v>
                </c:pt>
                <c:pt idx="819">
                  <c:v>-108.65987952110513</c:v>
                </c:pt>
                <c:pt idx="820">
                  <c:v>-108.91078300647712</c:v>
                </c:pt>
                <c:pt idx="821">
                  <c:v>-109.16168649184911</c:v>
                </c:pt>
                <c:pt idx="822">
                  <c:v>-109.4125899772211</c:v>
                </c:pt>
                <c:pt idx="823">
                  <c:v>-109.6634934625931</c:v>
                </c:pt>
                <c:pt idx="824">
                  <c:v>-109.91439694796509</c:v>
                </c:pt>
                <c:pt idx="825">
                  <c:v>-110.16530043333708</c:v>
                </c:pt>
                <c:pt idx="826">
                  <c:v>-110.41620391870907</c:v>
                </c:pt>
                <c:pt idx="827">
                  <c:v>-110.66710740408107</c:v>
                </c:pt>
                <c:pt idx="828">
                  <c:v>-110.91801088945306</c:v>
                </c:pt>
                <c:pt idx="829">
                  <c:v>-111.16891437482505</c:v>
                </c:pt>
                <c:pt idx="830">
                  <c:v>-111.41981786019704</c:v>
                </c:pt>
                <c:pt idx="831">
                  <c:v>-111.67072134556904</c:v>
                </c:pt>
                <c:pt idx="832">
                  <c:v>-111.92162483094103</c:v>
                </c:pt>
                <c:pt idx="833">
                  <c:v>-112.17252831631302</c:v>
                </c:pt>
                <c:pt idx="834">
                  <c:v>-112.42343180168501</c:v>
                </c:pt>
                <c:pt idx="835">
                  <c:v>-112.674335287057</c:v>
                </c:pt>
                <c:pt idx="836">
                  <c:v>-112.925238772429</c:v>
                </c:pt>
                <c:pt idx="837">
                  <c:v>-113.17614225780099</c:v>
                </c:pt>
                <c:pt idx="838">
                  <c:v>-113.42704574317298</c:v>
                </c:pt>
                <c:pt idx="839">
                  <c:v>-113.67794922854497</c:v>
                </c:pt>
                <c:pt idx="840">
                  <c:v>-113.92885271391697</c:v>
                </c:pt>
                <c:pt idx="841">
                  <c:v>-114.17975619928896</c:v>
                </c:pt>
                <c:pt idx="842">
                  <c:v>-114.43065968466098</c:v>
                </c:pt>
                <c:pt idx="843">
                  <c:v>-114.68156317003297</c:v>
                </c:pt>
                <c:pt idx="844">
                  <c:v>-114.93246665540497</c:v>
                </c:pt>
                <c:pt idx="845">
                  <c:v>-115.18337014077696</c:v>
                </c:pt>
                <c:pt idx="846">
                  <c:v>-115.43427362614895</c:v>
                </c:pt>
                <c:pt idx="847">
                  <c:v>-115.68517711152094</c:v>
                </c:pt>
                <c:pt idx="848">
                  <c:v>-115.93608059689294</c:v>
                </c:pt>
                <c:pt idx="849">
                  <c:v>-116.18698408226493</c:v>
                </c:pt>
                <c:pt idx="850">
                  <c:v>-116.43788756763692</c:v>
                </c:pt>
                <c:pt idx="851">
                  <c:v>-116.68879105300891</c:v>
                </c:pt>
                <c:pt idx="852">
                  <c:v>-116.93969453838091</c:v>
                </c:pt>
                <c:pt idx="853">
                  <c:v>-117.1905980237529</c:v>
                </c:pt>
                <c:pt idx="854">
                  <c:v>-117.44150150912489</c:v>
                </c:pt>
                <c:pt idx="855">
                  <c:v>-117.69240499449688</c:v>
                </c:pt>
                <c:pt idx="856">
                  <c:v>-117.94330847986888</c:v>
                </c:pt>
                <c:pt idx="857">
                  <c:v>-118.19421196524087</c:v>
                </c:pt>
                <c:pt idx="858">
                  <c:v>-118.44511545061286</c:v>
                </c:pt>
                <c:pt idx="859">
                  <c:v>-118.69601893598485</c:v>
                </c:pt>
                <c:pt idx="860">
                  <c:v>-118.94692242135685</c:v>
                </c:pt>
                <c:pt idx="861">
                  <c:v>-119.19782590672884</c:v>
                </c:pt>
                <c:pt idx="862">
                  <c:v>-119.44872939210083</c:v>
                </c:pt>
                <c:pt idx="863">
                  <c:v>-119.69963287747282</c:v>
                </c:pt>
                <c:pt idx="864">
                  <c:v>-119.95053636284482</c:v>
                </c:pt>
                <c:pt idx="865">
                  <c:v>-120.20143984821681</c:v>
                </c:pt>
                <c:pt idx="866">
                  <c:v>-120.45234333358883</c:v>
                </c:pt>
                <c:pt idx="867">
                  <c:v>-120.70324681896082</c:v>
                </c:pt>
                <c:pt idx="868">
                  <c:v>-120.95415030433281</c:v>
                </c:pt>
                <c:pt idx="869">
                  <c:v>-121.20505378970481</c:v>
                </c:pt>
                <c:pt idx="870">
                  <c:v>-121.4559572750768</c:v>
                </c:pt>
                <c:pt idx="871">
                  <c:v>-121.70686076044879</c:v>
                </c:pt>
                <c:pt idx="872">
                  <c:v>-121.95776424582078</c:v>
                </c:pt>
                <c:pt idx="873">
                  <c:v>-122.20866773119278</c:v>
                </c:pt>
                <c:pt idx="874">
                  <c:v>-122.45957121656477</c:v>
                </c:pt>
                <c:pt idx="875">
                  <c:v>-122.71047470193676</c:v>
                </c:pt>
                <c:pt idx="876">
                  <c:v>-122.96137818730875</c:v>
                </c:pt>
                <c:pt idx="877">
                  <c:v>-123.21228167268075</c:v>
                </c:pt>
                <c:pt idx="878">
                  <c:v>-123.46318515805274</c:v>
                </c:pt>
                <c:pt idx="879">
                  <c:v>-123.71408864342473</c:v>
                </c:pt>
                <c:pt idx="880">
                  <c:v>-123.96499212879672</c:v>
                </c:pt>
                <c:pt idx="881">
                  <c:v>-124.21589561416872</c:v>
                </c:pt>
                <c:pt idx="882">
                  <c:v>-124.46679909954071</c:v>
                </c:pt>
                <c:pt idx="883">
                  <c:v>-124.7177025849127</c:v>
                </c:pt>
                <c:pt idx="884">
                  <c:v>-124.96860607028469</c:v>
                </c:pt>
                <c:pt idx="885">
                  <c:v>-125.21950955565669</c:v>
                </c:pt>
                <c:pt idx="886">
                  <c:v>-125.47041304102868</c:v>
                </c:pt>
                <c:pt idx="887">
                  <c:v>-125.72131652640067</c:v>
                </c:pt>
                <c:pt idx="888">
                  <c:v>-125.97222001177266</c:v>
                </c:pt>
                <c:pt idx="889">
                  <c:v>-126.22312349714466</c:v>
                </c:pt>
                <c:pt idx="890">
                  <c:v>-126.47402698251668</c:v>
                </c:pt>
                <c:pt idx="891">
                  <c:v>-126.72493046788867</c:v>
                </c:pt>
                <c:pt idx="892">
                  <c:v>-126.97583395326066</c:v>
                </c:pt>
                <c:pt idx="893">
                  <c:v>-127.22673743863265</c:v>
                </c:pt>
                <c:pt idx="894">
                  <c:v>-127.47764092400465</c:v>
                </c:pt>
                <c:pt idx="895">
                  <c:v>-127.72854440937664</c:v>
                </c:pt>
                <c:pt idx="896">
                  <c:v>-127.97944789474863</c:v>
                </c:pt>
                <c:pt idx="897">
                  <c:v>-128.23035138012062</c:v>
                </c:pt>
                <c:pt idx="898">
                  <c:v>-128.48125486549262</c:v>
                </c:pt>
                <c:pt idx="899">
                  <c:v>-128.73215835086461</c:v>
                </c:pt>
                <c:pt idx="900">
                  <c:v>-128.9830618362366</c:v>
                </c:pt>
                <c:pt idx="901">
                  <c:v>-129.23396532160859</c:v>
                </c:pt>
                <c:pt idx="902">
                  <c:v>-129.48486880698059</c:v>
                </c:pt>
                <c:pt idx="903">
                  <c:v>-129.73577229235258</c:v>
                </c:pt>
                <c:pt idx="904">
                  <c:v>-129.98667577772457</c:v>
                </c:pt>
                <c:pt idx="905">
                  <c:v>-130.23757926309656</c:v>
                </c:pt>
                <c:pt idx="906">
                  <c:v>-130.48848274846856</c:v>
                </c:pt>
                <c:pt idx="907">
                  <c:v>-130.73938623384055</c:v>
                </c:pt>
                <c:pt idx="908">
                  <c:v>-130.99028971921254</c:v>
                </c:pt>
                <c:pt idx="909">
                  <c:v>-131.24119320458453</c:v>
                </c:pt>
                <c:pt idx="910">
                  <c:v>-131.49209668995653</c:v>
                </c:pt>
                <c:pt idx="911">
                  <c:v>-131.74300017532852</c:v>
                </c:pt>
                <c:pt idx="912">
                  <c:v>-131.99390366070051</c:v>
                </c:pt>
                <c:pt idx="913">
                  <c:v>-132.2448071460725</c:v>
                </c:pt>
                <c:pt idx="914">
                  <c:v>-132.4957106314445</c:v>
                </c:pt>
                <c:pt idx="915">
                  <c:v>-132.74661411681652</c:v>
                </c:pt>
                <c:pt idx="916">
                  <c:v>-132.99751760218851</c:v>
                </c:pt>
                <c:pt idx="917">
                  <c:v>-133.2484210875605</c:v>
                </c:pt>
                <c:pt idx="918">
                  <c:v>-133.49932457293249</c:v>
                </c:pt>
                <c:pt idx="919">
                  <c:v>-133.75022805830449</c:v>
                </c:pt>
                <c:pt idx="920">
                  <c:v>-134.00113154367648</c:v>
                </c:pt>
                <c:pt idx="921">
                  <c:v>-134.25203502904847</c:v>
                </c:pt>
                <c:pt idx="922">
                  <c:v>-134.50293851442046</c:v>
                </c:pt>
                <c:pt idx="923">
                  <c:v>-134.75384199979246</c:v>
                </c:pt>
                <c:pt idx="924">
                  <c:v>-135.00474548516445</c:v>
                </c:pt>
                <c:pt idx="925">
                  <c:v>-135.25564897053644</c:v>
                </c:pt>
                <c:pt idx="926">
                  <c:v>-135.50655245590843</c:v>
                </c:pt>
                <c:pt idx="927">
                  <c:v>-135.75745594128043</c:v>
                </c:pt>
                <c:pt idx="928">
                  <c:v>-136.00835942665242</c:v>
                </c:pt>
                <c:pt idx="929">
                  <c:v>-136.25926291202441</c:v>
                </c:pt>
                <c:pt idx="930">
                  <c:v>-136.5101663973964</c:v>
                </c:pt>
                <c:pt idx="931">
                  <c:v>-136.7610698827684</c:v>
                </c:pt>
                <c:pt idx="932">
                  <c:v>-137.01197336814039</c:v>
                </c:pt>
                <c:pt idx="933">
                  <c:v>-137.26287685351238</c:v>
                </c:pt>
                <c:pt idx="934">
                  <c:v>-137.51378033888437</c:v>
                </c:pt>
                <c:pt idx="935">
                  <c:v>-137.76468382425637</c:v>
                </c:pt>
                <c:pt idx="936">
                  <c:v>-138.01558730962836</c:v>
                </c:pt>
                <c:pt idx="937">
                  <c:v>-138.26649079500035</c:v>
                </c:pt>
                <c:pt idx="938">
                  <c:v>-138.51739428037234</c:v>
                </c:pt>
                <c:pt idx="939">
                  <c:v>-138.76829776574436</c:v>
                </c:pt>
                <c:pt idx="940">
                  <c:v>-139.01920125111636</c:v>
                </c:pt>
                <c:pt idx="941">
                  <c:v>-139.27010473648835</c:v>
                </c:pt>
                <c:pt idx="942">
                  <c:v>-139.52100822186034</c:v>
                </c:pt>
                <c:pt idx="943">
                  <c:v>-139.77191170723233</c:v>
                </c:pt>
                <c:pt idx="944">
                  <c:v>-140.02281519260433</c:v>
                </c:pt>
                <c:pt idx="945">
                  <c:v>-140.27371867797632</c:v>
                </c:pt>
                <c:pt idx="946">
                  <c:v>-140.52462216334831</c:v>
                </c:pt>
                <c:pt idx="947">
                  <c:v>-140.7755256487203</c:v>
                </c:pt>
                <c:pt idx="948">
                  <c:v>-141.0264291340923</c:v>
                </c:pt>
                <c:pt idx="949">
                  <c:v>-141.27733261946429</c:v>
                </c:pt>
                <c:pt idx="950">
                  <c:v>-141.52823610483628</c:v>
                </c:pt>
                <c:pt idx="951">
                  <c:v>-141.77913959020827</c:v>
                </c:pt>
                <c:pt idx="952">
                  <c:v>-142.03004307558027</c:v>
                </c:pt>
                <c:pt idx="953">
                  <c:v>-142.28094656095226</c:v>
                </c:pt>
                <c:pt idx="954">
                  <c:v>-142.53185004632425</c:v>
                </c:pt>
                <c:pt idx="955">
                  <c:v>-142.78275353169624</c:v>
                </c:pt>
                <c:pt idx="956">
                  <c:v>-143.03365701706824</c:v>
                </c:pt>
                <c:pt idx="957">
                  <c:v>-143.28456050244023</c:v>
                </c:pt>
                <c:pt idx="958">
                  <c:v>-143.53546398781222</c:v>
                </c:pt>
                <c:pt idx="959">
                  <c:v>-143.78636747318421</c:v>
                </c:pt>
                <c:pt idx="960">
                  <c:v>-144.03727095855621</c:v>
                </c:pt>
                <c:pt idx="961">
                  <c:v>-144.2881744439282</c:v>
                </c:pt>
                <c:pt idx="962">
                  <c:v>-144.53907792930019</c:v>
                </c:pt>
                <c:pt idx="963">
                  <c:v>-144.78998141467218</c:v>
                </c:pt>
                <c:pt idx="964">
                  <c:v>-145.0408849000442</c:v>
                </c:pt>
                <c:pt idx="965">
                  <c:v>-145.2917883854162</c:v>
                </c:pt>
                <c:pt idx="966">
                  <c:v>-145.54269187078819</c:v>
                </c:pt>
                <c:pt idx="967">
                  <c:v>-145.79359535616018</c:v>
                </c:pt>
                <c:pt idx="968">
                  <c:v>-146.04449884153217</c:v>
                </c:pt>
                <c:pt idx="969">
                  <c:v>-146.29540232690417</c:v>
                </c:pt>
                <c:pt idx="970">
                  <c:v>-146.54630581227616</c:v>
                </c:pt>
                <c:pt idx="971">
                  <c:v>-146.79720929764815</c:v>
                </c:pt>
                <c:pt idx="972">
                  <c:v>-147.04811278302014</c:v>
                </c:pt>
                <c:pt idx="973">
                  <c:v>-147.29901626839214</c:v>
                </c:pt>
                <c:pt idx="974">
                  <c:v>-147.54991975376413</c:v>
                </c:pt>
                <c:pt idx="975">
                  <c:v>-147.80082323913612</c:v>
                </c:pt>
                <c:pt idx="976">
                  <c:v>-148.05172672450811</c:v>
                </c:pt>
                <c:pt idx="977">
                  <c:v>-148.30263020988011</c:v>
                </c:pt>
                <c:pt idx="978">
                  <c:v>-148.5535336952521</c:v>
                </c:pt>
                <c:pt idx="979">
                  <c:v>-148.80443718062409</c:v>
                </c:pt>
                <c:pt idx="980">
                  <c:v>-149.05534066599608</c:v>
                </c:pt>
                <c:pt idx="981">
                  <c:v>-149.30624415136808</c:v>
                </c:pt>
                <c:pt idx="982">
                  <c:v>-149.55714763674007</c:v>
                </c:pt>
                <c:pt idx="983">
                  <c:v>-149.80805112211206</c:v>
                </c:pt>
                <c:pt idx="984">
                  <c:v>-150.05895460748405</c:v>
                </c:pt>
                <c:pt idx="985">
                  <c:v>-150.30985809285605</c:v>
                </c:pt>
                <c:pt idx="986">
                  <c:v>-150.56076157822804</c:v>
                </c:pt>
                <c:pt idx="987">
                  <c:v>-150.81166506360003</c:v>
                </c:pt>
                <c:pt idx="988">
                  <c:v>-151.06256854897205</c:v>
                </c:pt>
                <c:pt idx="989">
                  <c:v>-151.31347203434404</c:v>
                </c:pt>
                <c:pt idx="990">
                  <c:v>-151.56437551971604</c:v>
                </c:pt>
                <c:pt idx="991">
                  <c:v>-151.81527900508803</c:v>
                </c:pt>
                <c:pt idx="992">
                  <c:v>-152.06618249046002</c:v>
                </c:pt>
                <c:pt idx="993">
                  <c:v>-152.31708597583201</c:v>
                </c:pt>
                <c:pt idx="994">
                  <c:v>-152.56798946120401</c:v>
                </c:pt>
                <c:pt idx="995">
                  <c:v>-152.818892946576</c:v>
                </c:pt>
                <c:pt idx="996">
                  <c:v>-153.06979643194799</c:v>
                </c:pt>
                <c:pt idx="997">
                  <c:v>-153.32069991731998</c:v>
                </c:pt>
                <c:pt idx="998">
                  <c:v>-153.57160340269198</c:v>
                </c:pt>
                <c:pt idx="999">
                  <c:v>-153.82250688806397</c:v>
                </c:pt>
                <c:pt idx="1000">
                  <c:v>-154.07341037343596</c:v>
                </c:pt>
                <c:pt idx="1001">
                  <c:v>-154.32431385880795</c:v>
                </c:pt>
                <c:pt idx="1002">
                  <c:v>-154.57521734417995</c:v>
                </c:pt>
                <c:pt idx="1003">
                  <c:v>-154.82612082955194</c:v>
                </c:pt>
                <c:pt idx="1004">
                  <c:v>-155.07702431492393</c:v>
                </c:pt>
                <c:pt idx="1005">
                  <c:v>-155.32792780029592</c:v>
                </c:pt>
                <c:pt idx="1006">
                  <c:v>-155.57883128566792</c:v>
                </c:pt>
                <c:pt idx="1007">
                  <c:v>-155.82973477103991</c:v>
                </c:pt>
                <c:pt idx="1008">
                  <c:v>-156.08063825641187</c:v>
                </c:pt>
                <c:pt idx="1009">
                  <c:v>-156.33154174178389</c:v>
                </c:pt>
                <c:pt idx="1010">
                  <c:v>-156.58244522715586</c:v>
                </c:pt>
                <c:pt idx="1011">
                  <c:v>-156.83334871252788</c:v>
                </c:pt>
                <c:pt idx="1012">
                  <c:v>-157.0842521978999</c:v>
                </c:pt>
                <c:pt idx="1013">
                  <c:v>-157.33515568327186</c:v>
                </c:pt>
                <c:pt idx="1014">
                  <c:v>-157.58605916864389</c:v>
                </c:pt>
                <c:pt idx="1015">
                  <c:v>-157.83696265401585</c:v>
                </c:pt>
                <c:pt idx="1016">
                  <c:v>-158.08786613938787</c:v>
                </c:pt>
                <c:pt idx="1017">
                  <c:v>-158.33876962475983</c:v>
                </c:pt>
                <c:pt idx="1018">
                  <c:v>-158.58967311013186</c:v>
                </c:pt>
                <c:pt idx="1019">
                  <c:v>-158.84057659550382</c:v>
                </c:pt>
                <c:pt idx="1020">
                  <c:v>-159.09148008087584</c:v>
                </c:pt>
                <c:pt idx="1021">
                  <c:v>-159.3423835662478</c:v>
                </c:pt>
                <c:pt idx="1022">
                  <c:v>-159.59328705161982</c:v>
                </c:pt>
                <c:pt idx="1023">
                  <c:v>-159.84419053699179</c:v>
                </c:pt>
                <c:pt idx="1024">
                  <c:v>-160.09509402236381</c:v>
                </c:pt>
                <c:pt idx="1025">
                  <c:v>-160.34599750773583</c:v>
                </c:pt>
                <c:pt idx="1026">
                  <c:v>-160.59690099310779</c:v>
                </c:pt>
                <c:pt idx="1027">
                  <c:v>-160.84780447847982</c:v>
                </c:pt>
                <c:pt idx="1028">
                  <c:v>-161.09870796385178</c:v>
                </c:pt>
                <c:pt idx="1029">
                  <c:v>-161.3496114492238</c:v>
                </c:pt>
                <c:pt idx="1030">
                  <c:v>-161.60051493459576</c:v>
                </c:pt>
                <c:pt idx="1031">
                  <c:v>-161.85141841996779</c:v>
                </c:pt>
                <c:pt idx="1032">
                  <c:v>-162.10232190533975</c:v>
                </c:pt>
                <c:pt idx="1033">
                  <c:v>-162.35322539071177</c:v>
                </c:pt>
                <c:pt idx="1034">
                  <c:v>-162.60412887608373</c:v>
                </c:pt>
                <c:pt idx="1035">
                  <c:v>-162.85503236145576</c:v>
                </c:pt>
                <c:pt idx="1036">
                  <c:v>-163.10593584682772</c:v>
                </c:pt>
                <c:pt idx="1037">
                  <c:v>-163.35683933219974</c:v>
                </c:pt>
                <c:pt idx="1038">
                  <c:v>-163.6077428175717</c:v>
                </c:pt>
                <c:pt idx="1039">
                  <c:v>-163.85864630294373</c:v>
                </c:pt>
                <c:pt idx="1040">
                  <c:v>-164.10954978831569</c:v>
                </c:pt>
                <c:pt idx="1041">
                  <c:v>-164.36045327368771</c:v>
                </c:pt>
                <c:pt idx="1042">
                  <c:v>-164.61135675905967</c:v>
                </c:pt>
                <c:pt idx="1043">
                  <c:v>-164.8622602444317</c:v>
                </c:pt>
                <c:pt idx="1044">
                  <c:v>-165.11316372980366</c:v>
                </c:pt>
                <c:pt idx="1045">
                  <c:v>-165.36406721517568</c:v>
                </c:pt>
                <c:pt idx="1046">
                  <c:v>-165.61497070054764</c:v>
                </c:pt>
                <c:pt idx="1047">
                  <c:v>-165.86587418591967</c:v>
                </c:pt>
                <c:pt idx="1048">
                  <c:v>-166.11677767129163</c:v>
                </c:pt>
                <c:pt idx="1049">
                  <c:v>-166.36768115666365</c:v>
                </c:pt>
                <c:pt idx="1050">
                  <c:v>-166.61858464203567</c:v>
                </c:pt>
                <c:pt idx="1051">
                  <c:v>-166.86948812740764</c:v>
                </c:pt>
                <c:pt idx="1052">
                  <c:v>-167.12039161277966</c:v>
                </c:pt>
                <c:pt idx="1053">
                  <c:v>-167.37129509815162</c:v>
                </c:pt>
                <c:pt idx="1054">
                  <c:v>-167.62219858352364</c:v>
                </c:pt>
                <c:pt idx="1055">
                  <c:v>-167.87310206889561</c:v>
                </c:pt>
                <c:pt idx="1056">
                  <c:v>-168.12400555426763</c:v>
                </c:pt>
                <c:pt idx="1057">
                  <c:v>-168.37490903963959</c:v>
                </c:pt>
                <c:pt idx="1058">
                  <c:v>-168.62581252501161</c:v>
                </c:pt>
                <c:pt idx="1059">
                  <c:v>-168.87671601038357</c:v>
                </c:pt>
                <c:pt idx="1060">
                  <c:v>-169.1276194957556</c:v>
                </c:pt>
                <c:pt idx="1061">
                  <c:v>-169.37852298112756</c:v>
                </c:pt>
                <c:pt idx="1062">
                  <c:v>-169.62942646649958</c:v>
                </c:pt>
                <c:pt idx="1063">
                  <c:v>-169.88032995187154</c:v>
                </c:pt>
                <c:pt idx="1064">
                  <c:v>-170.13123343724357</c:v>
                </c:pt>
                <c:pt idx="1065">
                  <c:v>-170.38213692261553</c:v>
                </c:pt>
                <c:pt idx="1066">
                  <c:v>-170.63304040798755</c:v>
                </c:pt>
                <c:pt idx="1067">
                  <c:v>-170.88394389335951</c:v>
                </c:pt>
                <c:pt idx="1068">
                  <c:v>-171.13484737873154</c:v>
                </c:pt>
                <c:pt idx="1069">
                  <c:v>-171.3857508641035</c:v>
                </c:pt>
                <c:pt idx="1070">
                  <c:v>-171.63665434947552</c:v>
                </c:pt>
                <c:pt idx="1071">
                  <c:v>-171.88755783484748</c:v>
                </c:pt>
                <c:pt idx="1072">
                  <c:v>-172.13846132021951</c:v>
                </c:pt>
                <c:pt idx="1073">
                  <c:v>-172.38936480559153</c:v>
                </c:pt>
                <c:pt idx="1074">
                  <c:v>-172.64026829096349</c:v>
                </c:pt>
                <c:pt idx="1075">
                  <c:v>-172.89117177633551</c:v>
                </c:pt>
                <c:pt idx="1076">
                  <c:v>-173.14207526170748</c:v>
                </c:pt>
                <c:pt idx="1077">
                  <c:v>-173.3929787470795</c:v>
                </c:pt>
                <c:pt idx="1078">
                  <c:v>-173.64388223245146</c:v>
                </c:pt>
                <c:pt idx="1079">
                  <c:v>-173.89478571782348</c:v>
                </c:pt>
                <c:pt idx="1080">
                  <c:v>-174.14568920319545</c:v>
                </c:pt>
                <c:pt idx="1081">
                  <c:v>-174.39659268856747</c:v>
                </c:pt>
                <c:pt idx="1082">
                  <c:v>-174.64749617393943</c:v>
                </c:pt>
                <c:pt idx="1083">
                  <c:v>-174.89839965931145</c:v>
                </c:pt>
                <c:pt idx="1084">
                  <c:v>-175.14930314468342</c:v>
                </c:pt>
                <c:pt idx="1085">
                  <c:v>-175.40020663005544</c:v>
                </c:pt>
                <c:pt idx="1086">
                  <c:v>-175.6511101154274</c:v>
                </c:pt>
                <c:pt idx="1087">
                  <c:v>-175.90201360079942</c:v>
                </c:pt>
                <c:pt idx="1088">
                  <c:v>-176.15291708617139</c:v>
                </c:pt>
                <c:pt idx="1089">
                  <c:v>-176.40382057154341</c:v>
                </c:pt>
                <c:pt idx="1090">
                  <c:v>-176.65472405691537</c:v>
                </c:pt>
                <c:pt idx="1091">
                  <c:v>-176.90562754228739</c:v>
                </c:pt>
                <c:pt idx="1092">
                  <c:v>-177.15653102765936</c:v>
                </c:pt>
                <c:pt idx="1093">
                  <c:v>-177.40743451303138</c:v>
                </c:pt>
                <c:pt idx="1094">
                  <c:v>-177.65833799840334</c:v>
                </c:pt>
                <c:pt idx="1095">
                  <c:v>-177.90924148377536</c:v>
                </c:pt>
                <c:pt idx="1096">
                  <c:v>-178.16014496914732</c:v>
                </c:pt>
                <c:pt idx="1097">
                  <c:v>-178.41104845451935</c:v>
                </c:pt>
                <c:pt idx="1098">
                  <c:v>-178.66195193989137</c:v>
                </c:pt>
                <c:pt idx="1099">
                  <c:v>-178.91285542526333</c:v>
                </c:pt>
                <c:pt idx="1100">
                  <c:v>-179.16375891063535</c:v>
                </c:pt>
                <c:pt idx="1101">
                  <c:v>-179.41466239600732</c:v>
                </c:pt>
                <c:pt idx="1102">
                  <c:v>-179.66556588137934</c:v>
                </c:pt>
                <c:pt idx="1103">
                  <c:v>-179.9164693667513</c:v>
                </c:pt>
                <c:pt idx="1104">
                  <c:v>-180.16737285212332</c:v>
                </c:pt>
                <c:pt idx="1105">
                  <c:v>-180.41827633749529</c:v>
                </c:pt>
                <c:pt idx="1106">
                  <c:v>-180.66917982286731</c:v>
                </c:pt>
                <c:pt idx="1107">
                  <c:v>-180.92008330823927</c:v>
                </c:pt>
                <c:pt idx="1108">
                  <c:v>-181.17098679361129</c:v>
                </c:pt>
                <c:pt idx="1109">
                  <c:v>-181.42189027898326</c:v>
                </c:pt>
                <c:pt idx="1110">
                  <c:v>-181.67279376435528</c:v>
                </c:pt>
                <c:pt idx="1111">
                  <c:v>-181.92369724972724</c:v>
                </c:pt>
                <c:pt idx="1112">
                  <c:v>-182.17460073509926</c:v>
                </c:pt>
                <c:pt idx="1113">
                  <c:v>-182.42550422047123</c:v>
                </c:pt>
                <c:pt idx="1114">
                  <c:v>-182.67640770584325</c:v>
                </c:pt>
                <c:pt idx="1115">
                  <c:v>-182.92731119121521</c:v>
                </c:pt>
                <c:pt idx="1116">
                  <c:v>-183.17821467658723</c:v>
                </c:pt>
                <c:pt idx="1117">
                  <c:v>-183.4291181619592</c:v>
                </c:pt>
                <c:pt idx="1118">
                  <c:v>-183.68002164733122</c:v>
                </c:pt>
                <c:pt idx="1119">
                  <c:v>-183.93092513270318</c:v>
                </c:pt>
                <c:pt idx="1120">
                  <c:v>-184.1818286180752</c:v>
                </c:pt>
                <c:pt idx="1121">
                  <c:v>-184.43273210344717</c:v>
                </c:pt>
                <c:pt idx="1122">
                  <c:v>-184.68363558881919</c:v>
                </c:pt>
                <c:pt idx="1123">
                  <c:v>-184.93453907419121</c:v>
                </c:pt>
                <c:pt idx="1124">
                  <c:v>-185.18544255956317</c:v>
                </c:pt>
                <c:pt idx="1125">
                  <c:v>-185.43634604493519</c:v>
                </c:pt>
                <c:pt idx="1126">
                  <c:v>-185.68724953030716</c:v>
                </c:pt>
                <c:pt idx="1127">
                  <c:v>-185.93815301567918</c:v>
                </c:pt>
                <c:pt idx="1128">
                  <c:v>-186.18905650105114</c:v>
                </c:pt>
                <c:pt idx="1129">
                  <c:v>-186.43995998642316</c:v>
                </c:pt>
                <c:pt idx="1130">
                  <c:v>-186.69086347179513</c:v>
                </c:pt>
                <c:pt idx="1131">
                  <c:v>-186.94176695716715</c:v>
                </c:pt>
                <c:pt idx="1132">
                  <c:v>-187.19267044253911</c:v>
                </c:pt>
                <c:pt idx="1133">
                  <c:v>-187.44357392791113</c:v>
                </c:pt>
                <c:pt idx="1134">
                  <c:v>-187.6944774132831</c:v>
                </c:pt>
                <c:pt idx="1135">
                  <c:v>-187.94538089865512</c:v>
                </c:pt>
                <c:pt idx="1136">
                  <c:v>-188.19628438402708</c:v>
                </c:pt>
                <c:pt idx="1137">
                  <c:v>-188.4471878693991</c:v>
                </c:pt>
                <c:pt idx="1138">
                  <c:v>-188.69809135477107</c:v>
                </c:pt>
                <c:pt idx="1139">
                  <c:v>-188.94899484014309</c:v>
                </c:pt>
                <c:pt idx="1140">
                  <c:v>-189.19989832551505</c:v>
                </c:pt>
                <c:pt idx="1141">
                  <c:v>-189.45080181088707</c:v>
                </c:pt>
                <c:pt idx="1142">
                  <c:v>-189.70170529625904</c:v>
                </c:pt>
                <c:pt idx="1143">
                  <c:v>-189.95260878163106</c:v>
                </c:pt>
                <c:pt idx="1144">
                  <c:v>-190.20351226700302</c:v>
                </c:pt>
                <c:pt idx="1145">
                  <c:v>-190.45441575237504</c:v>
                </c:pt>
                <c:pt idx="1146">
                  <c:v>-190.70531923774706</c:v>
                </c:pt>
                <c:pt idx="1147">
                  <c:v>-190.95622272311903</c:v>
                </c:pt>
                <c:pt idx="1148">
                  <c:v>-191.20712620849105</c:v>
                </c:pt>
                <c:pt idx="1149">
                  <c:v>-191.45802969386301</c:v>
                </c:pt>
                <c:pt idx="1150">
                  <c:v>-191.70893317923503</c:v>
                </c:pt>
                <c:pt idx="1151">
                  <c:v>-191.959836664607</c:v>
                </c:pt>
                <c:pt idx="1152">
                  <c:v>-192.21074014997902</c:v>
                </c:pt>
                <c:pt idx="1153">
                  <c:v>-192.46164363535098</c:v>
                </c:pt>
                <c:pt idx="1154">
                  <c:v>-192.712547120723</c:v>
                </c:pt>
                <c:pt idx="1155">
                  <c:v>-192.96345060609497</c:v>
                </c:pt>
                <c:pt idx="1156">
                  <c:v>-193.21435409146699</c:v>
                </c:pt>
                <c:pt idx="1157">
                  <c:v>-193.46525757683895</c:v>
                </c:pt>
                <c:pt idx="1158">
                  <c:v>-193.71616106221097</c:v>
                </c:pt>
                <c:pt idx="1159">
                  <c:v>-193.96706454758294</c:v>
                </c:pt>
                <c:pt idx="1160">
                  <c:v>-194.21796803295496</c:v>
                </c:pt>
                <c:pt idx="1161">
                  <c:v>-194.46887151832692</c:v>
                </c:pt>
                <c:pt idx="1162">
                  <c:v>-194.71977500369894</c:v>
                </c:pt>
                <c:pt idx="1163">
                  <c:v>-194.97067848907091</c:v>
                </c:pt>
                <c:pt idx="1164">
                  <c:v>-195.22158197444293</c:v>
                </c:pt>
                <c:pt idx="1165">
                  <c:v>-195.47248545981489</c:v>
                </c:pt>
                <c:pt idx="1166">
                  <c:v>-195.72338894518691</c:v>
                </c:pt>
                <c:pt idx="1167">
                  <c:v>-195.97429243055888</c:v>
                </c:pt>
                <c:pt idx="1168">
                  <c:v>-196.2251959159309</c:v>
                </c:pt>
                <c:pt idx="1169">
                  <c:v>-196.47609940130286</c:v>
                </c:pt>
                <c:pt idx="1170">
                  <c:v>-196.72700288667488</c:v>
                </c:pt>
                <c:pt idx="1171">
                  <c:v>-196.9779063720469</c:v>
                </c:pt>
                <c:pt idx="1172">
                  <c:v>-197.22880985741887</c:v>
                </c:pt>
                <c:pt idx="1173">
                  <c:v>-197.47971334279089</c:v>
                </c:pt>
                <c:pt idx="1174">
                  <c:v>-197.73061682816285</c:v>
                </c:pt>
                <c:pt idx="1175">
                  <c:v>-197.98152031353487</c:v>
                </c:pt>
                <c:pt idx="1176">
                  <c:v>-198.23242379890684</c:v>
                </c:pt>
                <c:pt idx="1177">
                  <c:v>-198.48332728427886</c:v>
                </c:pt>
                <c:pt idx="1178">
                  <c:v>-198.73423076965082</c:v>
                </c:pt>
                <c:pt idx="1179">
                  <c:v>-198.98513425502284</c:v>
                </c:pt>
                <c:pt idx="1180">
                  <c:v>-199.23603774039481</c:v>
                </c:pt>
                <c:pt idx="1181">
                  <c:v>-199.48694122576683</c:v>
                </c:pt>
                <c:pt idx="1182">
                  <c:v>-199.73784471113879</c:v>
                </c:pt>
                <c:pt idx="1183">
                  <c:v>-199.98874819651081</c:v>
                </c:pt>
                <c:pt idx="1184">
                  <c:v>-200.23965168188278</c:v>
                </c:pt>
                <c:pt idx="1185">
                  <c:v>-200.4905551672548</c:v>
                </c:pt>
                <c:pt idx="1186">
                  <c:v>-200.74145865262676</c:v>
                </c:pt>
                <c:pt idx="1187">
                  <c:v>-200.99236213799878</c:v>
                </c:pt>
                <c:pt idx="1188">
                  <c:v>-201.24326562337075</c:v>
                </c:pt>
                <c:pt idx="1189">
                  <c:v>-201.49416910874277</c:v>
                </c:pt>
                <c:pt idx="1190">
                  <c:v>-201.74507259411473</c:v>
                </c:pt>
                <c:pt idx="1191">
                  <c:v>-201.99597607948675</c:v>
                </c:pt>
                <c:pt idx="1192">
                  <c:v>-202.24687956485872</c:v>
                </c:pt>
                <c:pt idx="1193">
                  <c:v>-202.49778305023074</c:v>
                </c:pt>
                <c:pt idx="1194">
                  <c:v>-202.7486865356027</c:v>
                </c:pt>
                <c:pt idx="1195">
                  <c:v>-202.99959002097472</c:v>
                </c:pt>
                <c:pt idx="1196">
                  <c:v>-203.25049350634674</c:v>
                </c:pt>
                <c:pt idx="1197">
                  <c:v>-203.50139699171871</c:v>
                </c:pt>
                <c:pt idx="1198">
                  <c:v>-203.75230047709073</c:v>
                </c:pt>
                <c:pt idx="1199">
                  <c:v>-204.00320396246269</c:v>
                </c:pt>
                <c:pt idx="1200">
                  <c:v>-204.25410744783471</c:v>
                </c:pt>
                <c:pt idx="1201">
                  <c:v>-204.50501093320668</c:v>
                </c:pt>
                <c:pt idx="1202">
                  <c:v>-204.7559144185787</c:v>
                </c:pt>
                <c:pt idx="1203">
                  <c:v>-205.00681790395066</c:v>
                </c:pt>
                <c:pt idx="1204">
                  <c:v>-205.25772138932268</c:v>
                </c:pt>
                <c:pt idx="1205">
                  <c:v>-205.50862487469465</c:v>
                </c:pt>
                <c:pt idx="1206">
                  <c:v>-205.75952836006667</c:v>
                </c:pt>
                <c:pt idx="1207">
                  <c:v>-206.01043184543863</c:v>
                </c:pt>
                <c:pt idx="1208">
                  <c:v>-206.26133533081065</c:v>
                </c:pt>
                <c:pt idx="1209">
                  <c:v>-206.51223881618262</c:v>
                </c:pt>
                <c:pt idx="1210">
                  <c:v>-206.76314230155464</c:v>
                </c:pt>
                <c:pt idx="1211">
                  <c:v>-207.0140457869266</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19.35483870967742</c:v>
                </c:pt>
                <c:pt idx="2">
                  <c:v>38.70967741935484</c:v>
                </c:pt>
                <c:pt idx="3">
                  <c:v>42.228739002932549</c:v>
                </c:pt>
                <c:pt idx="4">
                  <c:v>45.747800586510266</c:v>
                </c:pt>
                <c:pt idx="5">
                  <c:v>49.266862170087975</c:v>
                </c:pt>
                <c:pt idx="6">
                  <c:v>52.785923753665692</c:v>
                </c:pt>
                <c:pt idx="7">
                  <c:v>56.304985337243401</c:v>
                </c:pt>
                <c:pt idx="8">
                  <c:v>59.824046920821111</c:v>
                </c:pt>
                <c:pt idx="9">
                  <c:v>63.34310850439882</c:v>
                </c:pt>
                <c:pt idx="10">
                  <c:v>66.862170087976537</c:v>
                </c:pt>
                <c:pt idx="11">
                  <c:v>70.381231671554261</c:v>
                </c:pt>
                <c:pt idx="12">
                  <c:v>73.90029325513197</c:v>
                </c:pt>
                <c:pt idx="13">
                  <c:v>77.41935483870968</c:v>
                </c:pt>
                <c:pt idx="14">
                  <c:v>96.774193548387103</c:v>
                </c:pt>
                <c:pt idx="15">
                  <c:v>116.12903225806451</c:v>
                </c:pt>
                <c:pt idx="16">
                  <c:v>125.80645161290323</c:v>
                </c:pt>
                <c:pt idx="17">
                  <c:v>135.48387096774195</c:v>
                </c:pt>
                <c:pt idx="18">
                  <c:v>145.16129032258064</c:v>
                </c:pt>
                <c:pt idx="19">
                  <c:v>154.83870967741936</c:v>
                </c:pt>
                <c:pt idx="20">
                  <c:v>167.74193548387095</c:v>
                </c:pt>
                <c:pt idx="21">
                  <c:v>180.64516129032259</c:v>
                </c:pt>
                <c:pt idx="22">
                  <c:v>193.54838709677421</c:v>
                </c:pt>
                <c:pt idx="23">
                  <c:v>232.25806451612902</c:v>
                </c:pt>
                <c:pt idx="24">
                  <c:v>270.9677419354839</c:v>
                </c:pt>
                <c:pt idx="25">
                  <c:v>290.32258064516128</c:v>
                </c:pt>
                <c:pt idx="26">
                  <c:v>309.67741935483872</c:v>
                </c:pt>
                <c:pt idx="27">
                  <c:v>319.35483870967744</c:v>
                </c:pt>
                <c:pt idx="28">
                  <c:v>329.03225806451616</c:v>
                </c:pt>
                <c:pt idx="29">
                  <c:v>338.70967741935482</c:v>
                </c:pt>
                <c:pt idx="30">
                  <c:v>348.38709677419354</c:v>
                </c:pt>
                <c:pt idx="31">
                  <c:v>396.77419354838707</c:v>
                </c:pt>
                <c:pt idx="32">
                  <c:v>406.45161290322579</c:v>
                </c:pt>
                <c:pt idx="33">
                  <c:v>416.12903225806451</c:v>
                </c:pt>
                <c:pt idx="34">
                  <c:v>425.80645161290323</c:v>
                </c:pt>
                <c:pt idx="35">
                  <c:v>464.51612903225805</c:v>
                </c:pt>
                <c:pt idx="36">
                  <c:v>477.41935483870969</c:v>
                </c:pt>
                <c:pt idx="37">
                  <c:v>490.32258064516128</c:v>
                </c:pt>
                <c:pt idx="38">
                  <c:v>503.22580645161293</c:v>
                </c:pt>
                <c:pt idx="39">
                  <c:v>580.64516129032256</c:v>
                </c:pt>
                <c:pt idx="40">
                  <c:v>619.35483870967744</c:v>
                </c:pt>
                <c:pt idx="41">
                  <c:v>638.70967741935488</c:v>
                </c:pt>
                <c:pt idx="42">
                  <c:v>658.06451612903231</c:v>
                </c:pt>
                <c:pt idx="43">
                  <c:v>696.77419354838707</c:v>
                </c:pt>
                <c:pt idx="44">
                  <c:v>701.61290322580646</c:v>
                </c:pt>
                <c:pt idx="45">
                  <c:v>706.45161290322585</c:v>
                </c:pt>
                <c:pt idx="46">
                  <c:v>711.29032258064512</c:v>
                </c:pt>
                <c:pt idx="47">
                  <c:v>716.12903225806451</c:v>
                </c:pt>
                <c:pt idx="48">
                  <c:v>720.9677419354839</c:v>
                </c:pt>
                <c:pt idx="49">
                  <c:v>725.80645161290317</c:v>
                </c:pt>
                <c:pt idx="50">
                  <c:v>730.64516129032256</c:v>
                </c:pt>
                <c:pt idx="51">
                  <c:v>735.48387096774195</c:v>
                </c:pt>
                <c:pt idx="52">
                  <c:v>739.78494623655911</c:v>
                </c:pt>
                <c:pt idx="53">
                  <c:v>744.08602150537627</c:v>
                </c:pt>
                <c:pt idx="54">
                  <c:v>748.38709677419354</c:v>
                </c:pt>
                <c:pt idx="55">
                  <c:v>752.6881720430107</c:v>
                </c:pt>
                <c:pt idx="56">
                  <c:v>756.98924731182797</c:v>
                </c:pt>
                <c:pt idx="57">
                  <c:v>761.29032258064524</c:v>
                </c:pt>
                <c:pt idx="58">
                  <c:v>765.5913978494624</c:v>
                </c:pt>
                <c:pt idx="59">
                  <c:v>769.89247311827955</c:v>
                </c:pt>
                <c:pt idx="60">
                  <c:v>774.19354838709683</c:v>
                </c:pt>
                <c:pt idx="61">
                  <c:v>780.64516129032268</c:v>
                </c:pt>
                <c:pt idx="62">
                  <c:v>787.0967741935483</c:v>
                </c:pt>
                <c:pt idx="63">
                  <c:v>793.54838709677415</c:v>
                </c:pt>
                <c:pt idx="64">
                  <c:v>800</c:v>
                </c:pt>
                <c:pt idx="65">
                  <c:v>806.45161290322574</c:v>
                </c:pt>
                <c:pt idx="66">
                  <c:v>812.90322580645159</c:v>
                </c:pt>
                <c:pt idx="67">
                  <c:v>818.43317972350223</c:v>
                </c:pt>
                <c:pt idx="68">
                  <c:v>823.963133640553</c:v>
                </c:pt>
                <c:pt idx="69">
                  <c:v>829.49308755760364</c:v>
                </c:pt>
                <c:pt idx="70">
                  <c:v>835.02304147465441</c:v>
                </c:pt>
                <c:pt idx="71">
                  <c:v>840.55299539170517</c:v>
                </c:pt>
                <c:pt idx="72">
                  <c:v>846.08294930875581</c:v>
                </c:pt>
                <c:pt idx="73">
                  <c:v>851.61290322580646</c:v>
                </c:pt>
                <c:pt idx="74">
                  <c:v>861.29032258064512</c:v>
                </c:pt>
                <c:pt idx="75">
                  <c:v>870.9677419354839</c:v>
                </c:pt>
                <c:pt idx="76">
                  <c:v>880.64516129032256</c:v>
                </c:pt>
                <c:pt idx="77">
                  <c:v>890.32258064516134</c:v>
                </c:pt>
                <c:pt idx="78">
                  <c:v>903.22580645161281</c:v>
                </c:pt>
                <c:pt idx="79">
                  <c:v>916.12903225806451</c:v>
                </c:pt>
                <c:pt idx="80">
                  <c:v>929.0322580645161</c:v>
                </c:pt>
                <c:pt idx="81">
                  <c:v>977.41935483870964</c:v>
                </c:pt>
                <c:pt idx="82">
                  <c:v>987.09677419354841</c:v>
                </c:pt>
                <c:pt idx="83">
                  <c:v>996.77419354838707</c:v>
                </c:pt>
                <c:pt idx="84">
                  <c:v>1006.4516129032259</c:v>
                </c:pt>
                <c:pt idx="85">
                  <c:v>1045.1612903225807</c:v>
                </c:pt>
                <c:pt idx="86">
                  <c:v>1103.2258064516129</c:v>
                </c:pt>
                <c:pt idx="87">
                  <c:v>1122.5806451612902</c:v>
                </c:pt>
                <c:pt idx="88">
                  <c:v>1141.9354838709678</c:v>
                </c:pt>
                <c:pt idx="89">
                  <c:v>1161.2903225806451</c:v>
                </c:pt>
                <c:pt idx="90">
                  <c:v>1174.1935483870968</c:v>
                </c:pt>
                <c:pt idx="91">
                  <c:v>1187.0967741935485</c:v>
                </c:pt>
                <c:pt idx="92">
                  <c:v>1200</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92"/>
          <c:min val="-1"/>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At val="0"/>
        <c:crossBetween val="midCat"/>
        <c:minorUnit val="1"/>
      </c:valAx>
      <c:spPr>
        <a:solidFill>
          <a:schemeClr val="bg1">
            <a:alpha val="0"/>
          </a:schemeClr>
        </a:solidFill>
        <a:ln w="12700">
          <a:solidFill>
            <a:srgbClr val="808080"/>
          </a:solidFill>
          <a:prstDash val="solid"/>
        </a:ln>
      </c:spPr>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topLeftCell="A36" zoomScale="125" workbookViewId="0"/>
  </sheetViews>
  <sheetFormatPr baseColWidth="10" defaultColWidth="9.1640625" defaultRowHeight="13" x14ac:dyDescent="0.15"/>
  <cols>
    <col min="1" max="1" width="6" customWidth="1"/>
    <col min="2" max="2" width="12.1640625" style="13" customWidth="1"/>
    <col min="3" max="3" width="81.33203125" style="13" customWidth="1"/>
    <col min="4" max="16384" width="9.1640625" style="13"/>
  </cols>
  <sheetData>
    <row r="1" spans="1:3" x14ac:dyDescent="0.15">
      <c r="A1" s="6" t="s">
        <v>45</v>
      </c>
    </row>
    <row r="2" spans="1:3" ht="26.25" customHeight="1" x14ac:dyDescent="0.15">
      <c r="B2" s="53" t="s">
        <v>68</v>
      </c>
      <c r="C2" s="53"/>
    </row>
    <row r="4" spans="1:3" ht="27" customHeight="1" x14ac:dyDescent="0.15">
      <c r="B4" s="53" t="s">
        <v>61</v>
      </c>
      <c r="C4" s="53"/>
    </row>
    <row r="5" spans="1:3" x14ac:dyDescent="0.15">
      <c r="B5" s="18" t="s">
        <v>31</v>
      </c>
      <c r="C5"/>
    </row>
    <row r="6" spans="1:3" x14ac:dyDescent="0.15">
      <c r="C6" s="14"/>
    </row>
    <row r="7" spans="1:3" x14ac:dyDescent="0.15">
      <c r="A7" s="6" t="s">
        <v>53</v>
      </c>
      <c r="C7" s="14"/>
    </row>
    <row r="8" spans="1:3" x14ac:dyDescent="0.15">
      <c r="B8" s="53" t="s">
        <v>69</v>
      </c>
      <c r="C8" s="53"/>
    </row>
    <row r="9" spans="1:3" ht="14" x14ac:dyDescent="0.15">
      <c r="B9" s="21" t="s">
        <v>54</v>
      </c>
      <c r="C9" s="20" t="s">
        <v>96</v>
      </c>
    </row>
    <row r="10" spans="1:3" ht="14" x14ac:dyDescent="0.15">
      <c r="B10" s="22" t="s">
        <v>55</v>
      </c>
      <c r="C10" s="20" t="s">
        <v>95</v>
      </c>
    </row>
    <row r="11" spans="1:3" ht="28" x14ac:dyDescent="0.15">
      <c r="B11" s="35" t="s">
        <v>94</v>
      </c>
      <c r="C11" s="20" t="s">
        <v>97</v>
      </c>
    </row>
    <row r="12" spans="1:3" ht="14" x14ac:dyDescent="0.15">
      <c r="B12" s="23" t="s">
        <v>57</v>
      </c>
      <c r="C12" s="20" t="s">
        <v>58</v>
      </c>
    </row>
    <row r="13" spans="1:3" ht="28" x14ac:dyDescent="0.15">
      <c r="B13" s="24" t="s">
        <v>56</v>
      </c>
      <c r="C13" s="20" t="s">
        <v>98</v>
      </c>
    </row>
    <row r="14" spans="1:3" x14ac:dyDescent="0.15">
      <c r="B14" s="25"/>
      <c r="C14" s="20"/>
    </row>
    <row r="15" spans="1:3" x14ac:dyDescent="0.15">
      <c r="C15" s="14"/>
    </row>
    <row r="16" spans="1:3" x14ac:dyDescent="0.15">
      <c r="A16" s="6" t="s">
        <v>46</v>
      </c>
      <c r="C16" s="14"/>
    </row>
    <row r="17" spans="1:3" x14ac:dyDescent="0.15">
      <c r="A17" s="6"/>
      <c r="B17" s="54" t="s">
        <v>108</v>
      </c>
      <c r="C17" s="53"/>
    </row>
    <row r="18" spans="1:3" x14ac:dyDescent="0.15">
      <c r="A18" s="6"/>
      <c r="C18" s="14"/>
    </row>
    <row r="19" spans="1:3" x14ac:dyDescent="0.15">
      <c r="A19" s="6"/>
      <c r="C19" s="14"/>
    </row>
    <row r="20" spans="1:3" x14ac:dyDescent="0.15">
      <c r="A20" s="19">
        <v>1</v>
      </c>
      <c r="B20" s="19" t="s">
        <v>91</v>
      </c>
      <c r="C20"/>
    </row>
    <row r="21" spans="1:3" ht="14" x14ac:dyDescent="0.15">
      <c r="A21" s="6"/>
      <c r="C21" s="13" t="s">
        <v>99</v>
      </c>
    </row>
    <row r="22" spans="1:3" x14ac:dyDescent="0.15">
      <c r="A22" s="6"/>
      <c r="C22" s="14"/>
    </row>
    <row r="23" spans="1:3" x14ac:dyDescent="0.15">
      <c r="A23" s="19">
        <v>2</v>
      </c>
      <c r="B23" s="19" t="s">
        <v>77</v>
      </c>
      <c r="C23"/>
    </row>
    <row r="24" spans="1:3" ht="28" x14ac:dyDescent="0.15">
      <c r="C24" s="13" t="s">
        <v>113</v>
      </c>
    </row>
    <row r="25" spans="1:3" ht="56" x14ac:dyDescent="0.15">
      <c r="C25" s="13" t="s">
        <v>83</v>
      </c>
    </row>
    <row r="26" spans="1:3" ht="42" x14ac:dyDescent="0.15">
      <c r="C26" s="13" t="s">
        <v>114</v>
      </c>
    </row>
    <row r="27" spans="1:3" ht="28" x14ac:dyDescent="0.15">
      <c r="C27" s="13" t="s">
        <v>115</v>
      </c>
    </row>
    <row r="28" spans="1:3" ht="28" x14ac:dyDescent="0.15">
      <c r="C28" s="13" t="s">
        <v>116</v>
      </c>
    </row>
    <row r="30" spans="1:3" x14ac:dyDescent="0.15">
      <c r="A30" s="19">
        <v>3</v>
      </c>
      <c r="B30" s="19" t="s">
        <v>65</v>
      </c>
      <c r="C30" s="19"/>
    </row>
    <row r="31" spans="1:3" ht="43.5" customHeight="1" x14ac:dyDescent="0.15">
      <c r="C31" s="13" t="s">
        <v>80</v>
      </c>
    </row>
    <row r="32" spans="1:3" ht="14" x14ac:dyDescent="0.15">
      <c r="C32" s="13" t="s">
        <v>67</v>
      </c>
    </row>
    <row r="33" spans="1:3" ht="28" x14ac:dyDescent="0.15">
      <c r="C33" s="13" t="s">
        <v>78</v>
      </c>
    </row>
    <row r="35" spans="1:3" x14ac:dyDescent="0.15">
      <c r="A35" s="19">
        <v>4</v>
      </c>
      <c r="B35" s="19" t="s">
        <v>66</v>
      </c>
      <c r="C35" s="19"/>
    </row>
    <row r="36" spans="1:3" ht="28" x14ac:dyDescent="0.15">
      <c r="C36" s="13" t="s">
        <v>70</v>
      </c>
    </row>
    <row r="38" spans="1:3" ht="28" x14ac:dyDescent="0.15">
      <c r="C38" s="13" t="s">
        <v>92</v>
      </c>
    </row>
    <row r="40" spans="1:3" ht="28" x14ac:dyDescent="0.15">
      <c r="C40" s="13" t="s">
        <v>106</v>
      </c>
    </row>
    <row r="41" spans="1:3" ht="14" x14ac:dyDescent="0.15">
      <c r="C41" s="13" t="s">
        <v>101</v>
      </c>
    </row>
    <row r="42" spans="1:3" ht="14" x14ac:dyDescent="0.15">
      <c r="C42" s="13" t="s">
        <v>102</v>
      </c>
    </row>
    <row r="43" spans="1:3" ht="14" x14ac:dyDescent="0.15">
      <c r="C43" s="13" t="s">
        <v>103</v>
      </c>
    </row>
    <row r="44" spans="1:3" ht="14" x14ac:dyDescent="0.15">
      <c r="C44" s="13" t="s">
        <v>104</v>
      </c>
    </row>
    <row r="45" spans="1:3" ht="28" x14ac:dyDescent="0.15">
      <c r="C45" s="13" t="s">
        <v>107</v>
      </c>
    </row>
    <row r="46" spans="1:3" ht="14" x14ac:dyDescent="0.15">
      <c r="C46" s="13" t="s">
        <v>105</v>
      </c>
    </row>
    <row r="48" spans="1:3" ht="28" x14ac:dyDescent="0.15">
      <c r="C48" s="13" t="s">
        <v>117</v>
      </c>
    </row>
    <row r="49" spans="1:3" ht="28" x14ac:dyDescent="0.15">
      <c r="C49" s="13" t="s">
        <v>118</v>
      </c>
    </row>
    <row r="52" spans="1:3" x14ac:dyDescent="0.15">
      <c r="A52" s="19">
        <v>5</v>
      </c>
      <c r="B52" s="19" t="s">
        <v>71</v>
      </c>
    </row>
    <row r="53" spans="1:3" ht="28" x14ac:dyDescent="0.15">
      <c r="C53" s="13" t="s">
        <v>72</v>
      </c>
    </row>
    <row r="54" spans="1:3" ht="28" x14ac:dyDescent="0.15">
      <c r="C54" s="13" t="s">
        <v>73</v>
      </c>
    </row>
    <row r="55" spans="1:3" ht="28" x14ac:dyDescent="0.15">
      <c r="C55" s="13" t="s">
        <v>74</v>
      </c>
    </row>
    <row r="56" spans="1:3" ht="13.5" customHeight="1" x14ac:dyDescent="0.15">
      <c r="C56" s="13" t="s">
        <v>79</v>
      </c>
    </row>
    <row r="58" spans="1:3" x14ac:dyDescent="0.15">
      <c r="A58" s="6" t="s">
        <v>84</v>
      </c>
    </row>
    <row r="59" spans="1:3" ht="42" x14ac:dyDescent="0.15">
      <c r="C59" s="13" t="s">
        <v>85</v>
      </c>
    </row>
    <row r="61" spans="1:3" ht="28" x14ac:dyDescent="0.15">
      <c r="C61" s="13"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election activeCell="C3" sqref="C3"/>
    </sheetView>
  </sheetViews>
  <sheetFormatPr baseColWidth="10" defaultColWidth="27.6640625" defaultRowHeight="13" x14ac:dyDescent="0.15"/>
  <cols>
    <col min="1" max="1" width="3.33203125" customWidth="1"/>
    <col min="2" max="2" width="16.1640625" customWidth="1"/>
    <col min="3" max="3" width="70.6640625" customWidth="1"/>
  </cols>
  <sheetData>
    <row r="2" spans="2:3" x14ac:dyDescent="0.15">
      <c r="B2" s="6" t="s">
        <v>87</v>
      </c>
      <c r="C2" s="36" t="s">
        <v>125</v>
      </c>
    </row>
    <row r="3" spans="2:3" x14ac:dyDescent="0.15">
      <c r="B3" s="6" t="s">
        <v>89</v>
      </c>
      <c r="C3" s="52" t="s">
        <v>126</v>
      </c>
    </row>
    <row r="4" spans="2:3" x14ac:dyDescent="0.15">
      <c r="B4" s="6" t="s">
        <v>90</v>
      </c>
      <c r="C4" s="52" t="s">
        <v>127</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topLeftCell="B1" zoomScale="125" workbookViewId="0">
      <selection activeCell="D21" sqref="D21"/>
    </sheetView>
  </sheetViews>
  <sheetFormatPr baseColWidth="10" defaultColWidth="8.83203125" defaultRowHeight="13" x14ac:dyDescent="0.15"/>
  <cols>
    <col min="1" max="1" width="5.33203125" customWidth="1"/>
    <col min="2" max="2" width="21.33203125" customWidth="1"/>
    <col min="3" max="3" width="7.6640625" customWidth="1"/>
    <col min="4" max="4" width="7.33203125" customWidth="1"/>
    <col min="5" max="6" width="6.1640625" bestFit="1" customWidth="1"/>
    <col min="7" max="7" width="6.5" bestFit="1" customWidth="1"/>
    <col min="8" max="13" width="6.1640625" bestFit="1" customWidth="1"/>
    <col min="14" max="14" width="3.5" customWidth="1"/>
  </cols>
  <sheetData>
    <row r="1" spans="1:17" ht="14" thickBot="1" x14ac:dyDescent="0.2">
      <c r="E1" s="55" t="s">
        <v>42</v>
      </c>
      <c r="F1" s="55"/>
      <c r="G1" s="55"/>
      <c r="H1" s="55"/>
      <c r="I1" s="55"/>
      <c r="J1" s="55"/>
      <c r="K1" s="55"/>
      <c r="L1" s="55"/>
      <c r="M1" s="55"/>
      <c r="O1" s="55" t="s">
        <v>41</v>
      </c>
      <c r="P1" s="55"/>
      <c r="Q1" s="55"/>
    </row>
    <row r="2" spans="1:17" x14ac:dyDescent="0.15">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x14ac:dyDescent="0.15">
      <c r="A3" s="33" t="s">
        <v>93</v>
      </c>
      <c r="E3" s="11"/>
      <c r="F3" s="11"/>
      <c r="G3" s="11"/>
      <c r="H3" s="11"/>
      <c r="I3" s="11"/>
      <c r="J3" s="11"/>
      <c r="K3" s="11"/>
      <c r="L3" s="11"/>
      <c r="M3" s="11"/>
      <c r="N3" s="11"/>
    </row>
    <row r="4" spans="1:17" x14ac:dyDescent="0.15">
      <c r="A4" s="6"/>
      <c r="E4" s="11"/>
      <c r="F4" s="11"/>
      <c r="G4" s="11"/>
      <c r="H4" s="11"/>
      <c r="I4" s="11"/>
      <c r="J4" s="11"/>
      <c r="K4" s="11"/>
      <c r="L4" s="11"/>
      <c r="M4" s="11"/>
      <c r="N4" s="11"/>
    </row>
    <row r="5" spans="1:17" x14ac:dyDescent="0.15">
      <c r="B5" s="9" t="s">
        <v>16</v>
      </c>
      <c r="C5" s="30">
        <v>2</v>
      </c>
      <c r="E5" s="3">
        <v>2</v>
      </c>
      <c r="F5" s="3">
        <v>2</v>
      </c>
      <c r="G5" s="3">
        <v>2</v>
      </c>
      <c r="H5" s="3">
        <v>2</v>
      </c>
      <c r="I5" s="3">
        <v>1.5</v>
      </c>
      <c r="J5" s="3">
        <v>1.5</v>
      </c>
      <c r="K5" s="3">
        <v>1.5</v>
      </c>
      <c r="L5" s="3">
        <v>1.5</v>
      </c>
      <c r="M5" s="3">
        <v>1.2</v>
      </c>
      <c r="O5" s="31">
        <v>2</v>
      </c>
      <c r="P5" s="31">
        <v>1.5</v>
      </c>
      <c r="Q5" s="31">
        <v>1.2</v>
      </c>
    </row>
    <row r="6" spans="1:17" x14ac:dyDescent="0.15">
      <c r="B6" s="9" t="s">
        <v>81</v>
      </c>
      <c r="C6" s="30">
        <v>0.1</v>
      </c>
      <c r="E6" s="3">
        <v>0.1</v>
      </c>
      <c r="F6" s="3">
        <v>0.05</v>
      </c>
      <c r="G6" s="3">
        <v>0.01</v>
      </c>
      <c r="H6" s="3">
        <v>1E-3</v>
      </c>
      <c r="I6" s="3">
        <v>0.1</v>
      </c>
      <c r="J6" s="3">
        <v>0.05</v>
      </c>
      <c r="K6" s="3">
        <v>0.01</v>
      </c>
      <c r="L6" s="3">
        <v>1E-3</v>
      </c>
      <c r="M6" s="3">
        <v>0.1</v>
      </c>
      <c r="O6" s="31">
        <v>0.1</v>
      </c>
      <c r="P6" s="31">
        <v>0.01</v>
      </c>
      <c r="Q6" s="31">
        <v>0.1</v>
      </c>
    </row>
    <row r="7" spans="1:17" x14ac:dyDescent="0.15">
      <c r="B7" s="9" t="s">
        <v>82</v>
      </c>
      <c r="C7" s="30">
        <v>0.1</v>
      </c>
      <c r="E7" s="3">
        <v>0.1</v>
      </c>
      <c r="F7" s="3">
        <v>0.05</v>
      </c>
      <c r="G7" s="3">
        <v>0.01</v>
      </c>
      <c r="H7" s="3">
        <v>1E-3</v>
      </c>
      <c r="I7" s="3">
        <v>0.1</v>
      </c>
      <c r="J7" s="3">
        <v>0.05</v>
      </c>
      <c r="K7" s="3">
        <v>0.01</v>
      </c>
      <c r="L7" s="3">
        <v>1E-3</v>
      </c>
      <c r="M7" s="3">
        <v>0.1</v>
      </c>
      <c r="O7" s="31">
        <v>0.1</v>
      </c>
      <c r="P7" s="31">
        <v>0.01</v>
      </c>
      <c r="Q7" s="31">
        <v>0.1</v>
      </c>
    </row>
    <row r="8" spans="1:17" x14ac:dyDescent="0.15">
      <c r="B8" s="9"/>
      <c r="E8" s="3"/>
      <c r="F8" s="3"/>
      <c r="G8" s="3"/>
      <c r="H8" s="3"/>
      <c r="I8" s="3"/>
      <c r="J8" s="3"/>
      <c r="K8" s="3"/>
      <c r="L8" s="3"/>
      <c r="M8" s="3"/>
      <c r="O8" s="3"/>
      <c r="P8" s="3"/>
      <c r="Q8" s="3"/>
    </row>
    <row r="9" spans="1:17" x14ac:dyDescent="0.15">
      <c r="B9" s="9" t="s">
        <v>13</v>
      </c>
      <c r="C9" s="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x14ac:dyDescent="0.15">
      <c r="B10" s="9"/>
      <c r="E10" s="3"/>
      <c r="F10" s="3"/>
      <c r="G10" s="3"/>
      <c r="H10" s="3"/>
      <c r="I10" s="3"/>
      <c r="J10" s="3"/>
      <c r="K10" s="3"/>
      <c r="L10" s="3"/>
      <c r="M10" s="3"/>
      <c r="O10" s="3"/>
      <c r="P10" s="3"/>
      <c r="Q10" s="3"/>
    </row>
    <row r="11" spans="1:17" x14ac:dyDescent="0.15">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x14ac:dyDescent="0.15">
      <c r="A12" s="6" t="s">
        <v>36</v>
      </c>
      <c r="B12" s="12"/>
      <c r="C12" s="3"/>
      <c r="E12" s="3"/>
      <c r="F12" s="3"/>
      <c r="G12" s="3"/>
      <c r="H12" s="3"/>
      <c r="I12" s="3"/>
      <c r="J12" s="3"/>
      <c r="K12" s="3"/>
      <c r="L12" s="3"/>
    </row>
    <row r="13" spans="1:17" x14ac:dyDescent="0.15">
      <c r="B13" s="9" t="s">
        <v>34</v>
      </c>
      <c r="C13">
        <v>92</v>
      </c>
    </row>
    <row r="14" spans="1:17" x14ac:dyDescent="0.15">
      <c r="B14" s="9" t="s">
        <v>35</v>
      </c>
      <c r="C14">
        <v>92</v>
      </c>
    </row>
    <row r="15" spans="1:17" x14ac:dyDescent="0.15">
      <c r="B15" s="9"/>
      <c r="C15" s="9"/>
      <c r="D15" s="3"/>
      <c r="E15" s="3"/>
      <c r="F15" s="3"/>
      <c r="G15" s="3"/>
      <c r="H15" s="3"/>
      <c r="I15" s="3"/>
      <c r="J15" s="3"/>
      <c r="K15" s="3"/>
      <c r="L15" s="3"/>
    </row>
  </sheetData>
  <sheetProtection selectLockedCells="1"/>
  <protectedRanges>
    <protectedRange sqref="C10 C5:C8 C12:C14"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tabSelected="1" zoomScale="150" workbookViewId="0">
      <selection activeCell="E3" sqref="E3"/>
    </sheetView>
  </sheetViews>
  <sheetFormatPr baseColWidth="10" defaultColWidth="9.1640625" defaultRowHeight="13" x14ac:dyDescent="0.15"/>
  <cols>
    <col min="1" max="1" width="12" customWidth="1"/>
    <col min="2" max="3" width="10.83203125" customWidth="1"/>
    <col min="4" max="4" width="13.83203125" customWidth="1"/>
    <col min="5" max="5" width="11.5" customWidth="1"/>
    <col min="6" max="6" width="15.1640625" customWidth="1"/>
    <col min="7" max="8" width="13.5" customWidth="1"/>
    <col min="12" max="12" width="8.83203125"/>
    <col min="14" max="14" width="9.5" customWidth="1"/>
  </cols>
  <sheetData>
    <row r="1" spans="1:16" x14ac:dyDescent="0.15">
      <c r="A1" s="6" t="s">
        <v>47</v>
      </c>
      <c r="B1" s="6"/>
      <c r="E1" s="6" t="s">
        <v>52</v>
      </c>
      <c r="F1" s="6" t="s">
        <v>49</v>
      </c>
    </row>
    <row r="2" spans="1:16" x14ac:dyDescent="0.15">
      <c r="B2" s="51" t="s">
        <v>119</v>
      </c>
      <c r="E2" s="26">
        <v>1200</v>
      </c>
      <c r="F2" s="10">
        <v>1</v>
      </c>
    </row>
    <row r="3" spans="1:16" x14ac:dyDescent="0.15">
      <c r="B3" s="51" t="s">
        <v>130</v>
      </c>
      <c r="E3" s="27">
        <v>31</v>
      </c>
      <c r="F3" s="28">
        <f>IF(E2&lt;&gt;1,E3/E2,E3)</f>
        <v>2.5833333333333333E-2</v>
      </c>
    </row>
    <row r="4" spans="1:16" x14ac:dyDescent="0.15">
      <c r="B4" s="16" t="s">
        <v>48</v>
      </c>
      <c r="E4" s="45" t="s">
        <v>129</v>
      </c>
      <c r="F4" s="10" t="str">
        <f>E4</f>
        <v>interval</v>
      </c>
    </row>
    <row r="5" spans="1:16" x14ac:dyDescent="0.15">
      <c r="C5" s="16"/>
      <c r="D5" s="16"/>
    </row>
    <row r="6" spans="1:16" x14ac:dyDescent="0.15">
      <c r="B6" s="16" t="s">
        <v>59</v>
      </c>
      <c r="D6" t="str">
        <f>CONCATENATE("The FIO is ",E2," failures per ",E3," ",E4,"s")</f>
        <v>The FIO is 1200 failures per 31 intervals</v>
      </c>
    </row>
    <row r="7" spans="1:16" x14ac:dyDescent="0.15">
      <c r="B7" s="16" t="s">
        <v>60</v>
      </c>
      <c r="D7" t="str">
        <f>CONCATENATE("The FIO is ",F2," failure per ",F3," ",E4,"s")</f>
        <v>The FIO is 1 failure per 0,0258333333333333 intervals</v>
      </c>
    </row>
    <row r="10" spans="1:16" x14ac:dyDescent="0.15">
      <c r="A10" s="6" t="s">
        <v>51</v>
      </c>
      <c r="B10" s="6"/>
    </row>
    <row r="11" spans="1:16" ht="42" x14ac:dyDescent="0.15">
      <c r="A11" s="25" t="s">
        <v>110</v>
      </c>
      <c r="B11" s="25" t="s">
        <v>43</v>
      </c>
      <c r="C11" s="25" t="s">
        <v>44</v>
      </c>
      <c r="D11" s="25" t="s">
        <v>88</v>
      </c>
      <c r="E11" s="25" t="s">
        <v>111</v>
      </c>
      <c r="F11" s="25" t="s">
        <v>128</v>
      </c>
      <c r="G11" s="25" t="s">
        <v>112</v>
      </c>
      <c r="H11" s="25"/>
      <c r="I11" s="25"/>
      <c r="J11" s="25"/>
      <c r="K11" s="25"/>
      <c r="N11" s="25"/>
      <c r="O11" s="25"/>
      <c r="P11" s="25"/>
    </row>
    <row r="12" spans="1:16" x14ac:dyDescent="0.15">
      <c r="A12">
        <v>1</v>
      </c>
      <c r="B12" s="34"/>
      <c r="C12" s="50"/>
      <c r="D12" s="49" t="s">
        <v>131</v>
      </c>
      <c r="E12" s="43">
        <v>0</v>
      </c>
      <c r="F12" s="44">
        <v>0</v>
      </c>
      <c r="G12" s="29">
        <f>+F12/F$3</f>
        <v>0</v>
      </c>
      <c r="H12" s="29"/>
      <c r="N12" s="47"/>
    </row>
    <row r="13" spans="1:16" x14ac:dyDescent="0.15">
      <c r="A13">
        <v>2</v>
      </c>
      <c r="B13" s="34"/>
      <c r="C13" s="50"/>
      <c r="D13" s="49" t="s">
        <v>131</v>
      </c>
      <c r="E13" s="43">
        <v>1</v>
      </c>
      <c r="F13" s="44">
        <v>0.5</v>
      </c>
      <c r="G13" s="29">
        <f>+F13/F$3</f>
        <v>19.35483870967742</v>
      </c>
      <c r="H13" s="29"/>
      <c r="N13" s="47"/>
      <c r="P13" s="46"/>
    </row>
    <row r="14" spans="1:16" x14ac:dyDescent="0.15">
      <c r="A14">
        <v>3</v>
      </c>
      <c r="B14" s="34"/>
      <c r="C14" s="50"/>
      <c r="D14" s="49" t="s">
        <v>131</v>
      </c>
      <c r="E14" s="43">
        <v>2</v>
      </c>
      <c r="F14" s="44">
        <v>1</v>
      </c>
      <c r="G14" s="29">
        <f t="shared" ref="G14:G76" si="0">+F14/F$3</f>
        <v>38.70967741935484</v>
      </c>
      <c r="H14" s="29"/>
      <c r="N14" s="47"/>
      <c r="P14" s="46"/>
    </row>
    <row r="15" spans="1:16" x14ac:dyDescent="0.15">
      <c r="A15">
        <v>4</v>
      </c>
      <c r="B15" s="34"/>
      <c r="C15" s="50"/>
      <c r="D15" s="49" t="s">
        <v>131</v>
      </c>
      <c r="E15" s="43">
        <v>3</v>
      </c>
      <c r="F15" s="44">
        <v>1.0909090909090908</v>
      </c>
      <c r="G15" s="29">
        <f t="shared" si="0"/>
        <v>42.228739002932549</v>
      </c>
      <c r="H15" s="29"/>
      <c r="N15" s="47"/>
      <c r="P15" s="46"/>
    </row>
    <row r="16" spans="1:16" x14ac:dyDescent="0.15">
      <c r="A16">
        <v>5</v>
      </c>
      <c r="B16" s="34"/>
      <c r="C16" s="50"/>
      <c r="D16" s="49" t="s">
        <v>131</v>
      </c>
      <c r="E16" s="43">
        <v>4</v>
      </c>
      <c r="F16" s="44">
        <v>1.1818181818181819</v>
      </c>
      <c r="G16" s="29">
        <f t="shared" si="0"/>
        <v>45.747800586510266</v>
      </c>
      <c r="H16" s="29"/>
      <c r="N16" s="47"/>
      <c r="P16" s="46"/>
    </row>
    <row r="17" spans="1:16" x14ac:dyDescent="0.15">
      <c r="A17">
        <v>6</v>
      </c>
      <c r="B17" s="34"/>
      <c r="C17" s="50"/>
      <c r="D17" s="49" t="s">
        <v>131</v>
      </c>
      <c r="E17" s="43">
        <v>5</v>
      </c>
      <c r="F17" s="44">
        <v>1.2727272727272727</v>
      </c>
      <c r="G17" s="29">
        <f t="shared" si="0"/>
        <v>49.266862170087975</v>
      </c>
      <c r="H17" s="29"/>
      <c r="N17" s="47"/>
      <c r="P17" s="46"/>
    </row>
    <row r="18" spans="1:16" x14ac:dyDescent="0.15">
      <c r="A18">
        <v>7</v>
      </c>
      <c r="B18" s="34"/>
      <c r="C18" s="50"/>
      <c r="D18" s="49" t="s">
        <v>131</v>
      </c>
      <c r="E18" s="43">
        <v>6</v>
      </c>
      <c r="F18" s="44">
        <v>1.3636363636363638</v>
      </c>
      <c r="G18" s="29">
        <f t="shared" si="0"/>
        <v>52.785923753665692</v>
      </c>
      <c r="H18" s="29"/>
      <c r="N18" s="47"/>
      <c r="P18" s="46"/>
    </row>
    <row r="19" spans="1:16" x14ac:dyDescent="0.15">
      <c r="A19">
        <v>8</v>
      </c>
      <c r="B19" s="34"/>
      <c r="C19" s="50"/>
      <c r="D19" s="49" t="s">
        <v>131</v>
      </c>
      <c r="E19" s="43">
        <v>7</v>
      </c>
      <c r="F19" s="44">
        <v>1.4545454545454546</v>
      </c>
      <c r="G19" s="29">
        <f t="shared" si="0"/>
        <v>56.304985337243401</v>
      </c>
      <c r="H19" s="29"/>
      <c r="N19" s="47"/>
      <c r="P19" s="46"/>
    </row>
    <row r="20" spans="1:16" x14ac:dyDescent="0.15">
      <c r="A20">
        <v>9</v>
      </c>
      <c r="B20" s="34"/>
      <c r="C20" s="50"/>
      <c r="D20" s="49" t="s">
        <v>131</v>
      </c>
      <c r="E20" s="43">
        <v>8</v>
      </c>
      <c r="F20" s="44">
        <v>1.5454545454545454</v>
      </c>
      <c r="G20" s="29">
        <f t="shared" si="0"/>
        <v>59.824046920821111</v>
      </c>
      <c r="H20" s="29"/>
      <c r="N20" s="47"/>
      <c r="P20" s="46"/>
    </row>
    <row r="21" spans="1:16" x14ac:dyDescent="0.15">
      <c r="A21">
        <v>10</v>
      </c>
      <c r="B21" s="34"/>
      <c r="C21" s="50"/>
      <c r="D21" s="49" t="s">
        <v>131</v>
      </c>
      <c r="E21" s="43">
        <v>9</v>
      </c>
      <c r="F21" s="44">
        <v>1.6363636363636362</v>
      </c>
      <c r="G21" s="29">
        <f t="shared" si="0"/>
        <v>63.34310850439882</v>
      </c>
      <c r="H21" s="29"/>
      <c r="N21" s="47"/>
      <c r="P21" s="46"/>
    </row>
    <row r="22" spans="1:16" x14ac:dyDescent="0.15">
      <c r="A22">
        <v>11</v>
      </c>
      <c r="B22" s="34"/>
      <c r="C22" s="50"/>
      <c r="D22" s="49" t="s">
        <v>131</v>
      </c>
      <c r="E22" s="43">
        <v>10</v>
      </c>
      <c r="F22" s="44">
        <v>1.7272727272727273</v>
      </c>
      <c r="G22" s="29">
        <f t="shared" si="0"/>
        <v>66.862170087976537</v>
      </c>
      <c r="H22" s="29"/>
      <c r="N22" s="47"/>
      <c r="P22" s="46"/>
    </row>
    <row r="23" spans="1:16" x14ac:dyDescent="0.15">
      <c r="A23">
        <v>12</v>
      </c>
      <c r="B23" s="34"/>
      <c r="C23" s="50"/>
      <c r="D23" s="49" t="s">
        <v>131</v>
      </c>
      <c r="E23" s="43">
        <v>11</v>
      </c>
      <c r="F23" s="44">
        <v>1.8181818181818183</v>
      </c>
      <c r="G23" s="29">
        <f t="shared" si="0"/>
        <v>70.381231671554261</v>
      </c>
      <c r="H23" s="29"/>
      <c r="N23" s="47"/>
      <c r="P23" s="46"/>
    </row>
    <row r="24" spans="1:16" x14ac:dyDescent="0.15">
      <c r="A24">
        <v>13</v>
      </c>
      <c r="B24" s="34"/>
      <c r="C24" s="50"/>
      <c r="D24" s="49" t="s">
        <v>131</v>
      </c>
      <c r="E24" s="43">
        <v>12</v>
      </c>
      <c r="F24" s="44">
        <v>1.9090909090909092</v>
      </c>
      <c r="G24" s="29">
        <f t="shared" si="0"/>
        <v>73.90029325513197</v>
      </c>
      <c r="H24" s="29"/>
      <c r="N24" s="47"/>
      <c r="P24" s="46"/>
    </row>
    <row r="25" spans="1:16" x14ac:dyDescent="0.15">
      <c r="A25">
        <v>14</v>
      </c>
      <c r="B25" s="34"/>
      <c r="C25" s="50"/>
      <c r="D25" s="49" t="s">
        <v>131</v>
      </c>
      <c r="E25" s="43">
        <v>13</v>
      </c>
      <c r="F25" s="44">
        <v>2</v>
      </c>
      <c r="G25" s="29">
        <f t="shared" si="0"/>
        <v>77.41935483870968</v>
      </c>
      <c r="H25" s="29"/>
      <c r="N25" s="47"/>
      <c r="P25" s="46"/>
    </row>
    <row r="26" spans="1:16" x14ac:dyDescent="0.15">
      <c r="A26">
        <v>15</v>
      </c>
      <c r="B26" s="34"/>
      <c r="C26" s="50"/>
      <c r="D26" s="49" t="s">
        <v>131</v>
      </c>
      <c r="E26" s="43">
        <v>14</v>
      </c>
      <c r="F26" s="44">
        <v>2.5</v>
      </c>
      <c r="G26" s="29">
        <f t="shared" si="0"/>
        <v>96.774193548387103</v>
      </c>
      <c r="H26" s="29"/>
      <c r="N26" s="47"/>
      <c r="P26" s="46"/>
    </row>
    <row r="27" spans="1:16" x14ac:dyDescent="0.15">
      <c r="A27">
        <v>16</v>
      </c>
      <c r="B27" s="34"/>
      <c r="C27" s="50"/>
      <c r="D27" s="49" t="s">
        <v>131</v>
      </c>
      <c r="E27" s="43">
        <v>15</v>
      </c>
      <c r="F27" s="44">
        <v>3</v>
      </c>
      <c r="G27" s="29">
        <f t="shared" si="0"/>
        <v>116.12903225806451</v>
      </c>
      <c r="H27" s="29"/>
      <c r="N27" s="47"/>
      <c r="P27" s="46"/>
    </row>
    <row r="28" spans="1:16" x14ac:dyDescent="0.15">
      <c r="A28">
        <v>17</v>
      </c>
      <c r="B28" s="34"/>
      <c r="C28" s="50"/>
      <c r="D28" s="49" t="s">
        <v>131</v>
      </c>
      <c r="E28" s="43">
        <v>16</v>
      </c>
      <c r="F28" s="44">
        <v>3.25</v>
      </c>
      <c r="G28" s="29">
        <f t="shared" si="0"/>
        <v>125.80645161290323</v>
      </c>
      <c r="H28" s="29"/>
      <c r="N28" s="47"/>
      <c r="P28" s="46"/>
    </row>
    <row r="29" spans="1:16" x14ac:dyDescent="0.15">
      <c r="A29">
        <v>18</v>
      </c>
      <c r="B29" s="34"/>
      <c r="C29" s="50"/>
      <c r="D29" s="49" t="s">
        <v>131</v>
      </c>
      <c r="E29" s="43">
        <v>17</v>
      </c>
      <c r="F29" s="44">
        <v>3.5</v>
      </c>
      <c r="G29" s="29">
        <f t="shared" si="0"/>
        <v>135.48387096774195</v>
      </c>
      <c r="H29" s="29"/>
      <c r="N29" s="47"/>
      <c r="P29" s="46"/>
    </row>
    <row r="30" spans="1:16" x14ac:dyDescent="0.15">
      <c r="A30">
        <v>19</v>
      </c>
      <c r="B30" s="34"/>
      <c r="C30" s="50"/>
      <c r="D30" s="49" t="s">
        <v>131</v>
      </c>
      <c r="E30" s="43">
        <v>18</v>
      </c>
      <c r="F30" s="44">
        <v>3.75</v>
      </c>
      <c r="G30" s="29">
        <f t="shared" si="0"/>
        <v>145.16129032258064</v>
      </c>
      <c r="H30" s="29"/>
      <c r="N30" s="47"/>
      <c r="P30" s="46"/>
    </row>
    <row r="31" spans="1:16" x14ac:dyDescent="0.15">
      <c r="A31">
        <v>20</v>
      </c>
      <c r="B31" s="34"/>
      <c r="C31" s="50"/>
      <c r="D31" s="49" t="s">
        <v>131</v>
      </c>
      <c r="E31" s="43">
        <v>19</v>
      </c>
      <c r="F31" s="44">
        <v>4</v>
      </c>
      <c r="G31" s="29">
        <f t="shared" si="0"/>
        <v>154.83870967741936</v>
      </c>
      <c r="H31" s="29"/>
      <c r="N31" s="47"/>
      <c r="P31" s="46"/>
    </row>
    <row r="32" spans="1:16" x14ac:dyDescent="0.15">
      <c r="A32">
        <v>21</v>
      </c>
      <c r="B32" s="34"/>
      <c r="C32" s="50"/>
      <c r="D32" s="49" t="s">
        <v>131</v>
      </c>
      <c r="E32" s="43">
        <v>20</v>
      </c>
      <c r="F32" s="44">
        <v>4.333333333333333</v>
      </c>
      <c r="G32" s="29">
        <f t="shared" si="0"/>
        <v>167.74193548387095</v>
      </c>
      <c r="H32" s="29"/>
      <c r="N32" s="47"/>
      <c r="P32" s="46"/>
    </row>
    <row r="33" spans="1:16" x14ac:dyDescent="0.15">
      <c r="A33">
        <v>22</v>
      </c>
      <c r="B33" s="34"/>
      <c r="C33" s="50"/>
      <c r="D33" s="49" t="s">
        <v>131</v>
      </c>
      <c r="E33" s="43">
        <v>21</v>
      </c>
      <c r="F33" s="44">
        <v>4.666666666666667</v>
      </c>
      <c r="G33" s="29">
        <f t="shared" si="0"/>
        <v>180.64516129032259</v>
      </c>
      <c r="H33" s="29"/>
      <c r="N33" s="47"/>
      <c r="P33" s="46"/>
    </row>
    <row r="34" spans="1:16" x14ac:dyDescent="0.15">
      <c r="A34">
        <v>23</v>
      </c>
      <c r="B34" s="34"/>
      <c r="C34" s="50"/>
      <c r="D34" s="49" t="s">
        <v>131</v>
      </c>
      <c r="E34" s="43">
        <v>22</v>
      </c>
      <c r="F34" s="44">
        <v>5</v>
      </c>
      <c r="G34" s="29">
        <f t="shared" si="0"/>
        <v>193.54838709677421</v>
      </c>
      <c r="H34" s="29"/>
      <c r="N34" s="47"/>
      <c r="P34" s="46"/>
    </row>
    <row r="35" spans="1:16" x14ac:dyDescent="0.15">
      <c r="A35">
        <v>24</v>
      </c>
      <c r="B35" s="34"/>
      <c r="C35" s="50"/>
      <c r="D35" s="49" t="s">
        <v>131</v>
      </c>
      <c r="E35" s="43">
        <v>23</v>
      </c>
      <c r="F35" s="44">
        <v>6</v>
      </c>
      <c r="G35" s="29">
        <f t="shared" si="0"/>
        <v>232.25806451612902</v>
      </c>
      <c r="H35" s="29"/>
      <c r="N35" s="47"/>
      <c r="P35" s="46"/>
    </row>
    <row r="36" spans="1:16" x14ac:dyDescent="0.15">
      <c r="A36">
        <v>25</v>
      </c>
      <c r="B36" s="34"/>
      <c r="C36" s="50"/>
      <c r="D36" s="49" t="s">
        <v>131</v>
      </c>
      <c r="E36" s="43">
        <v>24</v>
      </c>
      <c r="F36" s="44">
        <v>7</v>
      </c>
      <c r="G36" s="29">
        <f t="shared" si="0"/>
        <v>270.9677419354839</v>
      </c>
      <c r="H36" s="29"/>
      <c r="N36" s="47"/>
      <c r="P36" s="46"/>
    </row>
    <row r="37" spans="1:16" x14ac:dyDescent="0.15">
      <c r="A37">
        <v>26</v>
      </c>
      <c r="B37" s="34"/>
      <c r="C37" s="50"/>
      <c r="D37" s="49" t="s">
        <v>131</v>
      </c>
      <c r="E37" s="43">
        <v>25</v>
      </c>
      <c r="F37" s="44">
        <v>7.5</v>
      </c>
      <c r="G37" s="29">
        <f t="shared" si="0"/>
        <v>290.32258064516128</v>
      </c>
      <c r="H37" s="29"/>
      <c r="N37" s="47"/>
      <c r="P37" s="46"/>
    </row>
    <row r="38" spans="1:16" x14ac:dyDescent="0.15">
      <c r="A38">
        <v>27</v>
      </c>
      <c r="B38" s="34"/>
      <c r="C38" s="50"/>
      <c r="D38" s="49" t="s">
        <v>131</v>
      </c>
      <c r="E38" s="43">
        <v>26</v>
      </c>
      <c r="F38" s="44">
        <v>8</v>
      </c>
      <c r="G38" s="29">
        <f t="shared" si="0"/>
        <v>309.67741935483872</v>
      </c>
      <c r="H38" s="29"/>
      <c r="N38" s="47"/>
      <c r="P38" s="46"/>
    </row>
    <row r="39" spans="1:16" x14ac:dyDescent="0.15">
      <c r="A39">
        <v>28</v>
      </c>
      <c r="B39" s="34"/>
      <c r="C39" s="50"/>
      <c r="D39" s="49" t="s">
        <v>131</v>
      </c>
      <c r="E39" s="43">
        <v>27</v>
      </c>
      <c r="F39" s="44">
        <v>8.25</v>
      </c>
      <c r="G39" s="29">
        <f t="shared" si="0"/>
        <v>319.35483870967744</v>
      </c>
      <c r="H39" s="29"/>
      <c r="N39" s="47"/>
      <c r="P39" s="46"/>
    </row>
    <row r="40" spans="1:16" x14ac:dyDescent="0.15">
      <c r="A40">
        <v>29</v>
      </c>
      <c r="B40" s="34"/>
      <c r="C40" s="50"/>
      <c r="D40" s="49" t="s">
        <v>131</v>
      </c>
      <c r="E40" s="43">
        <v>28</v>
      </c>
      <c r="F40" s="44">
        <v>8.5</v>
      </c>
      <c r="G40" s="29">
        <f t="shared" si="0"/>
        <v>329.03225806451616</v>
      </c>
      <c r="H40" s="29"/>
      <c r="N40" s="47"/>
      <c r="P40" s="46"/>
    </row>
    <row r="41" spans="1:16" x14ac:dyDescent="0.15">
      <c r="A41">
        <v>30</v>
      </c>
      <c r="B41" s="34"/>
      <c r="C41" s="50"/>
      <c r="D41" s="49" t="s">
        <v>131</v>
      </c>
      <c r="E41" s="43">
        <v>29</v>
      </c>
      <c r="F41" s="44">
        <v>8.75</v>
      </c>
      <c r="G41" s="29">
        <f t="shared" si="0"/>
        <v>338.70967741935482</v>
      </c>
      <c r="H41" s="29"/>
      <c r="N41" s="47"/>
      <c r="P41" s="46"/>
    </row>
    <row r="42" spans="1:16" x14ac:dyDescent="0.15">
      <c r="A42">
        <v>31</v>
      </c>
      <c r="B42" s="34"/>
      <c r="C42" s="50"/>
      <c r="D42" s="49" t="s">
        <v>131</v>
      </c>
      <c r="E42" s="43">
        <v>30</v>
      </c>
      <c r="F42" s="44">
        <v>9</v>
      </c>
      <c r="G42" s="29">
        <f t="shared" si="0"/>
        <v>348.38709677419354</v>
      </c>
      <c r="H42" s="29"/>
      <c r="N42" s="47"/>
      <c r="P42" s="46"/>
    </row>
    <row r="43" spans="1:16" x14ac:dyDescent="0.15">
      <c r="A43">
        <v>32</v>
      </c>
      <c r="B43" s="34"/>
      <c r="C43" s="50"/>
      <c r="D43" s="49" t="s">
        <v>131</v>
      </c>
      <c r="E43" s="43">
        <v>31</v>
      </c>
      <c r="F43" s="44">
        <v>10.25</v>
      </c>
      <c r="G43" s="29">
        <f t="shared" si="0"/>
        <v>396.77419354838707</v>
      </c>
      <c r="N43" s="47"/>
      <c r="P43" s="46"/>
    </row>
    <row r="44" spans="1:16" x14ac:dyDescent="0.15">
      <c r="A44">
        <v>33</v>
      </c>
      <c r="B44" s="34"/>
      <c r="C44" s="50"/>
      <c r="D44" s="49" t="s">
        <v>131</v>
      </c>
      <c r="E44" s="43">
        <v>32</v>
      </c>
      <c r="F44" s="44">
        <v>10.5</v>
      </c>
      <c r="G44" s="29">
        <f t="shared" si="0"/>
        <v>406.45161290322579</v>
      </c>
      <c r="N44" s="47"/>
      <c r="P44" s="46"/>
    </row>
    <row r="45" spans="1:16" x14ac:dyDescent="0.15">
      <c r="A45">
        <v>34</v>
      </c>
      <c r="B45" s="34"/>
      <c r="C45" s="50"/>
      <c r="D45" s="49" t="s">
        <v>131</v>
      </c>
      <c r="E45" s="43">
        <v>33</v>
      </c>
      <c r="F45" s="44">
        <v>10.75</v>
      </c>
      <c r="G45" s="29">
        <f t="shared" si="0"/>
        <v>416.12903225806451</v>
      </c>
      <c r="N45" s="47"/>
      <c r="P45" s="46"/>
    </row>
    <row r="46" spans="1:16" x14ac:dyDescent="0.15">
      <c r="A46">
        <v>35</v>
      </c>
      <c r="B46" s="34"/>
      <c r="C46" s="50"/>
      <c r="D46" s="49" t="s">
        <v>131</v>
      </c>
      <c r="E46" s="43">
        <v>34</v>
      </c>
      <c r="F46" s="44">
        <v>11</v>
      </c>
      <c r="G46" s="29">
        <f t="shared" si="0"/>
        <v>425.80645161290323</v>
      </c>
      <c r="N46" s="47"/>
      <c r="P46" s="46"/>
    </row>
    <row r="47" spans="1:16" x14ac:dyDescent="0.15">
      <c r="A47">
        <v>36</v>
      </c>
      <c r="B47" s="34"/>
      <c r="C47" s="50"/>
      <c r="D47" s="49" t="s">
        <v>131</v>
      </c>
      <c r="E47" s="43">
        <v>35</v>
      </c>
      <c r="F47" s="44">
        <v>12</v>
      </c>
      <c r="G47" s="29">
        <f t="shared" si="0"/>
        <v>464.51612903225805</v>
      </c>
      <c r="N47" s="47"/>
      <c r="P47" s="46"/>
    </row>
    <row r="48" spans="1:16" x14ac:dyDescent="0.15">
      <c r="A48">
        <v>37</v>
      </c>
      <c r="B48" s="34"/>
      <c r="C48" s="50"/>
      <c r="D48" s="49" t="s">
        <v>131</v>
      </c>
      <c r="E48" s="43">
        <v>36</v>
      </c>
      <c r="F48" s="44">
        <v>12.333333333333334</v>
      </c>
      <c r="G48" s="29">
        <f t="shared" si="0"/>
        <v>477.41935483870969</v>
      </c>
      <c r="N48" s="47"/>
      <c r="P48" s="46"/>
    </row>
    <row r="49" spans="1:16" x14ac:dyDescent="0.15">
      <c r="A49">
        <v>38</v>
      </c>
      <c r="B49" s="34"/>
      <c r="C49" s="50"/>
      <c r="D49" s="49" t="s">
        <v>131</v>
      </c>
      <c r="E49" s="43">
        <v>37</v>
      </c>
      <c r="F49" s="44">
        <v>12.666666666666666</v>
      </c>
      <c r="G49" s="29">
        <f t="shared" si="0"/>
        <v>490.32258064516128</v>
      </c>
      <c r="N49" s="47"/>
      <c r="P49" s="46"/>
    </row>
    <row r="50" spans="1:16" x14ac:dyDescent="0.15">
      <c r="A50">
        <v>39</v>
      </c>
      <c r="B50" s="34"/>
      <c r="C50" s="50"/>
      <c r="D50" s="49" t="s">
        <v>131</v>
      </c>
      <c r="E50" s="43">
        <v>38</v>
      </c>
      <c r="F50" s="44">
        <v>13</v>
      </c>
      <c r="G50" s="29">
        <f t="shared" si="0"/>
        <v>503.22580645161293</v>
      </c>
      <c r="N50" s="47"/>
      <c r="P50" s="46"/>
    </row>
    <row r="51" spans="1:16" x14ac:dyDescent="0.15">
      <c r="A51">
        <v>40</v>
      </c>
      <c r="B51" s="34"/>
      <c r="C51" s="50"/>
      <c r="D51" s="49" t="s">
        <v>131</v>
      </c>
      <c r="E51" s="43">
        <v>39</v>
      </c>
      <c r="F51" s="44">
        <v>15</v>
      </c>
      <c r="G51" s="29">
        <f t="shared" si="0"/>
        <v>580.64516129032256</v>
      </c>
      <c r="N51" s="47"/>
      <c r="P51" s="46"/>
    </row>
    <row r="52" spans="1:16" x14ac:dyDescent="0.15">
      <c r="A52">
        <v>41</v>
      </c>
      <c r="B52" s="34"/>
      <c r="C52" s="50"/>
      <c r="D52" s="49" t="s">
        <v>131</v>
      </c>
      <c r="E52" s="43">
        <v>40</v>
      </c>
      <c r="F52" s="44">
        <v>16</v>
      </c>
      <c r="G52" s="29">
        <f t="shared" si="0"/>
        <v>619.35483870967744</v>
      </c>
      <c r="N52" s="47"/>
      <c r="P52" s="46"/>
    </row>
    <row r="53" spans="1:16" x14ac:dyDescent="0.15">
      <c r="A53">
        <v>42</v>
      </c>
      <c r="B53" s="34"/>
      <c r="C53" s="50"/>
      <c r="D53" s="49" t="s">
        <v>131</v>
      </c>
      <c r="E53" s="43">
        <v>41</v>
      </c>
      <c r="F53" s="44">
        <v>16.5</v>
      </c>
      <c r="G53" s="29">
        <f t="shared" si="0"/>
        <v>638.70967741935488</v>
      </c>
      <c r="N53" s="47"/>
      <c r="P53" s="46"/>
    </row>
    <row r="54" spans="1:16" x14ac:dyDescent="0.15">
      <c r="A54">
        <v>43</v>
      </c>
      <c r="B54" s="34"/>
      <c r="C54" s="50"/>
      <c r="D54" s="49" t="s">
        <v>131</v>
      </c>
      <c r="E54" s="43">
        <v>42</v>
      </c>
      <c r="F54" s="44">
        <v>17</v>
      </c>
      <c r="G54" s="29">
        <f t="shared" si="0"/>
        <v>658.06451612903231</v>
      </c>
      <c r="N54" s="47"/>
      <c r="P54" s="46"/>
    </row>
    <row r="55" spans="1:16" x14ac:dyDescent="0.15">
      <c r="A55">
        <v>44</v>
      </c>
      <c r="B55" s="34"/>
      <c r="C55" s="50"/>
      <c r="D55" s="49" t="s">
        <v>131</v>
      </c>
      <c r="E55" s="43">
        <v>43</v>
      </c>
      <c r="F55" s="44">
        <v>18</v>
      </c>
      <c r="G55" s="29">
        <f t="shared" si="0"/>
        <v>696.77419354838707</v>
      </c>
      <c r="N55" s="47"/>
      <c r="P55" s="46"/>
    </row>
    <row r="56" spans="1:16" x14ac:dyDescent="0.15">
      <c r="A56">
        <v>45</v>
      </c>
      <c r="B56" s="34"/>
      <c r="C56" s="50"/>
      <c r="D56" s="49" t="s">
        <v>131</v>
      </c>
      <c r="E56" s="43">
        <v>44</v>
      </c>
      <c r="F56" s="44">
        <v>18.125</v>
      </c>
      <c r="G56" s="29">
        <f t="shared" si="0"/>
        <v>701.61290322580646</v>
      </c>
      <c r="N56" s="47"/>
      <c r="P56" s="46"/>
    </row>
    <row r="57" spans="1:16" x14ac:dyDescent="0.15">
      <c r="A57">
        <v>46</v>
      </c>
      <c r="B57" s="34"/>
      <c r="C57" s="50"/>
      <c r="D57" s="49" t="s">
        <v>131</v>
      </c>
      <c r="E57" s="43">
        <v>45</v>
      </c>
      <c r="F57" s="44">
        <v>18.25</v>
      </c>
      <c r="G57" s="29">
        <f t="shared" si="0"/>
        <v>706.45161290322585</v>
      </c>
      <c r="N57" s="47"/>
      <c r="P57" s="46"/>
    </row>
    <row r="58" spans="1:16" x14ac:dyDescent="0.15">
      <c r="A58">
        <v>47</v>
      </c>
      <c r="B58" s="34"/>
      <c r="C58" s="50"/>
      <c r="D58" s="49" t="s">
        <v>131</v>
      </c>
      <c r="E58" s="43">
        <v>46</v>
      </c>
      <c r="F58" s="44">
        <v>18.375</v>
      </c>
      <c r="G58" s="29">
        <f t="shared" si="0"/>
        <v>711.29032258064512</v>
      </c>
      <c r="N58" s="47"/>
      <c r="P58" s="46"/>
    </row>
    <row r="59" spans="1:16" x14ac:dyDescent="0.15">
      <c r="A59">
        <v>48</v>
      </c>
      <c r="B59" s="34"/>
      <c r="C59" s="50"/>
      <c r="D59" s="49" t="s">
        <v>131</v>
      </c>
      <c r="E59" s="43">
        <v>47</v>
      </c>
      <c r="F59" s="44">
        <v>18.5</v>
      </c>
      <c r="G59" s="29">
        <f t="shared" si="0"/>
        <v>716.12903225806451</v>
      </c>
      <c r="N59" s="47"/>
      <c r="P59" s="46"/>
    </row>
    <row r="60" spans="1:16" x14ac:dyDescent="0.15">
      <c r="A60">
        <v>49</v>
      </c>
      <c r="B60" s="34"/>
      <c r="C60" s="50"/>
      <c r="D60" s="49" t="s">
        <v>131</v>
      </c>
      <c r="E60" s="43">
        <v>48</v>
      </c>
      <c r="F60" s="44">
        <v>18.625</v>
      </c>
      <c r="G60" s="29">
        <f t="shared" si="0"/>
        <v>720.9677419354839</v>
      </c>
      <c r="N60" s="47"/>
      <c r="P60" s="46"/>
    </row>
    <row r="61" spans="1:16" x14ac:dyDescent="0.15">
      <c r="A61">
        <v>50</v>
      </c>
      <c r="B61" s="34"/>
      <c r="C61" s="50"/>
      <c r="D61" s="49" t="s">
        <v>131</v>
      </c>
      <c r="E61" s="43">
        <v>49</v>
      </c>
      <c r="F61" s="44">
        <v>18.75</v>
      </c>
      <c r="G61" s="29">
        <f t="shared" si="0"/>
        <v>725.80645161290317</v>
      </c>
      <c r="N61" s="47"/>
      <c r="P61" s="46"/>
    </row>
    <row r="62" spans="1:16" x14ac:dyDescent="0.15">
      <c r="A62">
        <v>51</v>
      </c>
      <c r="B62" s="34"/>
      <c r="C62" s="50"/>
      <c r="D62" s="49" t="s">
        <v>131</v>
      </c>
      <c r="E62" s="43">
        <v>50</v>
      </c>
      <c r="F62" s="44">
        <v>18.875</v>
      </c>
      <c r="G62" s="29">
        <f t="shared" si="0"/>
        <v>730.64516129032256</v>
      </c>
      <c r="N62" s="47"/>
      <c r="P62" s="46"/>
    </row>
    <row r="63" spans="1:16" x14ac:dyDescent="0.15">
      <c r="A63">
        <v>52</v>
      </c>
      <c r="B63" s="34"/>
      <c r="C63" s="50"/>
      <c r="D63" s="49" t="s">
        <v>131</v>
      </c>
      <c r="E63" s="43">
        <v>51</v>
      </c>
      <c r="F63" s="44">
        <v>19</v>
      </c>
      <c r="G63" s="29">
        <f t="shared" si="0"/>
        <v>735.48387096774195</v>
      </c>
      <c r="N63" s="47"/>
      <c r="P63" s="46"/>
    </row>
    <row r="64" spans="1:16" x14ac:dyDescent="0.15">
      <c r="A64">
        <v>53</v>
      </c>
      <c r="B64" s="34"/>
      <c r="C64" s="50"/>
      <c r="D64" s="49" t="s">
        <v>131</v>
      </c>
      <c r="E64" s="43">
        <v>52</v>
      </c>
      <c r="F64" s="44">
        <v>19.111111111111111</v>
      </c>
      <c r="G64" s="29">
        <f t="shared" si="0"/>
        <v>739.78494623655911</v>
      </c>
      <c r="N64" s="47"/>
      <c r="P64" s="46"/>
    </row>
    <row r="65" spans="1:16" x14ac:dyDescent="0.15">
      <c r="A65">
        <v>54</v>
      </c>
      <c r="B65" s="34"/>
      <c r="C65" s="50"/>
      <c r="D65" s="49" t="s">
        <v>131</v>
      </c>
      <c r="E65" s="43">
        <v>53</v>
      </c>
      <c r="F65" s="44">
        <v>19.222222222222221</v>
      </c>
      <c r="G65" s="29">
        <f t="shared" si="0"/>
        <v>744.08602150537627</v>
      </c>
      <c r="N65" s="47"/>
      <c r="P65" s="46"/>
    </row>
    <row r="66" spans="1:16" x14ac:dyDescent="0.15">
      <c r="A66">
        <v>55</v>
      </c>
      <c r="B66" s="34"/>
      <c r="C66" s="50"/>
      <c r="D66" s="49" t="s">
        <v>131</v>
      </c>
      <c r="E66" s="43">
        <v>54</v>
      </c>
      <c r="F66" s="44">
        <v>19.333333333333332</v>
      </c>
      <c r="G66" s="29">
        <f t="shared" si="0"/>
        <v>748.38709677419354</v>
      </c>
      <c r="N66" s="47"/>
      <c r="P66" s="46"/>
    </row>
    <row r="67" spans="1:16" x14ac:dyDescent="0.15">
      <c r="A67">
        <v>56</v>
      </c>
      <c r="B67" s="34"/>
      <c r="C67" s="50"/>
      <c r="D67" s="49" t="s">
        <v>131</v>
      </c>
      <c r="E67" s="43">
        <v>55</v>
      </c>
      <c r="F67" s="44">
        <v>19.444444444444443</v>
      </c>
      <c r="G67" s="29">
        <f t="shared" si="0"/>
        <v>752.6881720430107</v>
      </c>
      <c r="N67" s="47"/>
      <c r="P67" s="46"/>
    </row>
    <row r="68" spans="1:16" x14ac:dyDescent="0.15">
      <c r="A68">
        <v>57</v>
      </c>
      <c r="B68" s="34"/>
      <c r="C68" s="50"/>
      <c r="D68" s="49" t="s">
        <v>131</v>
      </c>
      <c r="E68" s="43">
        <v>56</v>
      </c>
      <c r="F68" s="44">
        <v>19.555555555555557</v>
      </c>
      <c r="G68" s="29">
        <f t="shared" si="0"/>
        <v>756.98924731182797</v>
      </c>
      <c r="N68" s="47"/>
      <c r="P68" s="46"/>
    </row>
    <row r="69" spans="1:16" x14ac:dyDescent="0.15">
      <c r="A69">
        <v>58</v>
      </c>
      <c r="B69" s="34"/>
      <c r="C69" s="50"/>
      <c r="D69" s="49" t="s">
        <v>131</v>
      </c>
      <c r="E69" s="43">
        <v>57</v>
      </c>
      <c r="F69" s="44">
        <v>19.666666666666668</v>
      </c>
      <c r="G69" s="29">
        <f t="shared" si="0"/>
        <v>761.29032258064524</v>
      </c>
      <c r="N69" s="47"/>
      <c r="P69" s="46"/>
    </row>
    <row r="70" spans="1:16" x14ac:dyDescent="0.15">
      <c r="A70">
        <v>59</v>
      </c>
      <c r="B70" s="34"/>
      <c r="C70" s="50"/>
      <c r="D70" s="49" t="s">
        <v>131</v>
      </c>
      <c r="E70" s="43">
        <v>58</v>
      </c>
      <c r="F70" s="44">
        <v>19.777777777777779</v>
      </c>
      <c r="G70" s="29">
        <f t="shared" si="0"/>
        <v>765.5913978494624</v>
      </c>
      <c r="N70" s="47"/>
      <c r="P70" s="46"/>
    </row>
    <row r="71" spans="1:16" x14ac:dyDescent="0.15">
      <c r="A71">
        <v>60</v>
      </c>
      <c r="B71" s="34"/>
      <c r="C71" s="50"/>
      <c r="D71" s="49" t="s">
        <v>131</v>
      </c>
      <c r="E71" s="43">
        <v>59</v>
      </c>
      <c r="F71" s="44">
        <v>19.888888888888889</v>
      </c>
      <c r="G71" s="29">
        <f t="shared" si="0"/>
        <v>769.89247311827955</v>
      </c>
      <c r="N71" s="47"/>
      <c r="P71" s="46"/>
    </row>
    <row r="72" spans="1:16" x14ac:dyDescent="0.15">
      <c r="A72">
        <v>61</v>
      </c>
      <c r="B72" s="34"/>
      <c r="C72" s="50"/>
      <c r="D72" s="49" t="s">
        <v>131</v>
      </c>
      <c r="E72" s="43">
        <v>60</v>
      </c>
      <c r="F72" s="44">
        <v>20</v>
      </c>
      <c r="G72" s="29">
        <f t="shared" si="0"/>
        <v>774.19354838709683</v>
      </c>
      <c r="N72" s="47"/>
      <c r="P72" s="46"/>
    </row>
    <row r="73" spans="1:16" x14ac:dyDescent="0.15">
      <c r="A73">
        <v>62</v>
      </c>
      <c r="B73" s="34"/>
      <c r="C73" s="50"/>
      <c r="D73" s="49" t="s">
        <v>131</v>
      </c>
      <c r="E73" s="43">
        <v>61</v>
      </c>
      <c r="F73" s="44">
        <v>20.166666666666668</v>
      </c>
      <c r="G73" s="29">
        <f t="shared" si="0"/>
        <v>780.64516129032268</v>
      </c>
      <c r="N73" s="47"/>
      <c r="P73" s="46"/>
    </row>
    <row r="74" spans="1:16" x14ac:dyDescent="0.15">
      <c r="A74">
        <v>63</v>
      </c>
      <c r="B74" s="34"/>
      <c r="C74" s="50"/>
      <c r="D74" s="49" t="s">
        <v>131</v>
      </c>
      <c r="E74" s="43">
        <v>62</v>
      </c>
      <c r="F74" s="44">
        <v>20.333333333333332</v>
      </c>
      <c r="G74" s="29">
        <f t="shared" si="0"/>
        <v>787.0967741935483</v>
      </c>
      <c r="N74" s="47"/>
      <c r="P74" s="46"/>
    </row>
    <row r="75" spans="1:16" x14ac:dyDescent="0.15">
      <c r="A75">
        <v>64</v>
      </c>
      <c r="B75" s="34"/>
      <c r="C75" s="50"/>
      <c r="D75" s="49" t="s">
        <v>131</v>
      </c>
      <c r="E75" s="43">
        <v>63</v>
      </c>
      <c r="F75" s="44">
        <v>20.5</v>
      </c>
      <c r="G75" s="29">
        <f t="shared" si="0"/>
        <v>793.54838709677415</v>
      </c>
      <c r="N75" s="47"/>
      <c r="P75" s="46"/>
    </row>
    <row r="76" spans="1:16" x14ac:dyDescent="0.15">
      <c r="A76">
        <v>65</v>
      </c>
      <c r="B76" s="34"/>
      <c r="C76" s="50"/>
      <c r="D76" s="49" t="s">
        <v>131</v>
      </c>
      <c r="E76" s="43">
        <v>64</v>
      </c>
      <c r="F76" s="44">
        <v>20.666666666666668</v>
      </c>
      <c r="G76" s="29">
        <f t="shared" si="0"/>
        <v>800</v>
      </c>
      <c r="N76" s="47"/>
      <c r="P76" s="46"/>
    </row>
    <row r="77" spans="1:16" x14ac:dyDescent="0.15">
      <c r="A77">
        <v>66</v>
      </c>
      <c r="B77" s="34"/>
      <c r="C77" s="50"/>
      <c r="D77" s="49" t="s">
        <v>131</v>
      </c>
      <c r="E77" s="43">
        <v>65</v>
      </c>
      <c r="F77" s="44">
        <v>20.833333333333332</v>
      </c>
      <c r="G77" s="29">
        <f t="shared" ref="G77:G104" si="1">+F77/F$3</f>
        <v>806.45161290322574</v>
      </c>
      <c r="N77" s="47"/>
      <c r="P77" s="46"/>
    </row>
    <row r="78" spans="1:16" x14ac:dyDescent="0.15">
      <c r="A78">
        <v>67</v>
      </c>
      <c r="B78" s="34"/>
      <c r="C78" s="50"/>
      <c r="D78" s="49" t="s">
        <v>131</v>
      </c>
      <c r="E78" s="43">
        <v>66</v>
      </c>
      <c r="F78" s="44">
        <v>21</v>
      </c>
      <c r="G78" s="29">
        <f t="shared" si="1"/>
        <v>812.90322580645159</v>
      </c>
      <c r="N78" s="47"/>
      <c r="P78" s="46"/>
    </row>
    <row r="79" spans="1:16" x14ac:dyDescent="0.15">
      <c r="A79">
        <v>68</v>
      </c>
      <c r="B79" s="34"/>
      <c r="C79" s="50"/>
      <c r="D79" s="49" t="s">
        <v>131</v>
      </c>
      <c r="E79" s="43">
        <v>67</v>
      </c>
      <c r="F79" s="44">
        <v>21.142857142857142</v>
      </c>
      <c r="G79" s="29">
        <f t="shared" si="1"/>
        <v>818.43317972350223</v>
      </c>
      <c r="N79" s="47"/>
      <c r="P79" s="46"/>
    </row>
    <row r="80" spans="1:16" x14ac:dyDescent="0.15">
      <c r="A80">
        <v>69</v>
      </c>
      <c r="B80" s="34"/>
      <c r="C80" s="50"/>
      <c r="D80" s="49" t="s">
        <v>131</v>
      </c>
      <c r="E80" s="43">
        <v>68</v>
      </c>
      <c r="F80" s="44">
        <v>21.285714285714285</v>
      </c>
      <c r="G80" s="29">
        <f t="shared" si="1"/>
        <v>823.963133640553</v>
      </c>
      <c r="N80" s="47"/>
      <c r="P80" s="46"/>
    </row>
    <row r="81" spans="1:16" x14ac:dyDescent="0.15">
      <c r="A81">
        <v>70</v>
      </c>
      <c r="B81" s="34"/>
      <c r="C81" s="50"/>
      <c r="D81" s="49" t="s">
        <v>131</v>
      </c>
      <c r="E81" s="43">
        <v>69</v>
      </c>
      <c r="F81" s="44">
        <v>21.428571428571427</v>
      </c>
      <c r="G81" s="29">
        <f t="shared" si="1"/>
        <v>829.49308755760364</v>
      </c>
      <c r="N81" s="47"/>
      <c r="P81" s="46"/>
    </row>
    <row r="82" spans="1:16" x14ac:dyDescent="0.15">
      <c r="A82">
        <v>71</v>
      </c>
      <c r="B82" s="34"/>
      <c r="C82" s="50"/>
      <c r="D82" s="49" t="s">
        <v>131</v>
      </c>
      <c r="E82" s="43">
        <v>70</v>
      </c>
      <c r="F82" s="44">
        <v>21.571428571428573</v>
      </c>
      <c r="G82" s="29">
        <f t="shared" si="1"/>
        <v>835.02304147465441</v>
      </c>
      <c r="N82" s="47"/>
      <c r="P82" s="46"/>
    </row>
    <row r="83" spans="1:16" x14ac:dyDescent="0.15">
      <c r="A83">
        <v>72</v>
      </c>
      <c r="B83" s="34"/>
      <c r="C83" s="50"/>
      <c r="D83" s="49" t="s">
        <v>131</v>
      </c>
      <c r="E83" s="43">
        <v>71</v>
      </c>
      <c r="F83" s="44">
        <v>21.714285714285715</v>
      </c>
      <c r="G83" s="29">
        <f t="shared" si="1"/>
        <v>840.55299539170517</v>
      </c>
      <c r="N83" s="47"/>
      <c r="P83" s="46"/>
    </row>
    <row r="84" spans="1:16" x14ac:dyDescent="0.15">
      <c r="A84">
        <v>73</v>
      </c>
      <c r="B84" s="34"/>
      <c r="C84" s="50"/>
      <c r="D84" s="49" t="s">
        <v>131</v>
      </c>
      <c r="E84" s="43">
        <v>72</v>
      </c>
      <c r="F84" s="44">
        <v>21.857142857142858</v>
      </c>
      <c r="G84" s="29">
        <f t="shared" si="1"/>
        <v>846.08294930875581</v>
      </c>
      <c r="N84" s="47"/>
      <c r="P84" s="46"/>
    </row>
    <row r="85" spans="1:16" x14ac:dyDescent="0.15">
      <c r="A85">
        <v>74</v>
      </c>
      <c r="B85" s="34"/>
      <c r="C85" s="50"/>
      <c r="D85" s="49" t="s">
        <v>131</v>
      </c>
      <c r="E85" s="43">
        <v>73</v>
      </c>
      <c r="F85" s="44">
        <v>22</v>
      </c>
      <c r="G85" s="29">
        <f t="shared" si="1"/>
        <v>851.61290322580646</v>
      </c>
      <c r="N85" s="47"/>
      <c r="P85" s="46"/>
    </row>
    <row r="86" spans="1:16" x14ac:dyDescent="0.15">
      <c r="A86">
        <v>75</v>
      </c>
      <c r="B86" s="34"/>
      <c r="C86" s="50"/>
      <c r="D86" s="49" t="s">
        <v>131</v>
      </c>
      <c r="E86" s="43">
        <v>74</v>
      </c>
      <c r="F86" s="44">
        <v>22.25</v>
      </c>
      <c r="G86" s="29">
        <f t="shared" si="1"/>
        <v>861.29032258064512</v>
      </c>
      <c r="N86" s="47"/>
      <c r="P86" s="46"/>
    </row>
    <row r="87" spans="1:16" x14ac:dyDescent="0.15">
      <c r="A87">
        <v>76</v>
      </c>
      <c r="B87" s="34"/>
      <c r="C87" s="50"/>
      <c r="D87" s="49" t="s">
        <v>131</v>
      </c>
      <c r="E87" s="43">
        <v>75</v>
      </c>
      <c r="F87" s="44">
        <v>22.5</v>
      </c>
      <c r="G87" s="29">
        <f t="shared" si="1"/>
        <v>870.9677419354839</v>
      </c>
      <c r="N87" s="47"/>
      <c r="P87" s="46"/>
    </row>
    <row r="88" spans="1:16" x14ac:dyDescent="0.15">
      <c r="A88">
        <v>77</v>
      </c>
      <c r="B88" s="34"/>
      <c r="C88" s="50"/>
      <c r="D88" s="49" t="s">
        <v>131</v>
      </c>
      <c r="E88" s="43">
        <v>76</v>
      </c>
      <c r="F88" s="44">
        <v>22.75</v>
      </c>
      <c r="G88" s="29">
        <f t="shared" si="1"/>
        <v>880.64516129032256</v>
      </c>
      <c r="N88" s="47"/>
      <c r="P88" s="46"/>
    </row>
    <row r="89" spans="1:16" x14ac:dyDescent="0.15">
      <c r="A89">
        <v>78</v>
      </c>
      <c r="B89" s="34"/>
      <c r="C89" s="50"/>
      <c r="D89" s="49" t="s">
        <v>131</v>
      </c>
      <c r="E89" s="43">
        <v>77</v>
      </c>
      <c r="F89" s="44">
        <v>23</v>
      </c>
      <c r="G89" s="29">
        <f t="shared" si="1"/>
        <v>890.32258064516134</v>
      </c>
      <c r="N89" s="47"/>
      <c r="P89" s="46"/>
    </row>
    <row r="90" spans="1:16" x14ac:dyDescent="0.15">
      <c r="A90">
        <v>79</v>
      </c>
      <c r="B90" s="34"/>
      <c r="C90" s="50"/>
      <c r="D90" s="49" t="s">
        <v>131</v>
      </c>
      <c r="E90" s="43">
        <v>78</v>
      </c>
      <c r="F90" s="44">
        <v>23.333333333333332</v>
      </c>
      <c r="G90" s="29">
        <f t="shared" si="1"/>
        <v>903.22580645161281</v>
      </c>
      <c r="N90" s="47"/>
      <c r="P90" s="46"/>
    </row>
    <row r="91" spans="1:16" x14ac:dyDescent="0.15">
      <c r="A91">
        <v>80</v>
      </c>
      <c r="B91" s="34"/>
      <c r="C91" s="50"/>
      <c r="D91" s="49" t="s">
        <v>131</v>
      </c>
      <c r="E91" s="43">
        <v>79</v>
      </c>
      <c r="F91" s="44">
        <v>23.666666666666668</v>
      </c>
      <c r="G91" s="29">
        <f t="shared" si="1"/>
        <v>916.12903225806451</v>
      </c>
      <c r="N91" s="47"/>
      <c r="P91" s="46"/>
    </row>
    <row r="92" spans="1:16" x14ac:dyDescent="0.15">
      <c r="A92">
        <v>81</v>
      </c>
      <c r="B92" s="34"/>
      <c r="C92" s="50"/>
      <c r="D92" s="49" t="s">
        <v>131</v>
      </c>
      <c r="E92" s="43">
        <v>80</v>
      </c>
      <c r="F92" s="44">
        <v>24</v>
      </c>
      <c r="G92" s="29">
        <f t="shared" si="1"/>
        <v>929.0322580645161</v>
      </c>
      <c r="N92" s="47"/>
      <c r="P92" s="46"/>
    </row>
    <row r="93" spans="1:16" x14ac:dyDescent="0.15">
      <c r="A93">
        <v>82</v>
      </c>
      <c r="B93" s="34"/>
      <c r="C93" s="50"/>
      <c r="D93" s="49" t="s">
        <v>131</v>
      </c>
      <c r="E93" s="43">
        <v>81</v>
      </c>
      <c r="F93" s="44">
        <v>25.25</v>
      </c>
      <c r="G93" s="29">
        <f t="shared" si="1"/>
        <v>977.41935483870964</v>
      </c>
      <c r="N93" s="47"/>
      <c r="P93" s="46"/>
    </row>
    <row r="94" spans="1:16" x14ac:dyDescent="0.15">
      <c r="A94">
        <v>83</v>
      </c>
      <c r="B94" s="34"/>
      <c r="C94" s="50"/>
      <c r="D94" s="49" t="s">
        <v>131</v>
      </c>
      <c r="E94" s="43">
        <v>82</v>
      </c>
      <c r="F94" s="44">
        <v>25.5</v>
      </c>
      <c r="G94" s="29">
        <f t="shared" si="1"/>
        <v>987.09677419354841</v>
      </c>
      <c r="N94" s="47"/>
      <c r="P94" s="46"/>
    </row>
    <row r="95" spans="1:16" x14ac:dyDescent="0.15">
      <c r="A95">
        <v>84</v>
      </c>
      <c r="B95" s="34"/>
      <c r="C95" s="50"/>
      <c r="D95" s="49" t="s">
        <v>131</v>
      </c>
      <c r="E95" s="43">
        <v>83</v>
      </c>
      <c r="F95" s="44">
        <v>25.75</v>
      </c>
      <c r="G95" s="29">
        <f t="shared" si="1"/>
        <v>996.77419354838707</v>
      </c>
      <c r="N95" s="47"/>
      <c r="P95" s="46"/>
    </row>
    <row r="96" spans="1:16" x14ac:dyDescent="0.15">
      <c r="A96">
        <v>85</v>
      </c>
      <c r="B96" s="34"/>
      <c r="C96" s="50"/>
      <c r="D96" s="49" t="s">
        <v>131</v>
      </c>
      <c r="E96" s="43">
        <v>84</v>
      </c>
      <c r="F96" s="44">
        <v>26</v>
      </c>
      <c r="G96" s="29">
        <f t="shared" si="1"/>
        <v>1006.4516129032259</v>
      </c>
      <c r="N96" s="47"/>
      <c r="P96" s="46"/>
    </row>
    <row r="97" spans="1:16" x14ac:dyDescent="0.15">
      <c r="A97">
        <v>86</v>
      </c>
      <c r="B97" s="34"/>
      <c r="C97" s="50"/>
      <c r="D97" s="49" t="s">
        <v>131</v>
      </c>
      <c r="E97" s="43">
        <v>85</v>
      </c>
      <c r="F97" s="44">
        <v>27</v>
      </c>
      <c r="G97" s="29">
        <f t="shared" si="1"/>
        <v>1045.1612903225807</v>
      </c>
      <c r="N97" s="47"/>
      <c r="P97" s="46"/>
    </row>
    <row r="98" spans="1:16" x14ac:dyDescent="0.15">
      <c r="A98">
        <v>87</v>
      </c>
      <c r="B98" s="34"/>
      <c r="C98" s="50"/>
      <c r="D98" s="49" t="s">
        <v>131</v>
      </c>
      <c r="E98" s="43">
        <v>86</v>
      </c>
      <c r="F98" s="44">
        <v>28.5</v>
      </c>
      <c r="G98" s="29">
        <f t="shared" si="1"/>
        <v>1103.2258064516129</v>
      </c>
      <c r="N98" s="47"/>
      <c r="P98" s="46"/>
    </row>
    <row r="99" spans="1:16" x14ac:dyDescent="0.15">
      <c r="A99">
        <v>88</v>
      </c>
      <c r="B99" s="34"/>
      <c r="C99" s="50"/>
      <c r="D99" s="49" t="s">
        <v>131</v>
      </c>
      <c r="E99" s="43">
        <v>87</v>
      </c>
      <c r="F99" s="44">
        <v>29</v>
      </c>
      <c r="G99" s="29">
        <f t="shared" si="1"/>
        <v>1122.5806451612902</v>
      </c>
      <c r="N99" s="47"/>
      <c r="P99" s="46"/>
    </row>
    <row r="100" spans="1:16" x14ac:dyDescent="0.15">
      <c r="A100">
        <v>89</v>
      </c>
      <c r="B100" s="34"/>
      <c r="C100" s="50"/>
      <c r="D100" s="49" t="s">
        <v>131</v>
      </c>
      <c r="E100" s="43">
        <v>88</v>
      </c>
      <c r="F100" s="44">
        <v>29.5</v>
      </c>
      <c r="G100" s="29">
        <f t="shared" si="1"/>
        <v>1141.9354838709678</v>
      </c>
      <c r="N100" s="47"/>
      <c r="P100" s="46"/>
    </row>
    <row r="101" spans="1:16" x14ac:dyDescent="0.15">
      <c r="A101">
        <v>90</v>
      </c>
      <c r="B101" s="34"/>
      <c r="C101" s="50"/>
      <c r="D101" s="49" t="s">
        <v>131</v>
      </c>
      <c r="E101" s="43">
        <v>89</v>
      </c>
      <c r="F101" s="44">
        <v>30</v>
      </c>
      <c r="G101" s="29">
        <f t="shared" si="1"/>
        <v>1161.2903225806451</v>
      </c>
      <c r="N101" s="47"/>
      <c r="P101" s="46"/>
    </row>
    <row r="102" spans="1:16" x14ac:dyDescent="0.15">
      <c r="A102">
        <v>91</v>
      </c>
      <c r="B102" s="34"/>
      <c r="C102" s="50"/>
      <c r="D102" s="49" t="s">
        <v>131</v>
      </c>
      <c r="E102" s="43">
        <v>90</v>
      </c>
      <c r="F102" s="44">
        <v>30.333333333333332</v>
      </c>
      <c r="G102" s="29">
        <f t="shared" si="1"/>
        <v>1174.1935483870968</v>
      </c>
      <c r="N102" s="47"/>
      <c r="P102" s="46"/>
    </row>
    <row r="103" spans="1:16" x14ac:dyDescent="0.15">
      <c r="A103">
        <v>92</v>
      </c>
      <c r="B103" s="34"/>
      <c r="C103" s="50"/>
      <c r="D103" s="49" t="s">
        <v>131</v>
      </c>
      <c r="E103" s="43">
        <v>91</v>
      </c>
      <c r="F103" s="44">
        <v>30.666666666666668</v>
      </c>
      <c r="G103" s="29">
        <f t="shared" si="1"/>
        <v>1187.0967741935485</v>
      </c>
      <c r="N103" s="47"/>
      <c r="P103" s="46"/>
    </row>
    <row r="104" spans="1:16" x14ac:dyDescent="0.15">
      <c r="A104">
        <v>93</v>
      </c>
      <c r="B104" s="34"/>
      <c r="C104" s="50"/>
      <c r="D104" s="49" t="s">
        <v>131</v>
      </c>
      <c r="E104" s="43">
        <v>92</v>
      </c>
      <c r="F104" s="44">
        <v>31</v>
      </c>
      <c r="G104" s="29">
        <f t="shared" si="1"/>
        <v>1200</v>
      </c>
      <c r="N104" s="47"/>
      <c r="P104" s="46"/>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topLeftCell="A3" zoomScale="117" zoomScaleNormal="100" workbookViewId="0">
      <selection activeCell="P23" sqref="P23"/>
    </sheetView>
  </sheetViews>
  <sheetFormatPr baseColWidth="10" defaultColWidth="8.83203125" defaultRowHeight="13" x14ac:dyDescent="0.15"/>
  <cols>
    <col min="1" max="1" width="5.83203125" customWidth="1"/>
    <col min="2" max="2" width="9.5" customWidth="1"/>
    <col min="3" max="3" width="8.6640625" customWidth="1"/>
    <col min="5" max="5" width="9.33203125" customWidth="1"/>
    <col min="9" max="9" width="7.1640625" customWidth="1"/>
  </cols>
  <sheetData>
    <row r="3" spans="1:15" ht="21" x14ac:dyDescent="0.3">
      <c r="B3" s="32" t="str">
        <f>CONCATENATE("Certification Testing Results for Project ", Project!C2, ", System ", Project!C3, " ",Project!C4)</f>
        <v>Certification Testing Results for Project SENG 637, System Assignment 5 Part 2</v>
      </c>
    </row>
    <row r="4" spans="1:15" x14ac:dyDescent="0.15">
      <c r="A4" s="2"/>
      <c r="B4" s="3"/>
      <c r="D4" s="3"/>
    </row>
    <row r="5" spans="1:15" x14ac:dyDescent="0.15">
      <c r="A5" s="2"/>
      <c r="B5" s="5" t="str">
        <f>CONCATENATE("The FIO is ",'Failure Data'!E2," failures per ",'Failure Data'!E3," ",'Failure Data'!E4,"s")</f>
        <v>The FIO is 1200 failures per 31 intervals</v>
      </c>
      <c r="D5" s="3"/>
      <c r="O5" s="48"/>
    </row>
    <row r="6" spans="1:15" x14ac:dyDescent="0.15">
      <c r="A6" s="2"/>
      <c r="B6" s="3"/>
      <c r="D6" s="3"/>
      <c r="O6" s="46"/>
    </row>
    <row r="7" spans="1:15" x14ac:dyDescent="0.15">
      <c r="A7" s="2"/>
      <c r="B7" s="3"/>
      <c r="D7" s="3"/>
      <c r="O7" s="48"/>
    </row>
    <row r="8" spans="1:15" x14ac:dyDescent="0.15">
      <c r="A8" s="2"/>
      <c r="B8" s="3"/>
      <c r="D8" s="3"/>
      <c r="F8" s="10"/>
      <c r="G8" s="10"/>
      <c r="H8" s="10"/>
      <c r="O8" s="46"/>
    </row>
    <row r="9" spans="1:15" x14ac:dyDescent="0.15">
      <c r="A9" s="2"/>
      <c r="B9" s="3"/>
      <c r="F9" s="3"/>
      <c r="G9" s="3"/>
      <c r="H9" s="3"/>
      <c r="I9" s="3"/>
    </row>
    <row r="10" spans="1:15" x14ac:dyDescent="0.15">
      <c r="A10" s="2"/>
      <c r="B10" s="3"/>
      <c r="F10" s="3"/>
      <c r="G10" s="3"/>
      <c r="H10" s="3"/>
      <c r="I10" s="3"/>
      <c r="O10" s="48"/>
    </row>
    <row r="11" spans="1:15" x14ac:dyDescent="0.15">
      <c r="A11" s="2"/>
      <c r="F11" s="3"/>
      <c r="G11" s="3"/>
      <c r="H11" s="3"/>
      <c r="I11" s="3"/>
    </row>
    <row r="12" spans="1:15" x14ac:dyDescent="0.15">
      <c r="A12" s="2"/>
      <c r="F12" s="3"/>
      <c r="G12" s="3"/>
      <c r="H12" s="3"/>
      <c r="I12" s="3"/>
    </row>
    <row r="13" spans="1:15" x14ac:dyDescent="0.15">
      <c r="A13" s="2"/>
      <c r="F13" s="3"/>
      <c r="G13" s="3"/>
      <c r="H13" s="3"/>
      <c r="I13" s="3"/>
    </row>
    <row r="14" spans="1:15" x14ac:dyDescent="0.15">
      <c r="A14" s="2"/>
      <c r="F14" s="3"/>
      <c r="G14" s="3"/>
      <c r="H14" s="3"/>
      <c r="I14" s="3"/>
    </row>
    <row r="15" spans="1:15" x14ac:dyDescent="0.15">
      <c r="A15" s="2"/>
      <c r="F15" s="3"/>
      <c r="G15" s="3"/>
      <c r="H15" s="3"/>
      <c r="I15" s="3"/>
    </row>
    <row r="16" spans="1:15" x14ac:dyDescent="0.15">
      <c r="A16" s="2"/>
      <c r="F16" s="3"/>
      <c r="G16" s="3"/>
      <c r="H16" s="3"/>
      <c r="I16" s="3"/>
    </row>
    <row r="17" spans="1:19" x14ac:dyDescent="0.15">
      <c r="A17" s="2"/>
      <c r="F17" s="3"/>
      <c r="G17" s="3"/>
      <c r="H17" s="3"/>
      <c r="I17" s="3"/>
    </row>
    <row r="18" spans="1:19" x14ac:dyDescent="0.15">
      <c r="A18" s="2"/>
      <c r="F18" s="3"/>
      <c r="G18" s="3"/>
      <c r="H18" s="3"/>
      <c r="I18" s="3"/>
    </row>
    <row r="19" spans="1:19" x14ac:dyDescent="0.15">
      <c r="A19" s="2"/>
      <c r="F19" s="3"/>
      <c r="G19" s="3"/>
      <c r="H19" s="3"/>
      <c r="I19" s="3"/>
      <c r="O19" s="48"/>
      <c r="S19" s="48"/>
    </row>
    <row r="20" spans="1:19" x14ac:dyDescent="0.15">
      <c r="A20" s="1"/>
      <c r="B20" s="3"/>
      <c r="C20" s="3"/>
      <c r="D20" s="3"/>
      <c r="F20" s="3"/>
      <c r="G20" s="3"/>
      <c r="H20" s="3"/>
      <c r="I20" s="3"/>
    </row>
    <row r="21" spans="1:19" x14ac:dyDescent="0.15">
      <c r="A21" s="1"/>
      <c r="B21" s="3"/>
      <c r="C21" s="3"/>
      <c r="D21" s="3"/>
      <c r="F21" s="3"/>
      <c r="G21" s="3"/>
      <c r="H21" s="3"/>
      <c r="I21" s="3"/>
      <c r="O21" s="48"/>
    </row>
    <row r="22" spans="1:19" x14ac:dyDescent="0.15">
      <c r="A22" s="1"/>
      <c r="B22" s="3"/>
      <c r="C22" s="3"/>
      <c r="D22" s="5"/>
      <c r="F22" s="3"/>
      <c r="G22" s="3"/>
      <c r="H22" s="3"/>
      <c r="I22" s="3"/>
    </row>
    <row r="23" spans="1:19" x14ac:dyDescent="0.15">
      <c r="A23" s="1"/>
      <c r="B23" s="3"/>
      <c r="C23" s="3"/>
      <c r="D23" s="3"/>
      <c r="F23" s="3"/>
      <c r="G23" s="3"/>
      <c r="H23" s="3"/>
      <c r="I23" s="3"/>
    </row>
    <row r="24" spans="1:19" x14ac:dyDescent="0.15">
      <c r="A24" s="1"/>
      <c r="B24" s="3"/>
      <c r="C24" s="3"/>
      <c r="D24" s="3"/>
      <c r="F24" s="3"/>
      <c r="G24" s="3"/>
      <c r="H24" s="3"/>
      <c r="I24" s="3"/>
    </row>
    <row r="25" spans="1:19" x14ac:dyDescent="0.15">
      <c r="A25" s="1"/>
      <c r="B25" s="3"/>
      <c r="C25" s="5"/>
      <c r="D25" s="3"/>
      <c r="F25" s="3"/>
      <c r="G25" s="3"/>
      <c r="H25" s="3"/>
      <c r="I25" s="3"/>
    </row>
    <row r="50" spans="2:2" x14ac:dyDescent="0.15">
      <c r="B50" s="6" t="str">
        <f>CONCATENATE("Each normalized usage unit equals ",'Failure Data'!F3," ",'Failure Data'!F4,"s")</f>
        <v>Each normalized usage unit equals 0,0258333333333333 intervals</v>
      </c>
    </row>
  </sheetData>
  <sheetProtection selectLockedCells="1"/>
  <phoneticPr fontId="4" type="noConversion"/>
  <pageMargins left="0.75" right="0.75" top="1" bottom="1" header="0.5" footer="0.5"/>
  <pageSetup scale="74"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T2894"/>
  <sheetViews>
    <sheetView topLeftCell="A822" workbookViewId="0">
      <selection activeCell="A1630" sqref="A1630:H2878"/>
    </sheetView>
  </sheetViews>
  <sheetFormatPr baseColWidth="10" defaultColWidth="6.6640625" defaultRowHeight="13" x14ac:dyDescent="0.15"/>
  <cols>
    <col min="1" max="1" width="6.6640625" customWidth="1"/>
    <col min="2" max="2" width="13.5" customWidth="1"/>
    <col min="3" max="3" width="6.6640625" customWidth="1"/>
    <col min="4" max="4" width="12.83203125" bestFit="1" customWidth="1"/>
    <col min="5" max="5" width="6.6640625" customWidth="1"/>
    <col min="6" max="6" width="8.33203125" bestFit="1" customWidth="1"/>
    <col min="7" max="7" width="8.6640625" customWidth="1"/>
    <col min="8" max="8" width="8.1640625" customWidth="1"/>
  </cols>
  <sheetData>
    <row r="1" spans="1:9" x14ac:dyDescent="0.15">
      <c r="B1" t="s">
        <v>6</v>
      </c>
      <c r="D1" t="s">
        <v>5</v>
      </c>
    </row>
    <row r="2" spans="1:9" x14ac:dyDescent="0.15">
      <c r="A2" t="s">
        <v>0</v>
      </c>
      <c r="B2" t="s">
        <v>7</v>
      </c>
      <c r="D2" t="s">
        <v>7</v>
      </c>
    </row>
    <row r="3" spans="1:9" x14ac:dyDescent="0.15">
      <c r="A3" t="s">
        <v>2</v>
      </c>
      <c r="B3" t="s">
        <v>1</v>
      </c>
      <c r="D3" t="s">
        <v>1</v>
      </c>
    </row>
    <row r="4" spans="1:9" x14ac:dyDescent="0.15">
      <c r="A4" s="4" t="s">
        <v>3</v>
      </c>
      <c r="B4" s="5">
        <f>RejectSlope</f>
        <v>0.25090348537199364</v>
      </c>
      <c r="C4" s="5"/>
      <c r="D4" s="5">
        <f>AcceptSlope</f>
        <v>0.2509034853719937</v>
      </c>
    </row>
    <row r="5" spans="1:9" x14ac:dyDescent="0.15">
      <c r="A5" s="4" t="s">
        <v>4</v>
      </c>
      <c r="B5" s="7">
        <f>RejectYint</f>
        <v>3.1699250014423126</v>
      </c>
      <c r="C5" s="6"/>
      <c r="D5" s="7">
        <f>AcceptYint</f>
        <v>-3.1699250014423122</v>
      </c>
    </row>
    <row r="6" spans="1:9" x14ac:dyDescent="0.15">
      <c r="A6" s="4" t="s">
        <v>8</v>
      </c>
      <c r="B6" s="7">
        <v>0</v>
      </c>
      <c r="C6" s="6"/>
      <c r="D6" s="7">
        <f>xmin</f>
        <v>0</v>
      </c>
    </row>
    <row r="7" spans="1:9" x14ac:dyDescent="0.15">
      <c r="A7" s="4" t="s">
        <v>9</v>
      </c>
      <c r="B7" s="7">
        <v>100</v>
      </c>
      <c r="C7" s="6"/>
      <c r="D7" s="7">
        <f>xmax</f>
        <v>100</v>
      </c>
    </row>
    <row r="8" spans="1:9" x14ac:dyDescent="0.15">
      <c r="A8" s="4"/>
      <c r="B8" s="6"/>
      <c r="C8" s="6"/>
      <c r="D8" s="7"/>
      <c r="F8" s="10" t="s">
        <v>10</v>
      </c>
      <c r="G8" s="10" t="s">
        <v>11</v>
      </c>
      <c r="H8" s="10" t="s">
        <v>12</v>
      </c>
    </row>
    <row r="9" spans="1:9" x14ac:dyDescent="0.15">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15">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15">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15">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15">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15">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15">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15">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15">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15">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15">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15">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15">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15">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15">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15">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15">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15">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15">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15">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15">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15">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15">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15">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15">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15">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15">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15">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15">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15">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15">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15">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15">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15">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15">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15">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15">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15">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15">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15">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15">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15">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15">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15">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15">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15">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15">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15">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15">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15">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15">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15">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15">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15">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15">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15">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15">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15">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15">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15">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15">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15">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15">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15">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15">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15">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15">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15">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15">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15">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15">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15">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15">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15">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15">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15">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15">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15">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15">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15">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15">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15">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15">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15">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15">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15">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15">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15">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15">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15">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15">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15">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15">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15">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15">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15">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15">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15">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15">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15">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15">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15">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15">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15">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15">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15">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15">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15">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15">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15">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15">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15">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15">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15">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15">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15">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15">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15">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15">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15">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15">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15">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15">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15">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15">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15">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15">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15">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15">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15">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15">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15">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15">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15">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15">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15">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15">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15">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15">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15">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15">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15">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15">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15">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15">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15">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15">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15">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15">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15">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15">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15">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15">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15">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15">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15">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15">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15">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15">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15">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15">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15">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15">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15">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15">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15">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15">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15">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15">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15">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15">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15">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15">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15">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15">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15">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15">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15">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15">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15">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15">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15">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15">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15">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15">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15">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15">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15">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15">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15">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15">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15">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15">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15">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15">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15">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15">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15">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15">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15">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15">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15">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15">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15">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15">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15">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15">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15">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15">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15">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15">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15">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15">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15">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15">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15">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15">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15">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15">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15">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15">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15">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15">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15">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15">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15">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15">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15">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15">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15">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15">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15">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15">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15">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15">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15">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15">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15">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15">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15">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15">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15">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15">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15">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15">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15">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15">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15">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15">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15">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15">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15">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15">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15">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15">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15">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15">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15">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15">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15">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15">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15">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15">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15">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15">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15">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15">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15">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15">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15">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15">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15">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15">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15">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15">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15">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15">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15">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15">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15">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15">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15">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15">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15">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15">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15">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15">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15">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15">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15">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15">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15">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15">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15">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15">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15">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15">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15">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15">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15">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15">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15">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15">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15">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15">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15">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15">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15">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15">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15">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15">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15">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15">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15">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15">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15">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15">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15">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15">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15">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15">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15">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15">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15">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15">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15">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15">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15">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15">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15">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15">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15">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15">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15">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15">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15">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15">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15">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15">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15">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15">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15">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15">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15">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15">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15">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15">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15">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15">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15">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15">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15">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15">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15">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15">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15">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15">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15">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15">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15">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15">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15">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15">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15">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15">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15">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15">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15">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15">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15">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15">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15">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15">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15">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15">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15">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15">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15">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15">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15">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15">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15">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15">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15">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15">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15">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15">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15">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15">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15">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15">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15">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15">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15">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15">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15">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15">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15">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15">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15">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15">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15">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15">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15">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15">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15">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15">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15">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15">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15">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15">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15">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15">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15">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15">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15">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15">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15">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15">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15">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15">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15">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15">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15">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15">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15">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15">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15">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15">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15">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15">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15">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15">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15">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15">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15">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15">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15">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15">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15">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15">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15">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15">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15">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15">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15">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15">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15">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15">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15">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15">
      <c r="A459" s="1">
        <v>450</v>
      </c>
      <c r="B459" s="3">
        <f t="shared" ref="B459:B522" si="43">+(B$4*A459)+B$5</f>
        <v>116.07649341883945</v>
      </c>
      <c r="C459" s="8"/>
      <c r="D459" s="3">
        <f t="shared" ref="D459:D522" si="44">+(D$4*A459)+D$5</f>
        <v>109.73664341595486</v>
      </c>
      <c r="F459" s="3">
        <f t="shared" ref="F459:F522" si="45">+xmax-B459</f>
        <v>-16.076493418839448</v>
      </c>
      <c r="G459" s="3">
        <f t="shared" ref="G459:G522" si="46">+B459-D459</f>
        <v>6.3398500028845888</v>
      </c>
      <c r="H459" s="3">
        <f t="shared" ref="H459:H522" si="47">D459</f>
        <v>109.73664341595486</v>
      </c>
      <c r="I459" s="3"/>
    </row>
    <row r="460" spans="1:9" x14ac:dyDescent="0.15">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15">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15">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15">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15">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15">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15">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15">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15">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15">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15">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15">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15">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15">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15">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15">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15">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15">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15">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15">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15">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15">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15">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15">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15">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15">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15">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15">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15">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15">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15">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15">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15">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15">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15">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15">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15">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15">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15">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15">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15">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15">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15">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15">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15">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15">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15">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15">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15">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15">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15">
      <c r="A510" s="1">
        <v>501</v>
      </c>
      <c r="B510" s="3">
        <f t="shared" si="43"/>
        <v>128.87257117281112</v>
      </c>
      <c r="C510" s="8"/>
      <c r="D510" s="3">
        <f t="shared" si="44"/>
        <v>122.53272116992653</v>
      </c>
      <c r="F510" s="3">
        <f t="shared" si="45"/>
        <v>-28.872571172811121</v>
      </c>
      <c r="G510" s="3">
        <f t="shared" si="46"/>
        <v>6.3398500028845888</v>
      </c>
      <c r="H510" s="3">
        <f t="shared" si="47"/>
        <v>122.53272116992653</v>
      </c>
      <c r="I510" s="3"/>
    </row>
    <row r="511" spans="1:9" x14ac:dyDescent="0.15">
      <c r="A511" s="1">
        <v>502</v>
      </c>
      <c r="B511" s="3">
        <f t="shared" si="43"/>
        <v>129.12347465818311</v>
      </c>
      <c r="C511" s="8"/>
      <c r="D511" s="3">
        <f t="shared" si="44"/>
        <v>122.78362465529852</v>
      </c>
      <c r="F511" s="3">
        <f t="shared" si="45"/>
        <v>-29.123474658183113</v>
      </c>
      <c r="G511" s="3">
        <f t="shared" si="46"/>
        <v>6.3398500028845888</v>
      </c>
      <c r="H511" s="3">
        <f t="shared" si="47"/>
        <v>122.78362465529852</v>
      </c>
      <c r="I511" s="3"/>
    </row>
    <row r="512" spans="1:9" x14ac:dyDescent="0.15">
      <c r="A512" s="1">
        <v>503</v>
      </c>
      <c r="B512" s="3">
        <f t="shared" si="43"/>
        <v>129.37437814355511</v>
      </c>
      <c r="C512" s="8"/>
      <c r="D512" s="3">
        <f t="shared" si="44"/>
        <v>123.03452814067052</v>
      </c>
      <c r="F512" s="3">
        <f t="shared" si="45"/>
        <v>-29.374378143555106</v>
      </c>
      <c r="G512" s="3">
        <f t="shared" si="46"/>
        <v>6.3398500028845888</v>
      </c>
      <c r="H512" s="3">
        <f t="shared" si="47"/>
        <v>123.03452814067052</v>
      </c>
      <c r="I512" s="3"/>
    </row>
    <row r="513" spans="1:9" x14ac:dyDescent="0.15">
      <c r="A513" s="1">
        <v>504</v>
      </c>
      <c r="B513" s="3">
        <f t="shared" si="43"/>
        <v>129.6252816289271</v>
      </c>
      <c r="C513" s="8"/>
      <c r="D513" s="3">
        <f t="shared" si="44"/>
        <v>123.28543162604251</v>
      </c>
      <c r="F513" s="3">
        <f t="shared" si="45"/>
        <v>-29.625281628927098</v>
      </c>
      <c r="G513" s="3">
        <f t="shared" si="46"/>
        <v>6.3398500028845888</v>
      </c>
      <c r="H513" s="3">
        <f t="shared" si="47"/>
        <v>123.28543162604251</v>
      </c>
      <c r="I513" s="3"/>
    </row>
    <row r="514" spans="1:9" x14ac:dyDescent="0.15">
      <c r="A514" s="1">
        <v>505</v>
      </c>
      <c r="B514" s="3">
        <f t="shared" si="43"/>
        <v>129.87618511429909</v>
      </c>
      <c r="C514" s="8"/>
      <c r="D514" s="3">
        <f t="shared" si="44"/>
        <v>123.5363351114145</v>
      </c>
      <c r="F514" s="3">
        <f t="shared" si="45"/>
        <v>-29.876185114299091</v>
      </c>
      <c r="G514" s="3">
        <f t="shared" si="46"/>
        <v>6.3398500028845888</v>
      </c>
      <c r="H514" s="3">
        <f t="shared" si="47"/>
        <v>123.5363351114145</v>
      </c>
      <c r="I514" s="3"/>
    </row>
    <row r="515" spans="1:9" x14ac:dyDescent="0.15">
      <c r="A515" s="1">
        <v>506</v>
      </c>
      <c r="B515" s="3">
        <f t="shared" si="43"/>
        <v>130.12708859967111</v>
      </c>
      <c r="C515" s="8"/>
      <c r="D515" s="3">
        <f t="shared" si="44"/>
        <v>123.78723859678649</v>
      </c>
      <c r="F515" s="3">
        <f t="shared" si="45"/>
        <v>-30.127088599671112</v>
      </c>
      <c r="G515" s="3">
        <f t="shared" si="46"/>
        <v>6.3398500028846172</v>
      </c>
      <c r="H515" s="3">
        <f t="shared" si="47"/>
        <v>123.78723859678649</v>
      </c>
      <c r="I515" s="3"/>
    </row>
    <row r="516" spans="1:9" x14ac:dyDescent="0.15">
      <c r="A516" s="1">
        <v>507</v>
      </c>
      <c r="B516" s="3">
        <f t="shared" si="43"/>
        <v>130.3779920850431</v>
      </c>
      <c r="C516" s="8"/>
      <c r="D516" s="3">
        <f t="shared" si="44"/>
        <v>124.0381420821585</v>
      </c>
      <c r="F516" s="3">
        <f t="shared" si="45"/>
        <v>-30.377992085043104</v>
      </c>
      <c r="G516" s="3">
        <f t="shared" si="46"/>
        <v>6.339850002884603</v>
      </c>
      <c r="H516" s="3">
        <f t="shared" si="47"/>
        <v>124.0381420821585</v>
      </c>
      <c r="I516" s="3"/>
    </row>
    <row r="517" spans="1:9" x14ac:dyDescent="0.15">
      <c r="A517" s="1">
        <v>508</v>
      </c>
      <c r="B517" s="3">
        <f t="shared" si="43"/>
        <v>130.6288955704151</v>
      </c>
      <c r="C517" s="8"/>
      <c r="D517" s="3">
        <f t="shared" si="44"/>
        <v>124.28904556753049</v>
      </c>
      <c r="F517" s="3">
        <f t="shared" si="45"/>
        <v>-30.628895570415096</v>
      </c>
      <c r="G517" s="3">
        <f t="shared" si="46"/>
        <v>6.339850002884603</v>
      </c>
      <c r="H517" s="3">
        <f t="shared" si="47"/>
        <v>124.28904556753049</v>
      </c>
      <c r="I517" s="3"/>
    </row>
    <row r="518" spans="1:9" x14ac:dyDescent="0.15">
      <c r="A518" s="1">
        <v>509</v>
      </c>
      <c r="B518" s="3">
        <f t="shared" si="43"/>
        <v>130.87979905578709</v>
      </c>
      <c r="C518" s="8"/>
      <c r="D518" s="3">
        <f t="shared" si="44"/>
        <v>124.53994905290249</v>
      </c>
      <c r="F518" s="3">
        <f t="shared" si="45"/>
        <v>-30.879799055787089</v>
      </c>
      <c r="G518" s="3">
        <f t="shared" si="46"/>
        <v>6.339850002884603</v>
      </c>
      <c r="H518" s="3">
        <f t="shared" si="47"/>
        <v>124.53994905290249</v>
      </c>
      <c r="I518" s="3"/>
    </row>
    <row r="519" spans="1:9" x14ac:dyDescent="0.15">
      <c r="A519" s="1">
        <v>510</v>
      </c>
      <c r="B519" s="3">
        <f t="shared" si="43"/>
        <v>131.13070254115908</v>
      </c>
      <c r="C519" s="8"/>
      <c r="D519" s="3">
        <f t="shared" si="44"/>
        <v>124.79085253827448</v>
      </c>
      <c r="F519" s="3">
        <f t="shared" si="45"/>
        <v>-31.130702541159081</v>
      </c>
      <c r="G519" s="3">
        <f t="shared" si="46"/>
        <v>6.339850002884603</v>
      </c>
      <c r="H519" s="3">
        <f t="shared" si="47"/>
        <v>124.79085253827448</v>
      </c>
      <c r="I519" s="3"/>
    </row>
    <row r="520" spans="1:9" x14ac:dyDescent="0.15">
      <c r="A520" s="1">
        <v>511</v>
      </c>
      <c r="B520" s="3">
        <f t="shared" si="43"/>
        <v>131.38160602653107</v>
      </c>
      <c r="C520" s="8"/>
      <c r="D520" s="3">
        <f t="shared" si="44"/>
        <v>125.04175602364647</v>
      </c>
      <c r="F520" s="3">
        <f t="shared" si="45"/>
        <v>-31.381606026531074</v>
      </c>
      <c r="G520" s="3">
        <f t="shared" si="46"/>
        <v>6.339850002884603</v>
      </c>
      <c r="H520" s="3">
        <f t="shared" si="47"/>
        <v>125.04175602364647</v>
      </c>
      <c r="I520" s="3"/>
    </row>
    <row r="521" spans="1:9" x14ac:dyDescent="0.15">
      <c r="A521" s="1">
        <v>512</v>
      </c>
      <c r="B521" s="3">
        <f t="shared" si="43"/>
        <v>131.63250951190307</v>
      </c>
      <c r="C521" s="8"/>
      <c r="D521" s="3">
        <f t="shared" si="44"/>
        <v>125.29265950901846</v>
      </c>
      <c r="F521" s="3">
        <f t="shared" si="45"/>
        <v>-31.632509511903066</v>
      </c>
      <c r="G521" s="3">
        <f t="shared" si="46"/>
        <v>6.339850002884603</v>
      </c>
      <c r="H521" s="3">
        <f t="shared" si="47"/>
        <v>125.29265950901846</v>
      </c>
      <c r="I521" s="3"/>
    </row>
    <row r="522" spans="1:9" x14ac:dyDescent="0.15">
      <c r="A522" s="1">
        <v>513</v>
      </c>
      <c r="B522" s="3">
        <f t="shared" si="43"/>
        <v>131.88341299727506</v>
      </c>
      <c r="C522" s="8"/>
      <c r="D522" s="3">
        <f t="shared" si="44"/>
        <v>125.54356299439046</v>
      </c>
      <c r="F522" s="3">
        <f t="shared" si="45"/>
        <v>-31.883412997275059</v>
      </c>
      <c r="G522" s="3">
        <f t="shared" si="46"/>
        <v>6.339850002884603</v>
      </c>
      <c r="H522" s="3">
        <f t="shared" si="47"/>
        <v>125.54356299439046</v>
      </c>
      <c r="I522" s="3"/>
    </row>
    <row r="523" spans="1:9" x14ac:dyDescent="0.15">
      <c r="A523" s="1">
        <v>514</v>
      </c>
      <c r="B523" s="3">
        <f t="shared" ref="B523:B586" si="48">+(B$4*A523)+B$5</f>
        <v>132.13431648264705</v>
      </c>
      <c r="C523" s="8"/>
      <c r="D523" s="3">
        <f t="shared" ref="D523:D586" si="49">+(D$4*A523)+D$5</f>
        <v>125.79446647976245</v>
      </c>
      <c r="F523" s="3">
        <f t="shared" ref="F523:F586" si="50">+xmax-B523</f>
        <v>-32.134316482647051</v>
      </c>
      <c r="G523" s="3">
        <f t="shared" ref="G523:G586" si="51">+B523-D523</f>
        <v>6.339850002884603</v>
      </c>
      <c r="H523" s="3">
        <f t="shared" ref="H523:H586" si="52">D523</f>
        <v>125.79446647976245</v>
      </c>
      <c r="I523" s="3"/>
    </row>
    <row r="524" spans="1:9" x14ac:dyDescent="0.15">
      <c r="A524" s="1">
        <v>515</v>
      </c>
      <c r="B524" s="3">
        <f t="shared" si="48"/>
        <v>132.38521996801904</v>
      </c>
      <c r="C524" s="8"/>
      <c r="D524" s="3">
        <f t="shared" si="49"/>
        <v>126.04536996513444</v>
      </c>
      <c r="F524" s="3">
        <f t="shared" si="50"/>
        <v>-32.385219968019044</v>
      </c>
      <c r="G524" s="3">
        <f t="shared" si="51"/>
        <v>6.339850002884603</v>
      </c>
      <c r="H524" s="3">
        <f t="shared" si="52"/>
        <v>126.04536996513444</v>
      </c>
      <c r="I524" s="3"/>
    </row>
    <row r="525" spans="1:9" x14ac:dyDescent="0.15">
      <c r="A525" s="1">
        <v>516</v>
      </c>
      <c r="B525" s="3">
        <f t="shared" si="48"/>
        <v>132.63612345339104</v>
      </c>
      <c r="C525" s="8"/>
      <c r="D525" s="3">
        <f t="shared" si="49"/>
        <v>126.29627345050643</v>
      </c>
      <c r="F525" s="3">
        <f t="shared" si="50"/>
        <v>-32.636123453391036</v>
      </c>
      <c r="G525" s="3">
        <f t="shared" si="51"/>
        <v>6.339850002884603</v>
      </c>
      <c r="H525" s="3">
        <f t="shared" si="52"/>
        <v>126.29627345050643</v>
      </c>
      <c r="I525" s="3"/>
    </row>
    <row r="526" spans="1:9" x14ac:dyDescent="0.15">
      <c r="A526" s="1">
        <v>517</v>
      </c>
      <c r="B526" s="3">
        <f t="shared" si="48"/>
        <v>132.88702693876303</v>
      </c>
      <c r="C526" s="8"/>
      <c r="D526" s="3">
        <f t="shared" si="49"/>
        <v>126.54717693587843</v>
      </c>
      <c r="F526" s="3">
        <f t="shared" si="50"/>
        <v>-32.887026938763029</v>
      </c>
      <c r="G526" s="3">
        <f t="shared" si="51"/>
        <v>6.339850002884603</v>
      </c>
      <c r="H526" s="3">
        <f t="shared" si="52"/>
        <v>126.54717693587843</v>
      </c>
      <c r="I526" s="3"/>
    </row>
    <row r="527" spans="1:9" x14ac:dyDescent="0.15">
      <c r="A527" s="1">
        <v>518</v>
      </c>
      <c r="B527" s="3">
        <f t="shared" si="48"/>
        <v>133.13793042413502</v>
      </c>
      <c r="C527" s="8"/>
      <c r="D527" s="3">
        <f t="shared" si="49"/>
        <v>126.79808042125042</v>
      </c>
      <c r="F527" s="3">
        <f t="shared" si="50"/>
        <v>-33.137930424135021</v>
      </c>
      <c r="G527" s="3">
        <f t="shared" si="51"/>
        <v>6.339850002884603</v>
      </c>
      <c r="H527" s="3">
        <f t="shared" si="52"/>
        <v>126.79808042125042</v>
      </c>
      <c r="I527" s="3"/>
    </row>
    <row r="528" spans="1:9" x14ac:dyDescent="0.15">
      <c r="A528" s="1">
        <v>519</v>
      </c>
      <c r="B528" s="3">
        <f t="shared" si="48"/>
        <v>133.38883390950701</v>
      </c>
      <c r="C528" s="8"/>
      <c r="D528" s="3">
        <f t="shared" si="49"/>
        <v>127.04898390662241</v>
      </c>
      <c r="F528" s="3">
        <f t="shared" si="50"/>
        <v>-33.388833909507014</v>
      </c>
      <c r="G528" s="3">
        <f t="shared" si="51"/>
        <v>6.339850002884603</v>
      </c>
      <c r="H528" s="3">
        <f t="shared" si="52"/>
        <v>127.04898390662241</v>
      </c>
      <c r="I528" s="3"/>
    </row>
    <row r="529" spans="1:9" x14ac:dyDescent="0.15">
      <c r="A529" s="1">
        <v>520</v>
      </c>
      <c r="B529" s="3">
        <f t="shared" si="48"/>
        <v>133.63973739487901</v>
      </c>
      <c r="C529" s="8"/>
      <c r="D529" s="3">
        <f t="shared" si="49"/>
        <v>127.2998873919944</v>
      </c>
      <c r="F529" s="3">
        <f t="shared" si="50"/>
        <v>-33.639737394879006</v>
      </c>
      <c r="G529" s="3">
        <f t="shared" si="51"/>
        <v>6.339850002884603</v>
      </c>
      <c r="H529" s="3">
        <f t="shared" si="52"/>
        <v>127.2998873919944</v>
      </c>
      <c r="I529" s="3"/>
    </row>
    <row r="530" spans="1:9" x14ac:dyDescent="0.15">
      <c r="A530" s="1">
        <v>521</v>
      </c>
      <c r="B530" s="3">
        <f t="shared" si="48"/>
        <v>133.890640880251</v>
      </c>
      <c r="C530" s="8"/>
      <c r="D530" s="3">
        <f t="shared" si="49"/>
        <v>127.5507908773664</v>
      </c>
      <c r="F530" s="3">
        <f t="shared" si="50"/>
        <v>-33.890640880250999</v>
      </c>
      <c r="G530" s="3">
        <f t="shared" si="51"/>
        <v>6.339850002884603</v>
      </c>
      <c r="H530" s="3">
        <f t="shared" si="52"/>
        <v>127.5507908773664</v>
      </c>
      <c r="I530" s="3"/>
    </row>
    <row r="531" spans="1:9" x14ac:dyDescent="0.15">
      <c r="A531" s="1">
        <v>522</v>
      </c>
      <c r="B531" s="3">
        <f t="shared" si="48"/>
        <v>134.14154436562299</v>
      </c>
      <c r="C531" s="8"/>
      <c r="D531" s="3">
        <f t="shared" si="49"/>
        <v>127.80169436273839</v>
      </c>
      <c r="F531" s="3">
        <f t="shared" si="50"/>
        <v>-34.141544365622991</v>
      </c>
      <c r="G531" s="3">
        <f t="shared" si="51"/>
        <v>6.339850002884603</v>
      </c>
      <c r="H531" s="3">
        <f t="shared" si="52"/>
        <v>127.80169436273839</v>
      </c>
      <c r="I531" s="3"/>
    </row>
    <row r="532" spans="1:9" x14ac:dyDescent="0.15">
      <c r="A532" s="1">
        <v>523</v>
      </c>
      <c r="B532" s="3">
        <f t="shared" si="48"/>
        <v>134.39244785099498</v>
      </c>
      <c r="C532" s="8"/>
      <c r="D532" s="3">
        <f t="shared" si="49"/>
        <v>128.05259784811037</v>
      </c>
      <c r="F532" s="3">
        <f t="shared" si="50"/>
        <v>-34.392447850994984</v>
      </c>
      <c r="G532" s="3">
        <f t="shared" si="51"/>
        <v>6.3398500028846172</v>
      </c>
      <c r="H532" s="3">
        <f t="shared" si="52"/>
        <v>128.05259784811037</v>
      </c>
      <c r="I532" s="3"/>
    </row>
    <row r="533" spans="1:9" x14ac:dyDescent="0.15">
      <c r="A533" s="1">
        <v>524</v>
      </c>
      <c r="B533" s="3">
        <f t="shared" si="48"/>
        <v>134.64335133636698</v>
      </c>
      <c r="C533" s="8"/>
      <c r="D533" s="3">
        <f t="shared" si="49"/>
        <v>128.30350133348239</v>
      </c>
      <c r="F533" s="3">
        <f t="shared" si="50"/>
        <v>-34.643351336366976</v>
      </c>
      <c r="G533" s="3">
        <f t="shared" si="51"/>
        <v>6.3398500028845888</v>
      </c>
      <c r="H533" s="3">
        <f t="shared" si="52"/>
        <v>128.30350133348239</v>
      </c>
      <c r="I533" s="3"/>
    </row>
    <row r="534" spans="1:9" x14ac:dyDescent="0.15">
      <c r="A534" s="1">
        <v>525</v>
      </c>
      <c r="B534" s="3">
        <f t="shared" si="48"/>
        <v>134.894254821739</v>
      </c>
      <c r="C534" s="8"/>
      <c r="D534" s="3">
        <f t="shared" si="49"/>
        <v>128.55440481885438</v>
      </c>
      <c r="F534" s="3">
        <f t="shared" si="50"/>
        <v>-34.894254821738997</v>
      </c>
      <c r="G534" s="3">
        <f t="shared" si="51"/>
        <v>6.3398500028846172</v>
      </c>
      <c r="H534" s="3">
        <f t="shared" si="52"/>
        <v>128.55440481885438</v>
      </c>
      <c r="I534" s="3"/>
    </row>
    <row r="535" spans="1:9" x14ac:dyDescent="0.15">
      <c r="A535" s="1">
        <v>526</v>
      </c>
      <c r="B535" s="3">
        <f t="shared" si="48"/>
        <v>135.14515830711099</v>
      </c>
      <c r="C535" s="8"/>
      <c r="D535" s="3">
        <f t="shared" si="49"/>
        <v>128.80530830422637</v>
      </c>
      <c r="F535" s="3">
        <f t="shared" si="50"/>
        <v>-35.145158307110989</v>
      </c>
      <c r="G535" s="3">
        <f t="shared" si="51"/>
        <v>6.3398500028846172</v>
      </c>
      <c r="H535" s="3">
        <f t="shared" si="52"/>
        <v>128.80530830422637</v>
      </c>
      <c r="I535" s="3"/>
    </row>
    <row r="536" spans="1:9" x14ac:dyDescent="0.15">
      <c r="A536" s="1">
        <v>527</v>
      </c>
      <c r="B536" s="3">
        <f t="shared" si="48"/>
        <v>135.39606179248298</v>
      </c>
      <c r="C536" s="8"/>
      <c r="D536" s="3">
        <f t="shared" si="49"/>
        <v>129.05621178959836</v>
      </c>
      <c r="F536" s="3">
        <f t="shared" si="50"/>
        <v>-35.396061792482982</v>
      </c>
      <c r="G536" s="3">
        <f t="shared" si="51"/>
        <v>6.3398500028846172</v>
      </c>
      <c r="H536" s="3">
        <f t="shared" si="52"/>
        <v>129.05621178959836</v>
      </c>
      <c r="I536" s="3"/>
    </row>
    <row r="537" spans="1:9" x14ac:dyDescent="0.15">
      <c r="A537" s="1">
        <v>528</v>
      </c>
      <c r="B537" s="3">
        <f t="shared" si="48"/>
        <v>135.64696527785497</v>
      </c>
      <c r="C537" s="8"/>
      <c r="D537" s="3">
        <f t="shared" si="49"/>
        <v>129.30711527497036</v>
      </c>
      <c r="F537" s="3">
        <f t="shared" si="50"/>
        <v>-35.646965277854974</v>
      </c>
      <c r="G537" s="3">
        <f t="shared" si="51"/>
        <v>6.3398500028846172</v>
      </c>
      <c r="H537" s="3">
        <f t="shared" si="52"/>
        <v>129.30711527497036</v>
      </c>
      <c r="I537" s="3"/>
    </row>
    <row r="538" spans="1:9" x14ac:dyDescent="0.15">
      <c r="A538" s="1">
        <v>529</v>
      </c>
      <c r="B538" s="3">
        <f t="shared" si="48"/>
        <v>135.89786876322697</v>
      </c>
      <c r="C538" s="8"/>
      <c r="D538" s="3">
        <f t="shared" si="49"/>
        <v>129.55801876034235</v>
      </c>
      <c r="F538" s="3">
        <f t="shared" si="50"/>
        <v>-35.897868763226967</v>
      </c>
      <c r="G538" s="3">
        <f t="shared" si="51"/>
        <v>6.3398500028846172</v>
      </c>
      <c r="H538" s="3">
        <f t="shared" si="52"/>
        <v>129.55801876034235</v>
      </c>
      <c r="I538" s="3"/>
    </row>
    <row r="539" spans="1:9" x14ac:dyDescent="0.15">
      <c r="A539" s="1">
        <v>530</v>
      </c>
      <c r="B539" s="3">
        <f t="shared" si="48"/>
        <v>136.14877224859896</v>
      </c>
      <c r="C539" s="8"/>
      <c r="D539" s="3">
        <f t="shared" si="49"/>
        <v>129.80892224571434</v>
      </c>
      <c r="F539" s="3">
        <f t="shared" si="50"/>
        <v>-36.148772248598959</v>
      </c>
      <c r="G539" s="3">
        <f t="shared" si="51"/>
        <v>6.3398500028846172</v>
      </c>
      <c r="H539" s="3">
        <f t="shared" si="52"/>
        <v>129.80892224571434</v>
      </c>
      <c r="I539" s="3"/>
    </row>
    <row r="540" spans="1:9" x14ac:dyDescent="0.15">
      <c r="A540" s="1">
        <v>531</v>
      </c>
      <c r="B540" s="3">
        <f t="shared" si="48"/>
        <v>136.39967573397095</v>
      </c>
      <c r="C540" s="8"/>
      <c r="D540" s="3">
        <f t="shared" si="49"/>
        <v>130.05982573108633</v>
      </c>
      <c r="F540" s="3">
        <f t="shared" si="50"/>
        <v>-36.399675733970952</v>
      </c>
      <c r="G540" s="3">
        <f t="shared" si="51"/>
        <v>6.3398500028846172</v>
      </c>
      <c r="H540" s="3">
        <f t="shared" si="52"/>
        <v>130.05982573108633</v>
      </c>
      <c r="I540" s="3"/>
    </row>
    <row r="541" spans="1:9" x14ac:dyDescent="0.15">
      <c r="A541" s="1">
        <v>532</v>
      </c>
      <c r="B541" s="3">
        <f t="shared" si="48"/>
        <v>136.65057921934294</v>
      </c>
      <c r="C541" s="8"/>
      <c r="D541" s="3">
        <f t="shared" si="49"/>
        <v>130.31072921645833</v>
      </c>
      <c r="F541" s="3">
        <f t="shared" si="50"/>
        <v>-36.650579219342944</v>
      </c>
      <c r="G541" s="3">
        <f t="shared" si="51"/>
        <v>6.3398500028846172</v>
      </c>
      <c r="H541" s="3">
        <f t="shared" si="52"/>
        <v>130.31072921645833</v>
      </c>
      <c r="I541" s="3"/>
    </row>
    <row r="542" spans="1:9" x14ac:dyDescent="0.15">
      <c r="A542" s="1">
        <v>533</v>
      </c>
      <c r="B542" s="3">
        <f t="shared" si="48"/>
        <v>136.90148270471494</v>
      </c>
      <c r="C542" s="8"/>
      <c r="D542" s="3">
        <f t="shared" si="49"/>
        <v>130.56163270183032</v>
      </c>
      <c r="F542" s="3">
        <f t="shared" si="50"/>
        <v>-36.901482704714937</v>
      </c>
      <c r="G542" s="3">
        <f t="shared" si="51"/>
        <v>6.3398500028846172</v>
      </c>
      <c r="H542" s="3">
        <f t="shared" si="52"/>
        <v>130.56163270183032</v>
      </c>
      <c r="I542" s="3"/>
    </row>
    <row r="543" spans="1:9" x14ac:dyDescent="0.15">
      <c r="A543" s="1">
        <v>534</v>
      </c>
      <c r="B543" s="3">
        <f t="shared" si="48"/>
        <v>137.15238619008693</v>
      </c>
      <c r="C543" s="8"/>
      <c r="D543" s="3">
        <f t="shared" si="49"/>
        <v>130.81253618720231</v>
      </c>
      <c r="F543" s="3">
        <f t="shared" si="50"/>
        <v>-37.152386190086929</v>
      </c>
      <c r="G543" s="3">
        <f t="shared" si="51"/>
        <v>6.3398500028846172</v>
      </c>
      <c r="H543" s="3">
        <f t="shared" si="52"/>
        <v>130.81253618720231</v>
      </c>
      <c r="I543" s="3"/>
    </row>
    <row r="544" spans="1:9" x14ac:dyDescent="0.15">
      <c r="A544" s="1">
        <v>535</v>
      </c>
      <c r="B544" s="3">
        <f t="shared" si="48"/>
        <v>137.40328967545892</v>
      </c>
      <c r="C544" s="8"/>
      <c r="D544" s="3">
        <f t="shared" si="49"/>
        <v>131.0634396725743</v>
      </c>
      <c r="F544" s="3">
        <f t="shared" si="50"/>
        <v>-37.403289675458922</v>
      </c>
      <c r="G544" s="3">
        <f t="shared" si="51"/>
        <v>6.3398500028846172</v>
      </c>
      <c r="H544" s="3">
        <f t="shared" si="52"/>
        <v>131.0634396725743</v>
      </c>
      <c r="I544" s="3"/>
    </row>
    <row r="545" spans="1:9" x14ac:dyDescent="0.15">
      <c r="A545" s="1">
        <v>536</v>
      </c>
      <c r="B545" s="3">
        <f t="shared" si="48"/>
        <v>137.65419316083091</v>
      </c>
      <c r="C545" s="8"/>
      <c r="D545" s="3">
        <f t="shared" si="49"/>
        <v>131.3143431579463</v>
      </c>
      <c r="F545" s="3">
        <f t="shared" si="50"/>
        <v>-37.654193160830914</v>
      </c>
      <c r="G545" s="3">
        <f t="shared" si="51"/>
        <v>6.3398500028846172</v>
      </c>
      <c r="H545" s="3">
        <f t="shared" si="52"/>
        <v>131.3143431579463</v>
      </c>
      <c r="I545" s="3"/>
    </row>
    <row r="546" spans="1:9" x14ac:dyDescent="0.15">
      <c r="A546" s="1">
        <v>537</v>
      </c>
      <c r="B546" s="3">
        <f t="shared" si="48"/>
        <v>137.90509664620291</v>
      </c>
      <c r="C546" s="8"/>
      <c r="D546" s="3">
        <f t="shared" si="49"/>
        <v>131.56524664331829</v>
      </c>
      <c r="F546" s="3">
        <f t="shared" si="50"/>
        <v>-37.905096646202907</v>
      </c>
      <c r="G546" s="3">
        <f t="shared" si="51"/>
        <v>6.3398500028846172</v>
      </c>
      <c r="H546" s="3">
        <f t="shared" si="52"/>
        <v>131.56524664331829</v>
      </c>
      <c r="I546" s="3"/>
    </row>
    <row r="547" spans="1:9" x14ac:dyDescent="0.15">
      <c r="A547" s="1">
        <v>538</v>
      </c>
      <c r="B547" s="3">
        <f t="shared" si="48"/>
        <v>138.1560001315749</v>
      </c>
      <c r="C547" s="8"/>
      <c r="D547" s="3">
        <f t="shared" si="49"/>
        <v>131.81615012869028</v>
      </c>
      <c r="F547" s="3">
        <f t="shared" si="50"/>
        <v>-38.156000131574899</v>
      </c>
      <c r="G547" s="3">
        <f t="shared" si="51"/>
        <v>6.3398500028846172</v>
      </c>
      <c r="H547" s="3">
        <f t="shared" si="52"/>
        <v>131.81615012869028</v>
      </c>
      <c r="I547" s="3"/>
    </row>
    <row r="548" spans="1:9" x14ac:dyDescent="0.15">
      <c r="A548" s="1">
        <v>539</v>
      </c>
      <c r="B548" s="3">
        <f t="shared" si="48"/>
        <v>138.40690361694689</v>
      </c>
      <c r="C548" s="8"/>
      <c r="D548" s="3">
        <f t="shared" si="49"/>
        <v>132.06705361406227</v>
      </c>
      <c r="F548" s="3">
        <f t="shared" si="50"/>
        <v>-38.406903616946892</v>
      </c>
      <c r="G548" s="3">
        <f t="shared" si="51"/>
        <v>6.3398500028846172</v>
      </c>
      <c r="H548" s="3">
        <f t="shared" si="52"/>
        <v>132.06705361406227</v>
      </c>
      <c r="I548" s="3"/>
    </row>
    <row r="549" spans="1:9" x14ac:dyDescent="0.15">
      <c r="A549" s="1">
        <v>540</v>
      </c>
      <c r="B549" s="3">
        <f t="shared" si="48"/>
        <v>138.65780710231888</v>
      </c>
      <c r="C549" s="8"/>
      <c r="D549" s="3">
        <f t="shared" si="49"/>
        <v>132.31795709943427</v>
      </c>
      <c r="F549" s="3">
        <f t="shared" si="50"/>
        <v>-38.657807102318884</v>
      </c>
      <c r="G549" s="3">
        <f t="shared" si="51"/>
        <v>6.3398500028846172</v>
      </c>
      <c r="H549" s="3">
        <f t="shared" si="52"/>
        <v>132.31795709943427</v>
      </c>
      <c r="I549" s="3"/>
    </row>
    <row r="550" spans="1:9" x14ac:dyDescent="0.15">
      <c r="A550" s="1">
        <v>541</v>
      </c>
      <c r="B550" s="3">
        <f t="shared" si="48"/>
        <v>138.90871058769088</v>
      </c>
      <c r="C550" s="8"/>
      <c r="D550" s="3">
        <f t="shared" si="49"/>
        <v>132.56886058480626</v>
      </c>
      <c r="F550" s="3">
        <f t="shared" si="50"/>
        <v>-38.908710587690877</v>
      </c>
      <c r="G550" s="3">
        <f t="shared" si="51"/>
        <v>6.3398500028846172</v>
      </c>
      <c r="H550" s="3">
        <f t="shared" si="52"/>
        <v>132.56886058480626</v>
      </c>
      <c r="I550" s="3"/>
    </row>
    <row r="551" spans="1:9" x14ac:dyDescent="0.15">
      <c r="A551" s="1">
        <v>542</v>
      </c>
      <c r="B551" s="3">
        <f t="shared" si="48"/>
        <v>139.15961407306287</v>
      </c>
      <c r="C551" s="8"/>
      <c r="D551" s="3">
        <f t="shared" si="49"/>
        <v>132.81976407017825</v>
      </c>
      <c r="F551" s="3">
        <f t="shared" si="50"/>
        <v>-39.159614073062869</v>
      </c>
      <c r="G551" s="3">
        <f t="shared" si="51"/>
        <v>6.3398500028846172</v>
      </c>
      <c r="H551" s="3">
        <f t="shared" si="52"/>
        <v>132.81976407017825</v>
      </c>
      <c r="I551" s="3"/>
    </row>
    <row r="552" spans="1:9" x14ac:dyDescent="0.15">
      <c r="A552" s="1">
        <v>543</v>
      </c>
      <c r="B552" s="3">
        <f t="shared" si="48"/>
        <v>139.41051755843486</v>
      </c>
      <c r="C552" s="8"/>
      <c r="D552" s="3">
        <f t="shared" si="49"/>
        <v>133.07066755555024</v>
      </c>
      <c r="F552" s="3">
        <f t="shared" si="50"/>
        <v>-39.410517558434861</v>
      </c>
      <c r="G552" s="3">
        <f t="shared" si="51"/>
        <v>6.3398500028846172</v>
      </c>
      <c r="H552" s="3">
        <f t="shared" si="52"/>
        <v>133.07066755555024</v>
      </c>
      <c r="I552" s="3"/>
    </row>
    <row r="553" spans="1:9" x14ac:dyDescent="0.15">
      <c r="A553" s="1">
        <v>544</v>
      </c>
      <c r="B553" s="3">
        <f t="shared" si="48"/>
        <v>139.66142104380685</v>
      </c>
      <c r="C553" s="8"/>
      <c r="D553" s="3">
        <f t="shared" si="49"/>
        <v>133.32157104092224</v>
      </c>
      <c r="F553" s="3">
        <f t="shared" si="50"/>
        <v>-39.661421043806854</v>
      </c>
      <c r="G553" s="3">
        <f t="shared" si="51"/>
        <v>6.3398500028846172</v>
      </c>
      <c r="H553" s="3">
        <f t="shared" si="52"/>
        <v>133.32157104092224</v>
      </c>
      <c r="I553" s="3"/>
    </row>
    <row r="554" spans="1:9" x14ac:dyDescent="0.15">
      <c r="A554" s="1">
        <v>545</v>
      </c>
      <c r="B554" s="3">
        <f t="shared" si="48"/>
        <v>139.91232452917885</v>
      </c>
      <c r="C554" s="8"/>
      <c r="D554" s="3">
        <f t="shared" si="49"/>
        <v>133.57247452629423</v>
      </c>
      <c r="F554" s="3">
        <f t="shared" si="50"/>
        <v>-39.912324529178846</v>
      </c>
      <c r="G554" s="3">
        <f t="shared" si="51"/>
        <v>6.3398500028846172</v>
      </c>
      <c r="H554" s="3">
        <f t="shared" si="52"/>
        <v>133.57247452629423</v>
      </c>
      <c r="I554" s="3"/>
    </row>
    <row r="555" spans="1:9" x14ac:dyDescent="0.15">
      <c r="A555" s="1">
        <v>546</v>
      </c>
      <c r="B555" s="3">
        <f t="shared" si="48"/>
        <v>140.16322801455084</v>
      </c>
      <c r="C555" s="8"/>
      <c r="D555" s="3">
        <f t="shared" si="49"/>
        <v>133.82337801166622</v>
      </c>
      <c r="F555" s="3">
        <f t="shared" si="50"/>
        <v>-40.163228014550839</v>
      </c>
      <c r="G555" s="3">
        <f t="shared" si="51"/>
        <v>6.3398500028846172</v>
      </c>
      <c r="H555" s="3">
        <f t="shared" si="52"/>
        <v>133.82337801166622</v>
      </c>
      <c r="I555" s="3"/>
    </row>
    <row r="556" spans="1:9" x14ac:dyDescent="0.15">
      <c r="A556" s="1">
        <v>547</v>
      </c>
      <c r="B556" s="3">
        <f t="shared" si="48"/>
        <v>140.41413149992283</v>
      </c>
      <c r="C556" s="8"/>
      <c r="D556" s="3">
        <f t="shared" si="49"/>
        <v>134.07428149703824</v>
      </c>
      <c r="F556" s="3">
        <f t="shared" si="50"/>
        <v>-40.414131499922831</v>
      </c>
      <c r="G556" s="3">
        <f t="shared" si="51"/>
        <v>6.3398500028845888</v>
      </c>
      <c r="H556" s="3">
        <f t="shared" si="52"/>
        <v>134.07428149703824</v>
      </c>
      <c r="I556" s="3"/>
    </row>
    <row r="557" spans="1:9" x14ac:dyDescent="0.15">
      <c r="A557" s="1">
        <v>548</v>
      </c>
      <c r="B557" s="3">
        <f t="shared" si="48"/>
        <v>140.66503498529482</v>
      </c>
      <c r="C557" s="8"/>
      <c r="D557" s="3">
        <f t="shared" si="49"/>
        <v>134.32518498241024</v>
      </c>
      <c r="F557" s="3">
        <f t="shared" si="50"/>
        <v>-40.665034985294824</v>
      </c>
      <c r="G557" s="3">
        <f t="shared" si="51"/>
        <v>6.3398500028845888</v>
      </c>
      <c r="H557" s="3">
        <f t="shared" si="52"/>
        <v>134.32518498241024</v>
      </c>
      <c r="I557" s="3"/>
    </row>
    <row r="558" spans="1:9" x14ac:dyDescent="0.15">
      <c r="A558" s="1">
        <v>549</v>
      </c>
      <c r="B558" s="3">
        <f t="shared" si="48"/>
        <v>140.91593847066684</v>
      </c>
      <c r="C558" s="8"/>
      <c r="D558" s="3">
        <f t="shared" si="49"/>
        <v>134.57608846778223</v>
      </c>
      <c r="F558" s="3">
        <f t="shared" si="50"/>
        <v>-40.915938470666845</v>
      </c>
      <c r="G558" s="3">
        <f t="shared" si="51"/>
        <v>6.3398500028846172</v>
      </c>
      <c r="H558" s="3">
        <f t="shared" si="52"/>
        <v>134.57608846778223</v>
      </c>
      <c r="I558" s="3"/>
    </row>
    <row r="559" spans="1:9" x14ac:dyDescent="0.15">
      <c r="A559" s="1">
        <v>550</v>
      </c>
      <c r="B559" s="3">
        <f t="shared" si="48"/>
        <v>141.16684195603884</v>
      </c>
      <c r="C559" s="8"/>
      <c r="D559" s="3">
        <f t="shared" si="49"/>
        <v>134.82699195315422</v>
      </c>
      <c r="F559" s="3">
        <f t="shared" si="50"/>
        <v>-41.166841956038837</v>
      </c>
      <c r="G559" s="3">
        <f t="shared" si="51"/>
        <v>6.3398500028846172</v>
      </c>
      <c r="H559" s="3">
        <f t="shared" si="52"/>
        <v>134.82699195315422</v>
      </c>
      <c r="I559" s="3"/>
    </row>
    <row r="560" spans="1:9" x14ac:dyDescent="0.15">
      <c r="A560" s="1">
        <v>551</v>
      </c>
      <c r="B560" s="3">
        <f t="shared" si="48"/>
        <v>141.41774544141083</v>
      </c>
      <c r="C560" s="8"/>
      <c r="D560" s="3">
        <f t="shared" si="49"/>
        <v>135.07789543852621</v>
      </c>
      <c r="F560" s="3">
        <f t="shared" si="50"/>
        <v>-41.41774544141083</v>
      </c>
      <c r="G560" s="3">
        <f t="shared" si="51"/>
        <v>6.3398500028846172</v>
      </c>
      <c r="H560" s="3">
        <f t="shared" si="52"/>
        <v>135.07789543852621</v>
      </c>
      <c r="I560" s="3"/>
    </row>
    <row r="561" spans="1:9" x14ac:dyDescent="0.15">
      <c r="A561" s="1">
        <v>552</v>
      </c>
      <c r="B561" s="3">
        <f t="shared" si="48"/>
        <v>141.66864892678282</v>
      </c>
      <c r="C561" s="8"/>
      <c r="D561" s="3">
        <f t="shared" si="49"/>
        <v>135.3287989238982</v>
      </c>
      <c r="F561" s="3">
        <f t="shared" si="50"/>
        <v>-41.668648926782822</v>
      </c>
      <c r="G561" s="3">
        <f t="shared" si="51"/>
        <v>6.3398500028846172</v>
      </c>
      <c r="H561" s="3">
        <f t="shared" si="52"/>
        <v>135.3287989238982</v>
      </c>
      <c r="I561" s="3"/>
    </row>
    <row r="562" spans="1:9" x14ac:dyDescent="0.15">
      <c r="A562" s="1">
        <v>553</v>
      </c>
      <c r="B562" s="3">
        <f t="shared" si="48"/>
        <v>141.91955241215481</v>
      </c>
      <c r="C562" s="8"/>
      <c r="D562" s="3">
        <f t="shared" si="49"/>
        <v>135.5797024092702</v>
      </c>
      <c r="F562" s="3">
        <f t="shared" si="50"/>
        <v>-41.919552412154815</v>
      </c>
      <c r="G562" s="3">
        <f t="shared" si="51"/>
        <v>6.3398500028846172</v>
      </c>
      <c r="H562" s="3">
        <f t="shared" si="52"/>
        <v>135.5797024092702</v>
      </c>
      <c r="I562" s="3"/>
    </row>
    <row r="563" spans="1:9" x14ac:dyDescent="0.15">
      <c r="A563" s="1">
        <v>554</v>
      </c>
      <c r="B563" s="3">
        <f t="shared" si="48"/>
        <v>142.17045589752681</v>
      </c>
      <c r="C563" s="8"/>
      <c r="D563" s="3">
        <f t="shared" si="49"/>
        <v>135.83060589464219</v>
      </c>
      <c r="F563" s="3">
        <f t="shared" si="50"/>
        <v>-42.170455897526807</v>
      </c>
      <c r="G563" s="3">
        <f t="shared" si="51"/>
        <v>6.3398500028846172</v>
      </c>
      <c r="H563" s="3">
        <f t="shared" si="52"/>
        <v>135.83060589464219</v>
      </c>
      <c r="I563" s="3"/>
    </row>
    <row r="564" spans="1:9" x14ac:dyDescent="0.15">
      <c r="A564" s="1">
        <v>555</v>
      </c>
      <c r="B564" s="3">
        <f t="shared" si="48"/>
        <v>142.4213593828988</v>
      </c>
      <c r="C564" s="8"/>
      <c r="D564" s="3">
        <f t="shared" si="49"/>
        <v>136.08150938001418</v>
      </c>
      <c r="F564" s="3">
        <f t="shared" si="50"/>
        <v>-42.4213593828988</v>
      </c>
      <c r="G564" s="3">
        <f t="shared" si="51"/>
        <v>6.3398500028846172</v>
      </c>
      <c r="H564" s="3">
        <f t="shared" si="52"/>
        <v>136.08150938001418</v>
      </c>
      <c r="I564" s="3"/>
    </row>
    <row r="565" spans="1:9" x14ac:dyDescent="0.15">
      <c r="A565" s="1">
        <v>556</v>
      </c>
      <c r="B565" s="3">
        <f t="shared" si="48"/>
        <v>142.67226286827079</v>
      </c>
      <c r="C565" s="8"/>
      <c r="D565" s="3">
        <f t="shared" si="49"/>
        <v>136.33241286538617</v>
      </c>
      <c r="F565" s="3">
        <f t="shared" si="50"/>
        <v>-42.672262868270792</v>
      </c>
      <c r="G565" s="3">
        <f t="shared" si="51"/>
        <v>6.3398500028846172</v>
      </c>
      <c r="H565" s="3">
        <f t="shared" si="52"/>
        <v>136.33241286538617</v>
      </c>
      <c r="I565" s="3"/>
    </row>
    <row r="566" spans="1:9" x14ac:dyDescent="0.15">
      <c r="A566" s="1">
        <v>557</v>
      </c>
      <c r="B566" s="3">
        <f t="shared" si="48"/>
        <v>142.92316635364278</v>
      </c>
      <c r="C566" s="8"/>
      <c r="D566" s="3">
        <f t="shared" si="49"/>
        <v>136.58331635075817</v>
      </c>
      <c r="F566" s="3">
        <f t="shared" si="50"/>
        <v>-42.923166353642785</v>
      </c>
      <c r="G566" s="3">
        <f t="shared" si="51"/>
        <v>6.3398500028846172</v>
      </c>
      <c r="H566" s="3">
        <f t="shared" si="52"/>
        <v>136.58331635075817</v>
      </c>
      <c r="I566" s="3"/>
    </row>
    <row r="567" spans="1:9" x14ac:dyDescent="0.15">
      <c r="A567" s="1">
        <v>558</v>
      </c>
      <c r="B567" s="3">
        <f t="shared" si="48"/>
        <v>143.17406983901478</v>
      </c>
      <c r="C567" s="8"/>
      <c r="D567" s="3">
        <f t="shared" si="49"/>
        <v>136.83421983613016</v>
      </c>
      <c r="F567" s="3">
        <f t="shared" si="50"/>
        <v>-43.174069839014777</v>
      </c>
      <c r="G567" s="3">
        <f t="shared" si="51"/>
        <v>6.3398500028846172</v>
      </c>
      <c r="H567" s="3">
        <f t="shared" si="52"/>
        <v>136.83421983613016</v>
      </c>
      <c r="I567" s="3"/>
    </row>
    <row r="568" spans="1:9" x14ac:dyDescent="0.15">
      <c r="A568" s="1">
        <v>559</v>
      </c>
      <c r="B568" s="3">
        <f t="shared" si="48"/>
        <v>143.42497332438677</v>
      </c>
      <c r="C568" s="8"/>
      <c r="D568" s="3">
        <f t="shared" si="49"/>
        <v>137.08512332150215</v>
      </c>
      <c r="F568" s="3">
        <f t="shared" si="50"/>
        <v>-43.424973324386769</v>
      </c>
      <c r="G568" s="3">
        <f t="shared" si="51"/>
        <v>6.3398500028846172</v>
      </c>
      <c r="H568" s="3">
        <f t="shared" si="52"/>
        <v>137.08512332150215</v>
      </c>
      <c r="I568" s="3"/>
    </row>
    <row r="569" spans="1:9" x14ac:dyDescent="0.15">
      <c r="A569" s="1">
        <v>560</v>
      </c>
      <c r="B569" s="3">
        <f t="shared" si="48"/>
        <v>143.67587680975876</v>
      </c>
      <c r="C569" s="8"/>
      <c r="D569" s="3">
        <f t="shared" si="49"/>
        <v>137.33602680687414</v>
      </c>
      <c r="F569" s="3">
        <f t="shared" si="50"/>
        <v>-43.675876809758762</v>
      </c>
      <c r="G569" s="3">
        <f t="shared" si="51"/>
        <v>6.3398500028846172</v>
      </c>
      <c r="H569" s="3">
        <f t="shared" si="52"/>
        <v>137.33602680687414</v>
      </c>
      <c r="I569" s="3"/>
    </row>
    <row r="570" spans="1:9" x14ac:dyDescent="0.15">
      <c r="A570" s="1">
        <v>561</v>
      </c>
      <c r="B570" s="3">
        <f t="shared" si="48"/>
        <v>143.92678029513075</v>
      </c>
      <c r="C570" s="8"/>
      <c r="D570" s="3">
        <f t="shared" si="49"/>
        <v>137.58693029224614</v>
      </c>
      <c r="F570" s="3">
        <f t="shared" si="50"/>
        <v>-43.926780295130754</v>
      </c>
      <c r="G570" s="3">
        <f t="shared" si="51"/>
        <v>6.3398500028846172</v>
      </c>
      <c r="H570" s="3">
        <f t="shared" si="52"/>
        <v>137.58693029224614</v>
      </c>
      <c r="I570" s="3"/>
    </row>
    <row r="571" spans="1:9" x14ac:dyDescent="0.15">
      <c r="A571" s="1">
        <v>562</v>
      </c>
      <c r="B571" s="3">
        <f t="shared" si="48"/>
        <v>144.17768378050275</v>
      </c>
      <c r="C571" s="8"/>
      <c r="D571" s="3">
        <f t="shared" si="49"/>
        <v>137.83783377761813</v>
      </c>
      <c r="F571" s="3">
        <f t="shared" si="50"/>
        <v>-44.177683780502747</v>
      </c>
      <c r="G571" s="3">
        <f t="shared" si="51"/>
        <v>6.3398500028846172</v>
      </c>
      <c r="H571" s="3">
        <f t="shared" si="52"/>
        <v>137.83783377761813</v>
      </c>
      <c r="I571" s="3"/>
    </row>
    <row r="572" spans="1:9" x14ac:dyDescent="0.15">
      <c r="A572" s="1">
        <v>563</v>
      </c>
      <c r="B572" s="3">
        <f t="shared" si="48"/>
        <v>144.42858726587474</v>
      </c>
      <c r="C572" s="8"/>
      <c r="D572" s="3">
        <f t="shared" si="49"/>
        <v>138.08873726299012</v>
      </c>
      <c r="F572" s="3">
        <f t="shared" si="50"/>
        <v>-44.428587265874739</v>
      </c>
      <c r="G572" s="3">
        <f t="shared" si="51"/>
        <v>6.3398500028846172</v>
      </c>
      <c r="H572" s="3">
        <f t="shared" si="52"/>
        <v>138.08873726299012</v>
      </c>
      <c r="I572" s="3"/>
    </row>
    <row r="573" spans="1:9" x14ac:dyDescent="0.15">
      <c r="A573" s="1">
        <v>564</v>
      </c>
      <c r="B573" s="3">
        <f t="shared" si="48"/>
        <v>144.67949075124673</v>
      </c>
      <c r="C573" s="8"/>
      <c r="D573" s="3">
        <f t="shared" si="49"/>
        <v>138.33964074836211</v>
      </c>
      <c r="F573" s="3">
        <f t="shared" si="50"/>
        <v>-44.679490751246732</v>
      </c>
      <c r="G573" s="3">
        <f t="shared" si="51"/>
        <v>6.3398500028846172</v>
      </c>
      <c r="H573" s="3">
        <f t="shared" si="52"/>
        <v>138.33964074836211</v>
      </c>
      <c r="I573" s="3"/>
    </row>
    <row r="574" spans="1:9" x14ac:dyDescent="0.15">
      <c r="A574" s="1">
        <v>565</v>
      </c>
      <c r="B574" s="3">
        <f t="shared" si="48"/>
        <v>144.93039423661872</v>
      </c>
      <c r="C574" s="8"/>
      <c r="D574" s="3">
        <f t="shared" si="49"/>
        <v>138.59054423373411</v>
      </c>
      <c r="F574" s="3">
        <f t="shared" si="50"/>
        <v>-44.930394236618724</v>
      </c>
      <c r="G574" s="3">
        <f t="shared" si="51"/>
        <v>6.3398500028846172</v>
      </c>
      <c r="H574" s="3">
        <f t="shared" si="52"/>
        <v>138.59054423373411</v>
      </c>
      <c r="I574" s="3"/>
    </row>
    <row r="575" spans="1:9" x14ac:dyDescent="0.15">
      <c r="A575" s="1">
        <v>566</v>
      </c>
      <c r="B575" s="3">
        <f t="shared" si="48"/>
        <v>145.18129772199072</v>
      </c>
      <c r="C575" s="8"/>
      <c r="D575" s="3">
        <f t="shared" si="49"/>
        <v>138.8414477191061</v>
      </c>
      <c r="F575" s="3">
        <f t="shared" si="50"/>
        <v>-45.181297721990717</v>
      </c>
      <c r="G575" s="3">
        <f t="shared" si="51"/>
        <v>6.3398500028846172</v>
      </c>
      <c r="H575" s="3">
        <f t="shared" si="52"/>
        <v>138.8414477191061</v>
      </c>
      <c r="I575" s="3"/>
    </row>
    <row r="576" spans="1:9" x14ac:dyDescent="0.15">
      <c r="A576" s="1">
        <v>567</v>
      </c>
      <c r="B576" s="3">
        <f t="shared" si="48"/>
        <v>145.43220120736271</v>
      </c>
      <c r="C576" s="8"/>
      <c r="D576" s="3">
        <f t="shared" si="49"/>
        <v>139.09235120447809</v>
      </c>
      <c r="F576" s="3">
        <f t="shared" si="50"/>
        <v>-45.432201207362709</v>
      </c>
      <c r="G576" s="3">
        <f t="shared" si="51"/>
        <v>6.3398500028846172</v>
      </c>
      <c r="H576" s="3">
        <f t="shared" si="52"/>
        <v>139.09235120447809</v>
      </c>
      <c r="I576" s="3"/>
    </row>
    <row r="577" spans="1:9" x14ac:dyDescent="0.15">
      <c r="A577" s="1">
        <v>568</v>
      </c>
      <c r="B577" s="3">
        <f t="shared" si="48"/>
        <v>145.6831046927347</v>
      </c>
      <c r="C577" s="8"/>
      <c r="D577" s="3">
        <f t="shared" si="49"/>
        <v>139.34325468985008</v>
      </c>
      <c r="F577" s="3">
        <f t="shared" si="50"/>
        <v>-45.683104692734702</v>
      </c>
      <c r="G577" s="3">
        <f t="shared" si="51"/>
        <v>6.3398500028846172</v>
      </c>
      <c r="H577" s="3">
        <f t="shared" si="52"/>
        <v>139.34325468985008</v>
      </c>
      <c r="I577" s="3"/>
    </row>
    <row r="578" spans="1:9" x14ac:dyDescent="0.15">
      <c r="A578" s="1">
        <v>569</v>
      </c>
      <c r="B578" s="3">
        <f t="shared" si="48"/>
        <v>145.93400817810669</v>
      </c>
      <c r="C578" s="8"/>
      <c r="D578" s="3">
        <f t="shared" si="49"/>
        <v>139.59415817522208</v>
      </c>
      <c r="F578" s="3">
        <f t="shared" si="50"/>
        <v>-45.934008178106694</v>
      </c>
      <c r="G578" s="3">
        <f t="shared" si="51"/>
        <v>6.3398500028846172</v>
      </c>
      <c r="H578" s="3">
        <f t="shared" si="52"/>
        <v>139.59415817522208</v>
      </c>
      <c r="I578" s="3"/>
    </row>
    <row r="579" spans="1:9" x14ac:dyDescent="0.15">
      <c r="A579" s="1">
        <v>570</v>
      </c>
      <c r="B579" s="3">
        <f t="shared" si="48"/>
        <v>146.18491166347869</v>
      </c>
      <c r="C579" s="8"/>
      <c r="D579" s="3">
        <f t="shared" si="49"/>
        <v>139.84506166059407</v>
      </c>
      <c r="F579" s="3">
        <f t="shared" si="50"/>
        <v>-46.184911663478687</v>
      </c>
      <c r="G579" s="3">
        <f t="shared" si="51"/>
        <v>6.3398500028846172</v>
      </c>
      <c r="H579" s="3">
        <f t="shared" si="52"/>
        <v>139.84506166059407</v>
      </c>
      <c r="I579" s="3"/>
    </row>
    <row r="580" spans="1:9" x14ac:dyDescent="0.15">
      <c r="A580" s="1">
        <v>571</v>
      </c>
      <c r="B580" s="3">
        <f t="shared" si="48"/>
        <v>146.43581514885068</v>
      </c>
      <c r="C580" s="8"/>
      <c r="D580" s="3">
        <f t="shared" si="49"/>
        <v>140.09596514596609</v>
      </c>
      <c r="F580" s="3">
        <f t="shared" si="50"/>
        <v>-46.435815148850679</v>
      </c>
      <c r="G580" s="3">
        <f t="shared" si="51"/>
        <v>6.3398500028845888</v>
      </c>
      <c r="H580" s="3">
        <f t="shared" si="52"/>
        <v>140.09596514596609</v>
      </c>
      <c r="I580" s="3"/>
    </row>
    <row r="581" spans="1:9" x14ac:dyDescent="0.15">
      <c r="A581" s="1">
        <v>572</v>
      </c>
      <c r="B581" s="3">
        <f t="shared" si="48"/>
        <v>146.68671863422267</v>
      </c>
      <c r="C581" s="8"/>
      <c r="D581" s="3">
        <f t="shared" si="49"/>
        <v>140.34686863133808</v>
      </c>
      <c r="F581" s="3">
        <f t="shared" si="50"/>
        <v>-46.686718634222672</v>
      </c>
      <c r="G581" s="3">
        <f t="shared" si="51"/>
        <v>6.3398500028845888</v>
      </c>
      <c r="H581" s="3">
        <f t="shared" si="52"/>
        <v>140.34686863133808</v>
      </c>
      <c r="I581" s="3"/>
    </row>
    <row r="582" spans="1:9" x14ac:dyDescent="0.15">
      <c r="A582" s="1">
        <v>573</v>
      </c>
      <c r="B582" s="3">
        <f t="shared" si="48"/>
        <v>146.93762211959469</v>
      </c>
      <c r="C582" s="8"/>
      <c r="D582" s="3">
        <f t="shared" si="49"/>
        <v>140.59777211671008</v>
      </c>
      <c r="F582" s="3">
        <f t="shared" si="50"/>
        <v>-46.937622119594693</v>
      </c>
      <c r="G582" s="3">
        <f t="shared" si="51"/>
        <v>6.3398500028846172</v>
      </c>
      <c r="H582" s="3">
        <f t="shared" si="52"/>
        <v>140.59777211671008</v>
      </c>
      <c r="I582" s="3"/>
    </row>
    <row r="583" spans="1:9" x14ac:dyDescent="0.15">
      <c r="A583" s="1">
        <v>574</v>
      </c>
      <c r="B583" s="3">
        <f t="shared" si="48"/>
        <v>147.18852560496669</v>
      </c>
      <c r="C583" s="8"/>
      <c r="D583" s="3">
        <f t="shared" si="49"/>
        <v>140.84867560208207</v>
      </c>
      <c r="F583" s="3">
        <f t="shared" si="50"/>
        <v>-47.188525604966685</v>
      </c>
      <c r="G583" s="3">
        <f t="shared" si="51"/>
        <v>6.3398500028846172</v>
      </c>
      <c r="H583" s="3">
        <f t="shared" si="52"/>
        <v>140.84867560208207</v>
      </c>
      <c r="I583" s="3"/>
    </row>
    <row r="584" spans="1:9" x14ac:dyDescent="0.15">
      <c r="A584" s="1">
        <v>575</v>
      </c>
      <c r="B584" s="3">
        <f t="shared" si="48"/>
        <v>147.43942909033868</v>
      </c>
      <c r="C584" s="8"/>
      <c r="D584" s="3">
        <f t="shared" si="49"/>
        <v>141.09957908745406</v>
      </c>
      <c r="F584" s="3">
        <f t="shared" si="50"/>
        <v>-47.439429090338677</v>
      </c>
      <c r="G584" s="3">
        <f t="shared" si="51"/>
        <v>6.3398500028846172</v>
      </c>
      <c r="H584" s="3">
        <f t="shared" si="52"/>
        <v>141.09957908745406</v>
      </c>
      <c r="I584" s="3"/>
    </row>
    <row r="585" spans="1:9" x14ac:dyDescent="0.15">
      <c r="A585" s="1">
        <v>576</v>
      </c>
      <c r="B585" s="3">
        <f t="shared" si="48"/>
        <v>147.69033257571067</v>
      </c>
      <c r="C585" s="8"/>
      <c r="D585" s="3">
        <f t="shared" si="49"/>
        <v>141.35048257282605</v>
      </c>
      <c r="F585" s="3">
        <f t="shared" si="50"/>
        <v>-47.69033257571067</v>
      </c>
      <c r="G585" s="3">
        <f t="shared" si="51"/>
        <v>6.3398500028846172</v>
      </c>
      <c r="H585" s="3">
        <f t="shared" si="52"/>
        <v>141.35048257282605</v>
      </c>
      <c r="I585" s="3"/>
    </row>
    <row r="586" spans="1:9" x14ac:dyDescent="0.15">
      <c r="A586" s="1">
        <v>577</v>
      </c>
      <c r="B586" s="3">
        <f t="shared" si="48"/>
        <v>147.94123606108266</v>
      </c>
      <c r="C586" s="8"/>
      <c r="D586" s="3">
        <f t="shared" si="49"/>
        <v>141.60138605819805</v>
      </c>
      <c r="F586" s="3">
        <f t="shared" si="50"/>
        <v>-47.941236061082662</v>
      </c>
      <c r="G586" s="3">
        <f t="shared" si="51"/>
        <v>6.3398500028846172</v>
      </c>
      <c r="H586" s="3">
        <f t="shared" si="52"/>
        <v>141.60138605819805</v>
      </c>
      <c r="I586" s="3"/>
    </row>
    <row r="587" spans="1:9" x14ac:dyDescent="0.15">
      <c r="A587" s="1">
        <v>578</v>
      </c>
      <c r="B587" s="3">
        <f t="shared" ref="B587:B650" si="53">+(B$4*A587)+B$5</f>
        <v>148.19213954645465</v>
      </c>
      <c r="C587" s="8"/>
      <c r="D587" s="3">
        <f t="shared" ref="D587:D650" si="54">+(D$4*A587)+D$5</f>
        <v>141.85228954357004</v>
      </c>
      <c r="F587" s="3">
        <f t="shared" ref="F587:F650" si="55">+xmax-B587</f>
        <v>-48.192139546454655</v>
      </c>
      <c r="G587" s="3">
        <f t="shared" ref="G587:G650" si="56">+B587-D587</f>
        <v>6.3398500028846172</v>
      </c>
      <c r="H587" s="3">
        <f t="shared" ref="H587:H650" si="57">D587</f>
        <v>141.85228954357004</v>
      </c>
      <c r="I587" s="3"/>
    </row>
    <row r="588" spans="1:9" x14ac:dyDescent="0.15">
      <c r="A588" s="1">
        <v>579</v>
      </c>
      <c r="B588" s="3">
        <f t="shared" si="53"/>
        <v>148.44304303182665</v>
      </c>
      <c r="C588" s="8"/>
      <c r="D588" s="3">
        <f t="shared" si="54"/>
        <v>142.10319302894203</v>
      </c>
      <c r="F588" s="3">
        <f t="shared" si="55"/>
        <v>-48.443043031826647</v>
      </c>
      <c r="G588" s="3">
        <f t="shared" si="56"/>
        <v>6.3398500028846172</v>
      </c>
      <c r="H588" s="3">
        <f t="shared" si="57"/>
        <v>142.10319302894203</v>
      </c>
      <c r="I588" s="3"/>
    </row>
    <row r="589" spans="1:9" x14ac:dyDescent="0.15">
      <c r="A589" s="1">
        <v>580</v>
      </c>
      <c r="B589" s="3">
        <f t="shared" si="53"/>
        <v>148.69394651719864</v>
      </c>
      <c r="C589" s="8"/>
      <c r="D589" s="3">
        <f t="shared" si="54"/>
        <v>142.35409651431402</v>
      </c>
      <c r="F589" s="3">
        <f t="shared" si="55"/>
        <v>-48.69394651719864</v>
      </c>
      <c r="G589" s="3">
        <f t="shared" si="56"/>
        <v>6.3398500028846172</v>
      </c>
      <c r="H589" s="3">
        <f t="shared" si="57"/>
        <v>142.35409651431402</v>
      </c>
      <c r="I589" s="3"/>
    </row>
    <row r="590" spans="1:9" x14ac:dyDescent="0.15">
      <c r="A590" s="1">
        <v>581</v>
      </c>
      <c r="B590" s="3">
        <f t="shared" si="53"/>
        <v>148.94485000257063</v>
      </c>
      <c r="C590" s="8"/>
      <c r="D590" s="3">
        <f t="shared" si="54"/>
        <v>142.60499999968602</v>
      </c>
      <c r="F590" s="3">
        <f t="shared" si="55"/>
        <v>-48.944850002570632</v>
      </c>
      <c r="G590" s="3">
        <f t="shared" si="56"/>
        <v>6.3398500028846172</v>
      </c>
      <c r="H590" s="3">
        <f t="shared" si="57"/>
        <v>142.60499999968602</v>
      </c>
      <c r="I590" s="3"/>
    </row>
    <row r="591" spans="1:9" x14ac:dyDescent="0.15">
      <c r="A591" s="1">
        <v>582</v>
      </c>
      <c r="B591" s="3">
        <f t="shared" si="53"/>
        <v>149.19575348794262</v>
      </c>
      <c r="C591" s="8"/>
      <c r="D591" s="3">
        <f t="shared" si="54"/>
        <v>142.85590348505801</v>
      </c>
      <c r="F591" s="3">
        <f t="shared" si="55"/>
        <v>-49.195753487942625</v>
      </c>
      <c r="G591" s="3">
        <f t="shared" si="56"/>
        <v>6.3398500028846172</v>
      </c>
      <c r="H591" s="3">
        <f t="shared" si="57"/>
        <v>142.85590348505801</v>
      </c>
      <c r="I591" s="3"/>
    </row>
    <row r="592" spans="1:9" x14ac:dyDescent="0.15">
      <c r="A592" s="1">
        <v>583</v>
      </c>
      <c r="B592" s="3">
        <f t="shared" si="53"/>
        <v>149.44665697331462</v>
      </c>
      <c r="C592" s="8"/>
      <c r="D592" s="3">
        <f t="shared" si="54"/>
        <v>143.10680697043</v>
      </c>
      <c r="F592" s="3">
        <f t="shared" si="55"/>
        <v>-49.446656973314617</v>
      </c>
      <c r="G592" s="3">
        <f t="shared" si="56"/>
        <v>6.3398500028846172</v>
      </c>
      <c r="H592" s="3">
        <f t="shared" si="57"/>
        <v>143.10680697043</v>
      </c>
      <c r="I592" s="3"/>
    </row>
    <row r="593" spans="1:9" x14ac:dyDescent="0.15">
      <c r="A593" s="1">
        <v>584</v>
      </c>
      <c r="B593" s="3">
        <f t="shared" si="53"/>
        <v>149.69756045868661</v>
      </c>
      <c r="C593" s="8"/>
      <c r="D593" s="3">
        <f t="shared" si="54"/>
        <v>143.35771045580199</v>
      </c>
      <c r="F593" s="3">
        <f t="shared" si="55"/>
        <v>-49.69756045868661</v>
      </c>
      <c r="G593" s="3">
        <f t="shared" si="56"/>
        <v>6.3398500028846172</v>
      </c>
      <c r="H593" s="3">
        <f t="shared" si="57"/>
        <v>143.35771045580199</v>
      </c>
      <c r="I593" s="3"/>
    </row>
    <row r="594" spans="1:9" x14ac:dyDescent="0.15">
      <c r="A594" s="1">
        <v>585</v>
      </c>
      <c r="B594" s="3">
        <f t="shared" si="53"/>
        <v>149.9484639440586</v>
      </c>
      <c r="C594" s="8"/>
      <c r="D594" s="3">
        <f t="shared" si="54"/>
        <v>143.60861394117399</v>
      </c>
      <c r="F594" s="3">
        <f t="shared" si="55"/>
        <v>-49.948463944058602</v>
      </c>
      <c r="G594" s="3">
        <f t="shared" si="56"/>
        <v>6.3398500028846172</v>
      </c>
      <c r="H594" s="3">
        <f t="shared" si="57"/>
        <v>143.60861394117399</v>
      </c>
      <c r="I594" s="3"/>
    </row>
    <row r="595" spans="1:9" x14ac:dyDescent="0.15">
      <c r="A595" s="1">
        <v>586</v>
      </c>
      <c r="B595" s="3">
        <f t="shared" si="53"/>
        <v>150.19936742943059</v>
      </c>
      <c r="C595" s="8"/>
      <c r="D595" s="3">
        <f t="shared" si="54"/>
        <v>143.85951742654598</v>
      </c>
      <c r="F595" s="3">
        <f t="shared" si="55"/>
        <v>-50.199367429430595</v>
      </c>
      <c r="G595" s="3">
        <f t="shared" si="56"/>
        <v>6.3398500028846172</v>
      </c>
      <c r="H595" s="3">
        <f t="shared" si="57"/>
        <v>143.85951742654598</v>
      </c>
      <c r="I595" s="3"/>
    </row>
    <row r="596" spans="1:9" x14ac:dyDescent="0.15">
      <c r="A596" s="1">
        <v>587</v>
      </c>
      <c r="B596" s="3">
        <f t="shared" si="53"/>
        <v>150.45027091480259</v>
      </c>
      <c r="C596" s="8"/>
      <c r="D596" s="3">
        <f t="shared" si="54"/>
        <v>144.11042091191797</v>
      </c>
      <c r="F596" s="3">
        <f t="shared" si="55"/>
        <v>-50.450270914802587</v>
      </c>
      <c r="G596" s="3">
        <f t="shared" si="56"/>
        <v>6.3398500028846172</v>
      </c>
      <c r="H596" s="3">
        <f t="shared" si="57"/>
        <v>144.11042091191797</v>
      </c>
      <c r="I596" s="3"/>
    </row>
    <row r="597" spans="1:9" x14ac:dyDescent="0.15">
      <c r="A597" s="1">
        <v>588</v>
      </c>
      <c r="B597" s="3">
        <f t="shared" si="53"/>
        <v>150.70117440017458</v>
      </c>
      <c r="C597" s="8"/>
      <c r="D597" s="3">
        <f t="shared" si="54"/>
        <v>144.36132439728996</v>
      </c>
      <c r="F597" s="3">
        <f t="shared" si="55"/>
        <v>-50.70117440017458</v>
      </c>
      <c r="G597" s="3">
        <f t="shared" si="56"/>
        <v>6.3398500028846172</v>
      </c>
      <c r="H597" s="3">
        <f t="shared" si="57"/>
        <v>144.36132439728996</v>
      </c>
      <c r="I597" s="3"/>
    </row>
    <row r="598" spans="1:9" x14ac:dyDescent="0.15">
      <c r="A598" s="1">
        <v>589</v>
      </c>
      <c r="B598" s="3">
        <f t="shared" si="53"/>
        <v>150.95207788554657</v>
      </c>
      <c r="C598" s="8"/>
      <c r="D598" s="3">
        <f t="shared" si="54"/>
        <v>144.61222788266195</v>
      </c>
      <c r="F598" s="3">
        <f t="shared" si="55"/>
        <v>-50.952077885546572</v>
      </c>
      <c r="G598" s="3">
        <f t="shared" si="56"/>
        <v>6.3398500028846172</v>
      </c>
      <c r="H598" s="3">
        <f t="shared" si="57"/>
        <v>144.61222788266195</v>
      </c>
      <c r="I598" s="3"/>
    </row>
    <row r="599" spans="1:9" x14ac:dyDescent="0.15">
      <c r="A599" s="1">
        <v>590</v>
      </c>
      <c r="B599" s="3">
        <f t="shared" si="53"/>
        <v>151.20298137091856</v>
      </c>
      <c r="C599" s="8"/>
      <c r="D599" s="3">
        <f t="shared" si="54"/>
        <v>144.86313136803395</v>
      </c>
      <c r="F599" s="3">
        <f t="shared" si="55"/>
        <v>-51.202981370918565</v>
      </c>
      <c r="G599" s="3">
        <f t="shared" si="56"/>
        <v>6.3398500028846172</v>
      </c>
      <c r="H599" s="3">
        <f t="shared" si="57"/>
        <v>144.86313136803395</v>
      </c>
      <c r="I599" s="3"/>
    </row>
    <row r="600" spans="1:9" x14ac:dyDescent="0.15">
      <c r="A600" s="1">
        <v>591</v>
      </c>
      <c r="B600" s="3">
        <f t="shared" si="53"/>
        <v>151.45388485629056</v>
      </c>
      <c r="C600" s="8"/>
      <c r="D600" s="3">
        <f t="shared" si="54"/>
        <v>145.11403485340594</v>
      </c>
      <c r="F600" s="3">
        <f t="shared" si="55"/>
        <v>-51.453884856290557</v>
      </c>
      <c r="G600" s="3">
        <f t="shared" si="56"/>
        <v>6.3398500028846172</v>
      </c>
      <c r="H600" s="3">
        <f t="shared" si="57"/>
        <v>145.11403485340594</v>
      </c>
      <c r="I600" s="3"/>
    </row>
    <row r="601" spans="1:9" x14ac:dyDescent="0.15">
      <c r="A601" s="1">
        <v>592</v>
      </c>
      <c r="B601" s="3">
        <f t="shared" si="53"/>
        <v>151.70478834166255</v>
      </c>
      <c r="C601" s="8"/>
      <c r="D601" s="3">
        <f t="shared" si="54"/>
        <v>145.36493833877793</v>
      </c>
      <c r="F601" s="3">
        <f t="shared" si="55"/>
        <v>-51.70478834166255</v>
      </c>
      <c r="G601" s="3">
        <f t="shared" si="56"/>
        <v>6.3398500028846172</v>
      </c>
      <c r="H601" s="3">
        <f t="shared" si="57"/>
        <v>145.36493833877793</v>
      </c>
      <c r="I601" s="3"/>
    </row>
    <row r="602" spans="1:9" x14ac:dyDescent="0.15">
      <c r="A602" s="1">
        <v>593</v>
      </c>
      <c r="B602" s="3">
        <f t="shared" si="53"/>
        <v>151.95569182703454</v>
      </c>
      <c r="C602" s="8"/>
      <c r="D602" s="3">
        <f t="shared" si="54"/>
        <v>145.61584182414992</v>
      </c>
      <c r="F602" s="3">
        <f t="shared" si="55"/>
        <v>-51.955691827034542</v>
      </c>
      <c r="G602" s="3">
        <f t="shared" si="56"/>
        <v>6.3398500028846172</v>
      </c>
      <c r="H602" s="3">
        <f t="shared" si="57"/>
        <v>145.61584182414992</v>
      </c>
      <c r="I602" s="3"/>
    </row>
    <row r="603" spans="1:9" x14ac:dyDescent="0.15">
      <c r="A603" s="1">
        <v>594</v>
      </c>
      <c r="B603" s="3">
        <f t="shared" si="53"/>
        <v>152.20659531240653</v>
      </c>
      <c r="C603" s="8"/>
      <c r="D603" s="3">
        <f t="shared" si="54"/>
        <v>145.86674530952195</v>
      </c>
      <c r="F603" s="3">
        <f t="shared" si="55"/>
        <v>-52.206595312406535</v>
      </c>
      <c r="G603" s="3">
        <f t="shared" si="56"/>
        <v>6.3398500028845888</v>
      </c>
      <c r="H603" s="3">
        <f t="shared" si="57"/>
        <v>145.86674530952195</v>
      </c>
      <c r="I603" s="3"/>
    </row>
    <row r="604" spans="1:9" x14ac:dyDescent="0.15">
      <c r="A604" s="1">
        <v>595</v>
      </c>
      <c r="B604" s="3">
        <f t="shared" si="53"/>
        <v>152.45749879777853</v>
      </c>
      <c r="C604" s="8"/>
      <c r="D604" s="3">
        <f t="shared" si="54"/>
        <v>146.11764879489394</v>
      </c>
      <c r="F604" s="3">
        <f t="shared" si="55"/>
        <v>-52.457498797778527</v>
      </c>
      <c r="G604" s="3">
        <f t="shared" si="56"/>
        <v>6.3398500028845888</v>
      </c>
      <c r="H604" s="3">
        <f t="shared" si="57"/>
        <v>146.11764879489394</v>
      </c>
      <c r="I604" s="3"/>
    </row>
    <row r="605" spans="1:9" x14ac:dyDescent="0.15">
      <c r="A605" s="1">
        <v>596</v>
      </c>
      <c r="B605" s="3">
        <f t="shared" si="53"/>
        <v>152.70840228315052</v>
      </c>
      <c r="C605" s="8"/>
      <c r="D605" s="3">
        <f t="shared" si="54"/>
        <v>146.36855228026593</v>
      </c>
      <c r="F605" s="3">
        <f t="shared" si="55"/>
        <v>-52.708402283150519</v>
      </c>
      <c r="G605" s="3">
        <f t="shared" si="56"/>
        <v>6.3398500028845888</v>
      </c>
      <c r="H605" s="3">
        <f t="shared" si="57"/>
        <v>146.36855228026593</v>
      </c>
      <c r="I605" s="3"/>
    </row>
    <row r="606" spans="1:9" x14ac:dyDescent="0.15">
      <c r="A606" s="1">
        <v>597</v>
      </c>
      <c r="B606" s="3">
        <f t="shared" si="53"/>
        <v>152.95930576852251</v>
      </c>
      <c r="C606" s="8"/>
      <c r="D606" s="3">
        <f t="shared" si="54"/>
        <v>146.61945576563792</v>
      </c>
      <c r="F606" s="3">
        <f t="shared" si="55"/>
        <v>-52.959305768522512</v>
      </c>
      <c r="G606" s="3">
        <f t="shared" si="56"/>
        <v>6.3398500028845888</v>
      </c>
      <c r="H606" s="3">
        <f t="shared" si="57"/>
        <v>146.61945576563792</v>
      </c>
      <c r="I606" s="3"/>
    </row>
    <row r="607" spans="1:9" x14ac:dyDescent="0.15">
      <c r="A607" s="1">
        <v>598</v>
      </c>
      <c r="B607" s="3">
        <f t="shared" si="53"/>
        <v>153.21020925389453</v>
      </c>
      <c r="C607" s="8"/>
      <c r="D607" s="3">
        <f t="shared" si="54"/>
        <v>146.87035925100992</v>
      </c>
      <c r="F607" s="3">
        <f t="shared" si="55"/>
        <v>-53.210209253894533</v>
      </c>
      <c r="G607" s="3">
        <f t="shared" si="56"/>
        <v>6.3398500028846172</v>
      </c>
      <c r="H607" s="3">
        <f t="shared" si="57"/>
        <v>146.87035925100992</v>
      </c>
      <c r="I607" s="3"/>
    </row>
    <row r="608" spans="1:9" x14ac:dyDescent="0.15">
      <c r="A608" s="1">
        <v>599</v>
      </c>
      <c r="B608" s="3">
        <f t="shared" si="53"/>
        <v>153.46111273926653</v>
      </c>
      <c r="C608" s="8"/>
      <c r="D608" s="3">
        <f t="shared" si="54"/>
        <v>147.12126273638191</v>
      </c>
      <c r="F608" s="3">
        <f t="shared" si="55"/>
        <v>-53.461112739266525</v>
      </c>
      <c r="G608" s="3">
        <f t="shared" si="56"/>
        <v>6.3398500028846172</v>
      </c>
      <c r="H608" s="3">
        <f t="shared" si="57"/>
        <v>147.12126273638191</v>
      </c>
      <c r="I608" s="3"/>
    </row>
    <row r="609" spans="1:9" x14ac:dyDescent="0.15">
      <c r="A609" s="1">
        <v>600</v>
      </c>
      <c r="B609" s="3">
        <f t="shared" si="53"/>
        <v>153.71201622463852</v>
      </c>
      <c r="C609" s="8"/>
      <c r="D609" s="3">
        <f t="shared" si="54"/>
        <v>147.3721662217539</v>
      </c>
      <c r="F609" s="3">
        <f t="shared" si="55"/>
        <v>-53.712016224638518</v>
      </c>
      <c r="G609" s="3">
        <f t="shared" si="56"/>
        <v>6.3398500028846172</v>
      </c>
      <c r="H609" s="3">
        <f t="shared" si="57"/>
        <v>147.3721662217539</v>
      </c>
      <c r="I609" s="3"/>
    </row>
    <row r="610" spans="1:9" x14ac:dyDescent="0.15">
      <c r="A610" s="1">
        <v>601</v>
      </c>
      <c r="B610" s="3">
        <f t="shared" si="53"/>
        <v>153.96291971001051</v>
      </c>
      <c r="C610" s="8"/>
      <c r="D610" s="3">
        <f t="shared" si="54"/>
        <v>147.62306970712589</v>
      </c>
      <c r="F610" s="3">
        <f t="shared" si="55"/>
        <v>-53.96291971001051</v>
      </c>
      <c r="G610" s="3">
        <f t="shared" si="56"/>
        <v>6.3398500028846172</v>
      </c>
      <c r="H610" s="3">
        <f t="shared" si="57"/>
        <v>147.62306970712589</v>
      </c>
      <c r="I610" s="3"/>
    </row>
    <row r="611" spans="1:9" x14ac:dyDescent="0.15">
      <c r="A611" s="1">
        <v>602</v>
      </c>
      <c r="B611" s="3">
        <f t="shared" si="53"/>
        <v>154.2138231953825</v>
      </c>
      <c r="C611" s="8"/>
      <c r="D611" s="3">
        <f t="shared" si="54"/>
        <v>147.87397319249789</v>
      </c>
      <c r="F611" s="3">
        <f t="shared" si="55"/>
        <v>-54.213823195382503</v>
      </c>
      <c r="G611" s="3">
        <f t="shared" si="56"/>
        <v>6.3398500028846172</v>
      </c>
      <c r="H611" s="3">
        <f t="shared" si="57"/>
        <v>147.87397319249789</v>
      </c>
      <c r="I611" s="3"/>
    </row>
    <row r="612" spans="1:9" x14ac:dyDescent="0.15">
      <c r="A612" s="1">
        <v>603</v>
      </c>
      <c r="B612" s="3">
        <f t="shared" si="53"/>
        <v>154.4647266807545</v>
      </c>
      <c r="C612" s="8"/>
      <c r="D612" s="3">
        <f t="shared" si="54"/>
        <v>148.12487667786988</v>
      </c>
      <c r="F612" s="3">
        <f t="shared" si="55"/>
        <v>-54.464726680754495</v>
      </c>
      <c r="G612" s="3">
        <f t="shared" si="56"/>
        <v>6.3398500028846172</v>
      </c>
      <c r="H612" s="3">
        <f t="shared" si="57"/>
        <v>148.12487667786988</v>
      </c>
      <c r="I612" s="3"/>
    </row>
    <row r="613" spans="1:9" x14ac:dyDescent="0.15">
      <c r="A613" s="1">
        <v>604</v>
      </c>
      <c r="B613" s="3">
        <f t="shared" si="53"/>
        <v>154.71563016612649</v>
      </c>
      <c r="C613" s="8"/>
      <c r="D613" s="3">
        <f t="shared" si="54"/>
        <v>148.37578016324187</v>
      </c>
      <c r="F613" s="3">
        <f t="shared" si="55"/>
        <v>-54.715630166126488</v>
      </c>
      <c r="G613" s="3">
        <f t="shared" si="56"/>
        <v>6.3398500028846172</v>
      </c>
      <c r="H613" s="3">
        <f t="shared" si="57"/>
        <v>148.37578016324187</v>
      </c>
      <c r="I613" s="3"/>
    </row>
    <row r="614" spans="1:9" x14ac:dyDescent="0.15">
      <c r="A614" s="1">
        <v>605</v>
      </c>
      <c r="B614" s="3">
        <f t="shared" si="53"/>
        <v>154.96653365149848</v>
      </c>
      <c r="C614" s="8"/>
      <c r="D614" s="3">
        <f t="shared" si="54"/>
        <v>148.62668364861386</v>
      </c>
      <c r="F614" s="3">
        <f t="shared" si="55"/>
        <v>-54.96653365149848</v>
      </c>
      <c r="G614" s="3">
        <f t="shared" si="56"/>
        <v>6.3398500028846172</v>
      </c>
      <c r="H614" s="3">
        <f t="shared" si="57"/>
        <v>148.62668364861386</v>
      </c>
      <c r="I614" s="3"/>
    </row>
    <row r="615" spans="1:9" x14ac:dyDescent="0.15">
      <c r="A615" s="1">
        <v>606</v>
      </c>
      <c r="B615" s="3">
        <f t="shared" si="53"/>
        <v>155.21743713687047</v>
      </c>
      <c r="C615" s="8"/>
      <c r="D615" s="3">
        <f t="shared" si="54"/>
        <v>148.87758713398586</v>
      </c>
      <c r="F615" s="3">
        <f t="shared" si="55"/>
        <v>-55.217437136870473</v>
      </c>
      <c r="G615" s="3">
        <f t="shared" si="56"/>
        <v>6.3398500028846172</v>
      </c>
      <c r="H615" s="3">
        <f t="shared" si="57"/>
        <v>148.87758713398586</v>
      </c>
      <c r="I615" s="3"/>
    </row>
    <row r="616" spans="1:9" x14ac:dyDescent="0.15">
      <c r="A616" s="1">
        <v>607</v>
      </c>
      <c r="B616" s="3">
        <f t="shared" si="53"/>
        <v>155.46834062224247</v>
      </c>
      <c r="C616" s="8"/>
      <c r="D616" s="3">
        <f t="shared" si="54"/>
        <v>149.12849061935785</v>
      </c>
      <c r="F616" s="3">
        <f t="shared" si="55"/>
        <v>-55.468340622242465</v>
      </c>
      <c r="G616" s="3">
        <f t="shared" si="56"/>
        <v>6.3398500028846172</v>
      </c>
      <c r="H616" s="3">
        <f t="shared" si="57"/>
        <v>149.12849061935785</v>
      </c>
      <c r="I616" s="3"/>
    </row>
    <row r="617" spans="1:9" x14ac:dyDescent="0.15">
      <c r="A617" s="1">
        <v>608</v>
      </c>
      <c r="B617" s="3">
        <f t="shared" si="53"/>
        <v>155.71924410761446</v>
      </c>
      <c r="C617" s="8"/>
      <c r="D617" s="3">
        <f t="shared" si="54"/>
        <v>149.37939410472984</v>
      </c>
      <c r="F617" s="3">
        <f t="shared" si="55"/>
        <v>-55.719244107614458</v>
      </c>
      <c r="G617" s="3">
        <f t="shared" si="56"/>
        <v>6.3398500028846172</v>
      </c>
      <c r="H617" s="3">
        <f t="shared" si="57"/>
        <v>149.37939410472984</v>
      </c>
      <c r="I617" s="3"/>
    </row>
    <row r="618" spans="1:9" x14ac:dyDescent="0.15">
      <c r="A618" s="1">
        <v>609</v>
      </c>
      <c r="B618" s="3">
        <f t="shared" si="53"/>
        <v>155.97014759298645</v>
      </c>
      <c r="C618" s="8"/>
      <c r="D618" s="3">
        <f t="shared" si="54"/>
        <v>149.63029759010183</v>
      </c>
      <c r="F618" s="3">
        <f t="shared" si="55"/>
        <v>-55.97014759298645</v>
      </c>
      <c r="G618" s="3">
        <f t="shared" si="56"/>
        <v>6.3398500028846172</v>
      </c>
      <c r="H618" s="3">
        <f t="shared" si="57"/>
        <v>149.63029759010183</v>
      </c>
      <c r="I618" s="3"/>
    </row>
    <row r="619" spans="1:9" x14ac:dyDescent="0.15">
      <c r="A619" s="1">
        <v>610</v>
      </c>
      <c r="B619" s="3">
        <f t="shared" si="53"/>
        <v>156.22105107835844</v>
      </c>
      <c r="C619" s="8"/>
      <c r="D619" s="3">
        <f t="shared" si="54"/>
        <v>149.88120107547383</v>
      </c>
      <c r="F619" s="3">
        <f t="shared" si="55"/>
        <v>-56.221051078358443</v>
      </c>
      <c r="G619" s="3">
        <f t="shared" si="56"/>
        <v>6.3398500028846172</v>
      </c>
      <c r="H619" s="3">
        <f t="shared" si="57"/>
        <v>149.88120107547383</v>
      </c>
      <c r="I619" s="3"/>
    </row>
    <row r="620" spans="1:9" x14ac:dyDescent="0.15">
      <c r="A620" s="1">
        <v>611</v>
      </c>
      <c r="B620" s="3">
        <f t="shared" si="53"/>
        <v>156.47195456373043</v>
      </c>
      <c r="C620" s="8"/>
      <c r="D620" s="3">
        <f t="shared" si="54"/>
        <v>150.13210456084582</v>
      </c>
      <c r="F620" s="3">
        <f t="shared" si="55"/>
        <v>-56.471954563730435</v>
      </c>
      <c r="G620" s="3">
        <f t="shared" si="56"/>
        <v>6.3398500028846172</v>
      </c>
      <c r="H620" s="3">
        <f t="shared" si="57"/>
        <v>150.13210456084582</v>
      </c>
      <c r="I620" s="3"/>
    </row>
    <row r="621" spans="1:9" x14ac:dyDescent="0.15">
      <c r="A621" s="1">
        <v>612</v>
      </c>
      <c r="B621" s="3">
        <f t="shared" si="53"/>
        <v>156.72285804910243</v>
      </c>
      <c r="C621" s="8"/>
      <c r="D621" s="3">
        <f t="shared" si="54"/>
        <v>150.38300804621781</v>
      </c>
      <c r="F621" s="3">
        <f t="shared" si="55"/>
        <v>-56.722858049102427</v>
      </c>
      <c r="G621" s="3">
        <f t="shared" si="56"/>
        <v>6.3398500028846172</v>
      </c>
      <c r="H621" s="3">
        <f t="shared" si="57"/>
        <v>150.38300804621781</v>
      </c>
      <c r="I621" s="3"/>
    </row>
    <row r="622" spans="1:9" x14ac:dyDescent="0.15">
      <c r="A622" s="1">
        <v>613</v>
      </c>
      <c r="B622" s="3">
        <f t="shared" si="53"/>
        <v>156.97376153447442</v>
      </c>
      <c r="C622" s="8"/>
      <c r="D622" s="3">
        <f t="shared" si="54"/>
        <v>150.6339115315898</v>
      </c>
      <c r="F622" s="3">
        <f t="shared" si="55"/>
        <v>-56.97376153447442</v>
      </c>
      <c r="G622" s="3">
        <f t="shared" si="56"/>
        <v>6.3398500028846172</v>
      </c>
      <c r="H622" s="3">
        <f t="shared" si="57"/>
        <v>150.6339115315898</v>
      </c>
      <c r="I622" s="3"/>
    </row>
    <row r="623" spans="1:9" x14ac:dyDescent="0.15">
      <c r="A623" s="1">
        <v>614</v>
      </c>
      <c r="B623" s="3">
        <f t="shared" si="53"/>
        <v>157.22466501984641</v>
      </c>
      <c r="C623" s="8"/>
      <c r="D623" s="3">
        <f t="shared" si="54"/>
        <v>150.8848150169618</v>
      </c>
      <c r="F623" s="3">
        <f t="shared" si="55"/>
        <v>-57.224665019846412</v>
      </c>
      <c r="G623" s="3">
        <f t="shared" si="56"/>
        <v>6.3398500028846172</v>
      </c>
      <c r="H623" s="3">
        <f t="shared" si="57"/>
        <v>150.8848150169618</v>
      </c>
      <c r="I623" s="3"/>
    </row>
    <row r="624" spans="1:9" x14ac:dyDescent="0.15">
      <c r="A624" s="1">
        <v>615</v>
      </c>
      <c r="B624" s="3">
        <f t="shared" si="53"/>
        <v>157.4755685052184</v>
      </c>
      <c r="C624" s="8"/>
      <c r="D624" s="3">
        <f t="shared" si="54"/>
        <v>151.13571850233379</v>
      </c>
      <c r="F624" s="3">
        <f t="shared" si="55"/>
        <v>-57.475568505218405</v>
      </c>
      <c r="G624" s="3">
        <f t="shared" si="56"/>
        <v>6.3398500028846172</v>
      </c>
      <c r="H624" s="3">
        <f t="shared" si="57"/>
        <v>151.13571850233379</v>
      </c>
      <c r="I624" s="3"/>
    </row>
    <row r="625" spans="1:9" x14ac:dyDescent="0.15">
      <c r="A625" s="1">
        <v>616</v>
      </c>
      <c r="B625" s="3">
        <f t="shared" si="53"/>
        <v>157.7264719905904</v>
      </c>
      <c r="C625" s="8"/>
      <c r="D625" s="3">
        <f t="shared" si="54"/>
        <v>151.38662198770578</v>
      </c>
      <c r="F625" s="3">
        <f t="shared" si="55"/>
        <v>-57.726471990590397</v>
      </c>
      <c r="G625" s="3">
        <f t="shared" si="56"/>
        <v>6.3398500028846172</v>
      </c>
      <c r="H625" s="3">
        <f t="shared" si="57"/>
        <v>151.38662198770578</v>
      </c>
      <c r="I625" s="3"/>
    </row>
    <row r="626" spans="1:9" x14ac:dyDescent="0.15">
      <c r="A626" s="1">
        <v>617</v>
      </c>
      <c r="B626" s="3">
        <f t="shared" si="53"/>
        <v>157.97737547596239</v>
      </c>
      <c r="C626" s="8"/>
      <c r="D626" s="3">
        <f t="shared" si="54"/>
        <v>151.6375254730778</v>
      </c>
      <c r="F626" s="3">
        <f t="shared" si="55"/>
        <v>-57.97737547596239</v>
      </c>
      <c r="G626" s="3">
        <f t="shared" si="56"/>
        <v>6.3398500028845888</v>
      </c>
      <c r="H626" s="3">
        <f t="shared" si="57"/>
        <v>151.6375254730778</v>
      </c>
      <c r="I626" s="3"/>
    </row>
    <row r="627" spans="1:9" x14ac:dyDescent="0.15">
      <c r="A627" s="1">
        <v>618</v>
      </c>
      <c r="B627" s="3">
        <f t="shared" si="53"/>
        <v>158.22827896133438</v>
      </c>
      <c r="C627" s="8"/>
      <c r="D627" s="3">
        <f t="shared" si="54"/>
        <v>151.88842895844979</v>
      </c>
      <c r="F627" s="3">
        <f t="shared" si="55"/>
        <v>-58.228278961334382</v>
      </c>
      <c r="G627" s="3">
        <f t="shared" si="56"/>
        <v>6.3398500028845888</v>
      </c>
      <c r="H627" s="3">
        <f t="shared" si="57"/>
        <v>151.88842895844979</v>
      </c>
      <c r="I627" s="3"/>
    </row>
    <row r="628" spans="1:9" x14ac:dyDescent="0.15">
      <c r="A628" s="1">
        <v>619</v>
      </c>
      <c r="B628" s="3">
        <f t="shared" si="53"/>
        <v>158.47918244670637</v>
      </c>
      <c r="C628" s="8"/>
      <c r="D628" s="3">
        <f t="shared" si="54"/>
        <v>152.13933244382179</v>
      </c>
      <c r="F628" s="3">
        <f t="shared" si="55"/>
        <v>-58.479182446706375</v>
      </c>
      <c r="G628" s="3">
        <f t="shared" si="56"/>
        <v>6.3398500028845888</v>
      </c>
      <c r="H628" s="3">
        <f t="shared" si="57"/>
        <v>152.13933244382179</v>
      </c>
      <c r="I628" s="3"/>
    </row>
    <row r="629" spans="1:9" x14ac:dyDescent="0.15">
      <c r="A629" s="1">
        <v>620</v>
      </c>
      <c r="B629" s="3">
        <f t="shared" si="53"/>
        <v>158.73008593207837</v>
      </c>
      <c r="C629" s="8"/>
      <c r="D629" s="3">
        <f t="shared" si="54"/>
        <v>152.39023592919378</v>
      </c>
      <c r="F629" s="3">
        <f t="shared" si="55"/>
        <v>-58.730085932078367</v>
      </c>
      <c r="G629" s="3">
        <f t="shared" si="56"/>
        <v>6.3398500028845888</v>
      </c>
      <c r="H629" s="3">
        <f t="shared" si="57"/>
        <v>152.39023592919378</v>
      </c>
      <c r="I629" s="3"/>
    </row>
    <row r="630" spans="1:9" x14ac:dyDescent="0.15">
      <c r="A630" s="1">
        <v>621</v>
      </c>
      <c r="B630" s="3">
        <f t="shared" si="53"/>
        <v>158.98098941745036</v>
      </c>
      <c r="C630" s="8"/>
      <c r="D630" s="3">
        <f t="shared" si="54"/>
        <v>152.64113941456577</v>
      </c>
      <c r="F630" s="3">
        <f t="shared" si="55"/>
        <v>-58.98098941745036</v>
      </c>
      <c r="G630" s="3">
        <f t="shared" si="56"/>
        <v>6.3398500028845888</v>
      </c>
      <c r="H630" s="3">
        <f t="shared" si="57"/>
        <v>152.64113941456577</v>
      </c>
      <c r="I630" s="3"/>
    </row>
    <row r="631" spans="1:9" x14ac:dyDescent="0.15">
      <c r="A631" s="1">
        <v>622</v>
      </c>
      <c r="B631" s="3">
        <f t="shared" si="53"/>
        <v>159.23189290282238</v>
      </c>
      <c r="C631" s="8"/>
      <c r="D631" s="3">
        <f>+(D$4*A631)+D$5</f>
        <v>152.89204289993776</v>
      </c>
      <c r="F631" s="3">
        <f t="shared" si="55"/>
        <v>-59.231892902822381</v>
      </c>
      <c r="G631" s="3">
        <f t="shared" si="56"/>
        <v>6.3398500028846172</v>
      </c>
      <c r="H631" s="3">
        <f t="shared" si="57"/>
        <v>152.89204289993776</v>
      </c>
      <c r="I631" s="3"/>
    </row>
    <row r="632" spans="1:9" x14ac:dyDescent="0.15">
      <c r="A632" s="1">
        <v>623</v>
      </c>
      <c r="B632" s="3">
        <f t="shared" si="53"/>
        <v>159.48279638819437</v>
      </c>
      <c r="C632" s="8"/>
      <c r="D632" s="3">
        <f t="shared" si="54"/>
        <v>153.14294638530976</v>
      </c>
      <c r="F632" s="3">
        <f t="shared" si="55"/>
        <v>-59.482796388194373</v>
      </c>
      <c r="G632" s="3">
        <f t="shared" si="56"/>
        <v>6.3398500028846172</v>
      </c>
      <c r="H632" s="3">
        <f t="shared" si="57"/>
        <v>153.14294638530976</v>
      </c>
      <c r="I632" s="3"/>
    </row>
    <row r="633" spans="1:9" x14ac:dyDescent="0.15">
      <c r="A633" s="1">
        <v>624</v>
      </c>
      <c r="B633" s="3">
        <f t="shared" si="53"/>
        <v>159.73369987356637</v>
      </c>
      <c r="C633" s="8"/>
      <c r="D633" s="3">
        <f t="shared" si="54"/>
        <v>153.39384987068175</v>
      </c>
      <c r="F633" s="3">
        <f t="shared" si="55"/>
        <v>-59.733699873566366</v>
      </c>
      <c r="G633" s="3">
        <f t="shared" si="56"/>
        <v>6.3398500028846172</v>
      </c>
      <c r="H633" s="3">
        <f t="shared" si="57"/>
        <v>153.39384987068175</v>
      </c>
      <c r="I633" s="3"/>
    </row>
    <row r="634" spans="1:9" x14ac:dyDescent="0.15">
      <c r="A634" s="1">
        <v>625</v>
      </c>
      <c r="B634" s="3">
        <f t="shared" si="53"/>
        <v>159.98460335893836</v>
      </c>
      <c r="C634" s="8"/>
      <c r="D634" s="3">
        <f t="shared" si="54"/>
        <v>153.64475335605374</v>
      </c>
      <c r="F634" s="3">
        <f t="shared" si="55"/>
        <v>-59.984603358938358</v>
      </c>
      <c r="G634" s="3">
        <f t="shared" si="56"/>
        <v>6.3398500028846172</v>
      </c>
      <c r="H634" s="3">
        <f t="shared" si="57"/>
        <v>153.64475335605374</v>
      </c>
      <c r="I634" s="3"/>
    </row>
    <row r="635" spans="1:9" x14ac:dyDescent="0.15">
      <c r="A635" s="1">
        <v>626</v>
      </c>
      <c r="B635" s="3">
        <f t="shared" si="53"/>
        <v>160.23550684431035</v>
      </c>
      <c r="C635" s="8"/>
      <c r="D635" s="3">
        <f t="shared" si="54"/>
        <v>153.89565684142573</v>
      </c>
      <c r="F635" s="3">
        <f t="shared" si="55"/>
        <v>-60.235506844310351</v>
      </c>
      <c r="G635" s="3">
        <f t="shared" si="56"/>
        <v>6.3398500028846172</v>
      </c>
      <c r="H635" s="3">
        <f t="shared" si="57"/>
        <v>153.89565684142573</v>
      </c>
      <c r="I635" s="3"/>
    </row>
    <row r="636" spans="1:9" x14ac:dyDescent="0.15">
      <c r="A636" s="1">
        <v>627</v>
      </c>
      <c r="B636" s="3">
        <f t="shared" si="53"/>
        <v>160.48641032968234</v>
      </c>
      <c r="C636" s="8"/>
      <c r="D636" s="3">
        <f t="shared" si="54"/>
        <v>154.14656032679773</v>
      </c>
      <c r="F636" s="3">
        <f t="shared" si="55"/>
        <v>-60.486410329682343</v>
      </c>
      <c r="G636" s="3">
        <f t="shared" si="56"/>
        <v>6.3398500028846172</v>
      </c>
      <c r="H636" s="3">
        <f t="shared" si="57"/>
        <v>154.14656032679773</v>
      </c>
      <c r="I636" s="3"/>
    </row>
    <row r="637" spans="1:9" x14ac:dyDescent="0.15">
      <c r="A637" s="1">
        <v>628</v>
      </c>
      <c r="B637" s="3">
        <f t="shared" si="53"/>
        <v>160.73731381505434</v>
      </c>
      <c r="C637" s="8"/>
      <c r="D637" s="3">
        <f t="shared" si="54"/>
        <v>154.39746381216972</v>
      </c>
      <c r="F637" s="3">
        <f t="shared" si="55"/>
        <v>-60.737313815054335</v>
      </c>
      <c r="G637" s="3">
        <f t="shared" si="56"/>
        <v>6.3398500028846172</v>
      </c>
      <c r="H637" s="3">
        <f t="shared" si="57"/>
        <v>154.39746381216972</v>
      </c>
      <c r="I637" s="3"/>
    </row>
    <row r="638" spans="1:9" x14ac:dyDescent="0.15">
      <c r="A638" s="1">
        <v>629</v>
      </c>
      <c r="B638" s="3">
        <f t="shared" si="53"/>
        <v>160.98821730042633</v>
      </c>
      <c r="C638" s="8"/>
      <c r="D638" s="3">
        <f t="shared" si="54"/>
        <v>154.64836729754171</v>
      </c>
      <c r="F638" s="3">
        <f t="shared" si="55"/>
        <v>-60.988217300426328</v>
      </c>
      <c r="G638" s="3">
        <f t="shared" si="56"/>
        <v>6.3398500028846172</v>
      </c>
      <c r="H638" s="3">
        <f t="shared" si="57"/>
        <v>154.64836729754171</v>
      </c>
      <c r="I638" s="3"/>
    </row>
    <row r="639" spans="1:9" x14ac:dyDescent="0.15">
      <c r="A639" s="1">
        <v>630</v>
      </c>
      <c r="B639" s="3">
        <f t="shared" si="53"/>
        <v>161.23912078579832</v>
      </c>
      <c r="C639" s="8"/>
      <c r="D639" s="3">
        <f t="shared" si="54"/>
        <v>154.8992707829137</v>
      </c>
      <c r="F639" s="3">
        <f t="shared" si="55"/>
        <v>-61.23912078579832</v>
      </c>
      <c r="G639" s="3">
        <f t="shared" si="56"/>
        <v>6.3398500028846172</v>
      </c>
      <c r="H639" s="3">
        <f t="shared" si="57"/>
        <v>154.8992707829137</v>
      </c>
      <c r="I639" s="3"/>
    </row>
    <row r="640" spans="1:9" x14ac:dyDescent="0.15">
      <c r="A640" s="1">
        <v>631</v>
      </c>
      <c r="B640" s="3">
        <f t="shared" si="53"/>
        <v>161.49002427117031</v>
      </c>
      <c r="C640" s="8"/>
      <c r="D640" s="3">
        <f t="shared" si="54"/>
        <v>155.1501742682857</v>
      </c>
      <c r="F640" s="3">
        <f t="shared" si="55"/>
        <v>-61.490024271170313</v>
      </c>
      <c r="G640" s="3">
        <f t="shared" si="56"/>
        <v>6.3398500028846172</v>
      </c>
      <c r="H640" s="3">
        <f t="shared" si="57"/>
        <v>155.1501742682857</v>
      </c>
      <c r="I640" s="3"/>
    </row>
    <row r="641" spans="1:9" x14ac:dyDescent="0.15">
      <c r="A641" s="1">
        <v>632</v>
      </c>
      <c r="B641" s="3">
        <f t="shared" si="53"/>
        <v>161.74092775654231</v>
      </c>
      <c r="C641" s="8"/>
      <c r="D641" s="3">
        <f t="shared" si="54"/>
        <v>155.40107775365769</v>
      </c>
      <c r="F641" s="3">
        <f t="shared" si="55"/>
        <v>-61.740927756542305</v>
      </c>
      <c r="G641" s="3">
        <f t="shared" si="56"/>
        <v>6.3398500028846172</v>
      </c>
      <c r="H641" s="3">
        <f t="shared" si="57"/>
        <v>155.40107775365769</v>
      </c>
      <c r="I641" s="3"/>
    </row>
    <row r="642" spans="1:9" x14ac:dyDescent="0.15">
      <c r="A642" s="1">
        <v>633</v>
      </c>
      <c r="B642" s="3">
        <f t="shared" si="53"/>
        <v>161.9918312419143</v>
      </c>
      <c r="C642" s="8"/>
      <c r="D642" s="3">
        <f t="shared" si="54"/>
        <v>155.65198123902968</v>
      </c>
      <c r="F642" s="3">
        <f t="shared" si="55"/>
        <v>-61.991831241914298</v>
      </c>
      <c r="G642" s="3">
        <f t="shared" si="56"/>
        <v>6.3398500028846172</v>
      </c>
      <c r="H642" s="3">
        <f t="shared" si="57"/>
        <v>155.65198123902968</v>
      </c>
      <c r="I642" s="3"/>
    </row>
    <row r="643" spans="1:9" x14ac:dyDescent="0.15">
      <c r="A643" s="1">
        <v>634</v>
      </c>
      <c r="B643" s="3">
        <f t="shared" si="53"/>
        <v>162.24273472728629</v>
      </c>
      <c r="C643" s="8"/>
      <c r="D643" s="3">
        <f t="shared" si="54"/>
        <v>155.90288472440167</v>
      </c>
      <c r="F643" s="3">
        <f t="shared" si="55"/>
        <v>-62.24273472728629</v>
      </c>
      <c r="G643" s="3">
        <f t="shared" si="56"/>
        <v>6.3398500028846172</v>
      </c>
      <c r="H643" s="3">
        <f t="shared" si="57"/>
        <v>155.90288472440167</v>
      </c>
      <c r="I643" s="3"/>
    </row>
    <row r="644" spans="1:9" x14ac:dyDescent="0.15">
      <c r="A644" s="1">
        <v>635</v>
      </c>
      <c r="B644" s="3">
        <f t="shared" si="53"/>
        <v>162.49363821265828</v>
      </c>
      <c r="C644" s="8"/>
      <c r="D644" s="3">
        <f t="shared" si="54"/>
        <v>156.15378820977367</v>
      </c>
      <c r="F644" s="3">
        <f t="shared" si="55"/>
        <v>-62.493638212658283</v>
      </c>
      <c r="G644" s="3">
        <f t="shared" si="56"/>
        <v>6.3398500028846172</v>
      </c>
      <c r="H644" s="3">
        <f t="shared" si="57"/>
        <v>156.15378820977367</v>
      </c>
      <c r="I644" s="3"/>
    </row>
    <row r="645" spans="1:9" x14ac:dyDescent="0.15">
      <c r="A645" s="1">
        <v>636</v>
      </c>
      <c r="B645" s="3">
        <f t="shared" si="53"/>
        <v>162.74454169803028</v>
      </c>
      <c r="C645" s="8"/>
      <c r="D645" s="3">
        <f t="shared" si="54"/>
        <v>156.40469169514566</v>
      </c>
      <c r="F645" s="3">
        <f t="shared" si="55"/>
        <v>-62.744541698030275</v>
      </c>
      <c r="G645" s="3">
        <f t="shared" si="56"/>
        <v>6.3398500028846172</v>
      </c>
      <c r="H645" s="3">
        <f t="shared" si="57"/>
        <v>156.40469169514566</v>
      </c>
      <c r="I645" s="3"/>
    </row>
    <row r="646" spans="1:9" x14ac:dyDescent="0.15">
      <c r="A646" s="1">
        <v>637</v>
      </c>
      <c r="B646" s="3">
        <f t="shared" si="53"/>
        <v>162.99544518340227</v>
      </c>
      <c r="C646" s="8"/>
      <c r="D646" s="3">
        <f t="shared" si="54"/>
        <v>156.65559518051765</v>
      </c>
      <c r="F646" s="3">
        <f t="shared" si="55"/>
        <v>-62.995445183402268</v>
      </c>
      <c r="G646" s="3">
        <f t="shared" si="56"/>
        <v>6.3398500028846172</v>
      </c>
      <c r="H646" s="3">
        <f t="shared" si="57"/>
        <v>156.65559518051765</v>
      </c>
      <c r="I646" s="3"/>
    </row>
    <row r="647" spans="1:9" x14ac:dyDescent="0.15">
      <c r="A647" s="1">
        <v>638</v>
      </c>
      <c r="B647" s="3">
        <f t="shared" si="53"/>
        <v>163.24634866877426</v>
      </c>
      <c r="C647" s="8"/>
      <c r="D647" s="3">
        <f t="shared" si="54"/>
        <v>156.90649866588964</v>
      </c>
      <c r="F647" s="3">
        <f t="shared" si="55"/>
        <v>-63.24634866877426</v>
      </c>
      <c r="G647" s="3">
        <f t="shared" si="56"/>
        <v>6.3398500028846172</v>
      </c>
      <c r="H647" s="3">
        <f t="shared" si="57"/>
        <v>156.90649866588964</v>
      </c>
      <c r="I647" s="3"/>
    </row>
    <row r="648" spans="1:9" x14ac:dyDescent="0.15">
      <c r="A648" s="1">
        <v>639</v>
      </c>
      <c r="B648" s="3">
        <f t="shared" si="53"/>
        <v>163.49725215414625</v>
      </c>
      <c r="C648" s="8"/>
      <c r="D648" s="3">
        <f t="shared" si="54"/>
        <v>157.15740215126164</v>
      </c>
      <c r="F648" s="3">
        <f t="shared" si="55"/>
        <v>-63.497252154146253</v>
      </c>
      <c r="G648" s="3">
        <f t="shared" si="56"/>
        <v>6.3398500028846172</v>
      </c>
      <c r="H648" s="3">
        <f t="shared" si="57"/>
        <v>157.15740215126164</v>
      </c>
      <c r="I648" s="3"/>
    </row>
    <row r="649" spans="1:9" x14ac:dyDescent="0.15">
      <c r="A649" s="1">
        <v>640</v>
      </c>
      <c r="B649" s="3">
        <f t="shared" si="53"/>
        <v>163.74815563951825</v>
      </c>
      <c r="C649" s="8"/>
      <c r="D649" s="3">
        <f t="shared" si="54"/>
        <v>157.40830563663366</v>
      </c>
      <c r="F649" s="3">
        <f t="shared" si="55"/>
        <v>-63.748155639518245</v>
      </c>
      <c r="G649" s="3">
        <f t="shared" si="56"/>
        <v>6.3398500028845888</v>
      </c>
      <c r="H649" s="3">
        <f t="shared" si="57"/>
        <v>157.40830563663366</v>
      </c>
      <c r="I649" s="3"/>
    </row>
    <row r="650" spans="1:9" x14ac:dyDescent="0.15">
      <c r="A650" s="1">
        <v>641</v>
      </c>
      <c r="B650" s="3">
        <f t="shared" si="53"/>
        <v>163.99905912489024</v>
      </c>
      <c r="C650" s="8"/>
      <c r="D650" s="3">
        <f t="shared" si="54"/>
        <v>157.65920912200565</v>
      </c>
      <c r="F650" s="3">
        <f t="shared" si="55"/>
        <v>-63.999059124890238</v>
      </c>
      <c r="G650" s="3">
        <f t="shared" si="56"/>
        <v>6.3398500028845888</v>
      </c>
      <c r="H650" s="3">
        <f t="shared" si="57"/>
        <v>157.65920912200565</v>
      </c>
      <c r="I650" s="3"/>
    </row>
    <row r="651" spans="1:9" x14ac:dyDescent="0.15">
      <c r="A651" s="1">
        <v>642</v>
      </c>
      <c r="B651" s="3">
        <f t="shared" ref="B651:B684" si="58">+(B$4*A651)+B$5</f>
        <v>164.24996261026223</v>
      </c>
      <c r="C651" s="8"/>
      <c r="D651" s="3">
        <f t="shared" ref="D651:D684" si="59">+(D$4*A651)+D$5</f>
        <v>157.91011260737764</v>
      </c>
      <c r="F651" s="3">
        <f t="shared" ref="F651:F684" si="60">+xmax-B651</f>
        <v>-64.24996261026223</v>
      </c>
      <c r="G651" s="3">
        <f t="shared" ref="G651:G684" si="61">+B651-D651</f>
        <v>6.3398500028845888</v>
      </c>
      <c r="H651" s="3">
        <f t="shared" ref="H651:H684" si="62">D651</f>
        <v>157.91011260737764</v>
      </c>
      <c r="I651" s="3"/>
    </row>
    <row r="652" spans="1:9" x14ac:dyDescent="0.15">
      <c r="A652" s="1">
        <v>643</v>
      </c>
      <c r="B652" s="3">
        <f t="shared" si="58"/>
        <v>164.50086609563422</v>
      </c>
      <c r="C652" s="8"/>
      <c r="D652" s="3">
        <f t="shared" si="59"/>
        <v>158.16101609274963</v>
      </c>
      <c r="F652" s="3">
        <f t="shared" si="60"/>
        <v>-64.500866095634223</v>
      </c>
      <c r="G652" s="3">
        <f t="shared" si="61"/>
        <v>6.3398500028845888</v>
      </c>
      <c r="H652" s="3">
        <f t="shared" si="62"/>
        <v>158.16101609274963</v>
      </c>
      <c r="I652" s="3"/>
    </row>
    <row r="653" spans="1:9" x14ac:dyDescent="0.15">
      <c r="A653" s="1">
        <v>644</v>
      </c>
      <c r="B653" s="3">
        <f t="shared" si="58"/>
        <v>164.75176958100622</v>
      </c>
      <c r="C653" s="8"/>
      <c r="D653" s="3">
        <f t="shared" si="59"/>
        <v>158.41191957812163</v>
      </c>
      <c r="F653" s="3">
        <f t="shared" si="60"/>
        <v>-64.751769581006215</v>
      </c>
      <c r="G653" s="3">
        <f t="shared" si="61"/>
        <v>6.3398500028845888</v>
      </c>
      <c r="H653" s="3">
        <f t="shared" si="62"/>
        <v>158.41191957812163</v>
      </c>
      <c r="I653" s="3"/>
    </row>
    <row r="654" spans="1:9" x14ac:dyDescent="0.15">
      <c r="A654" s="1">
        <v>645</v>
      </c>
      <c r="B654" s="3">
        <f t="shared" si="58"/>
        <v>165.00267306637821</v>
      </c>
      <c r="C654" s="8"/>
      <c r="D654" s="3">
        <f t="shared" si="59"/>
        <v>158.66282306349362</v>
      </c>
      <c r="F654" s="3">
        <f t="shared" si="60"/>
        <v>-65.002673066378208</v>
      </c>
      <c r="G654" s="3">
        <f t="shared" si="61"/>
        <v>6.3398500028845888</v>
      </c>
      <c r="H654" s="3">
        <f t="shared" si="62"/>
        <v>158.66282306349362</v>
      </c>
      <c r="I654" s="3"/>
    </row>
    <row r="655" spans="1:9" x14ac:dyDescent="0.15">
      <c r="A655" s="1">
        <v>646</v>
      </c>
      <c r="B655" s="3">
        <f t="shared" si="58"/>
        <v>165.2535765517502</v>
      </c>
      <c r="C655" s="8"/>
      <c r="D655" s="3">
        <f t="shared" si="59"/>
        <v>158.91372654886561</v>
      </c>
      <c r="F655" s="3">
        <f t="shared" si="60"/>
        <v>-65.2535765517502</v>
      </c>
      <c r="G655" s="3">
        <f t="shared" si="61"/>
        <v>6.3398500028845888</v>
      </c>
      <c r="H655" s="3">
        <f t="shared" si="62"/>
        <v>158.91372654886561</v>
      </c>
      <c r="I655" s="3"/>
    </row>
    <row r="656" spans="1:9" x14ac:dyDescent="0.15">
      <c r="A656" s="1">
        <v>647</v>
      </c>
      <c r="B656" s="3">
        <f t="shared" si="58"/>
        <v>165.50448003712222</v>
      </c>
      <c r="C656" s="8"/>
      <c r="D656" s="3">
        <f t="shared" si="59"/>
        <v>159.1646300342376</v>
      </c>
      <c r="F656" s="3">
        <f t="shared" si="60"/>
        <v>-65.504480037122221</v>
      </c>
      <c r="G656" s="3">
        <f t="shared" si="61"/>
        <v>6.3398500028846172</v>
      </c>
      <c r="H656" s="3">
        <f t="shared" si="62"/>
        <v>159.1646300342376</v>
      </c>
      <c r="I656" s="3"/>
    </row>
    <row r="657" spans="1:9" x14ac:dyDescent="0.15">
      <c r="A657" s="1">
        <v>648</v>
      </c>
      <c r="B657" s="3">
        <f t="shared" si="58"/>
        <v>165.75538352249421</v>
      </c>
      <c r="C657" s="8"/>
      <c r="D657" s="3">
        <f t="shared" si="59"/>
        <v>159.4155335196096</v>
      </c>
      <c r="F657" s="3">
        <f t="shared" si="60"/>
        <v>-65.755383522494213</v>
      </c>
      <c r="G657" s="3">
        <f t="shared" si="61"/>
        <v>6.3398500028846172</v>
      </c>
      <c r="H657" s="3">
        <f t="shared" si="62"/>
        <v>159.4155335196096</v>
      </c>
      <c r="I657" s="3"/>
    </row>
    <row r="658" spans="1:9" x14ac:dyDescent="0.15">
      <c r="A658" s="1">
        <v>649</v>
      </c>
      <c r="B658" s="3">
        <f t="shared" si="58"/>
        <v>166.00628700786621</v>
      </c>
      <c r="C658" s="8"/>
      <c r="D658" s="3">
        <f t="shared" si="59"/>
        <v>159.66643700498159</v>
      </c>
      <c r="F658" s="3">
        <f t="shared" si="60"/>
        <v>-66.006287007866206</v>
      </c>
      <c r="G658" s="3">
        <f t="shared" si="61"/>
        <v>6.3398500028846172</v>
      </c>
      <c r="H658" s="3">
        <f t="shared" si="62"/>
        <v>159.66643700498159</v>
      </c>
      <c r="I658" s="3"/>
    </row>
    <row r="659" spans="1:9" x14ac:dyDescent="0.15">
      <c r="A659" s="1">
        <v>650</v>
      </c>
      <c r="B659" s="3">
        <f t="shared" si="58"/>
        <v>166.2571904932382</v>
      </c>
      <c r="C659" s="8"/>
      <c r="D659" s="3">
        <f t="shared" si="59"/>
        <v>159.91734049035358</v>
      </c>
      <c r="F659" s="3">
        <f t="shared" si="60"/>
        <v>-66.257190493238198</v>
      </c>
      <c r="G659" s="3">
        <f t="shared" si="61"/>
        <v>6.3398500028846172</v>
      </c>
      <c r="H659" s="3">
        <f t="shared" si="62"/>
        <v>159.91734049035358</v>
      </c>
      <c r="I659" s="3"/>
    </row>
    <row r="660" spans="1:9" x14ac:dyDescent="0.15">
      <c r="A660" s="1">
        <v>651</v>
      </c>
      <c r="B660" s="3">
        <f t="shared" si="58"/>
        <v>166.50809397861019</v>
      </c>
      <c r="C660" s="8"/>
      <c r="D660" s="3">
        <f t="shared" si="59"/>
        <v>160.16824397572557</v>
      </c>
      <c r="F660" s="3">
        <f t="shared" si="60"/>
        <v>-66.508093978610191</v>
      </c>
      <c r="G660" s="3">
        <f t="shared" si="61"/>
        <v>6.3398500028846172</v>
      </c>
      <c r="H660" s="3">
        <f t="shared" si="62"/>
        <v>160.16824397572557</v>
      </c>
      <c r="I660" s="3"/>
    </row>
    <row r="661" spans="1:9" x14ac:dyDescent="0.15">
      <c r="A661" s="1">
        <v>652</v>
      </c>
      <c r="B661" s="3">
        <f t="shared" si="58"/>
        <v>166.75899746398218</v>
      </c>
      <c r="C661" s="8"/>
      <c r="D661" s="3">
        <f t="shared" si="59"/>
        <v>160.41914746109757</v>
      </c>
      <c r="F661" s="3">
        <f t="shared" si="60"/>
        <v>-66.758997463982183</v>
      </c>
      <c r="G661" s="3">
        <f t="shared" si="61"/>
        <v>6.3398500028846172</v>
      </c>
      <c r="H661" s="3">
        <f t="shared" si="62"/>
        <v>160.41914746109757</v>
      </c>
      <c r="I661" s="3"/>
    </row>
    <row r="662" spans="1:9" x14ac:dyDescent="0.15">
      <c r="A662" s="1">
        <v>653</v>
      </c>
      <c r="B662" s="3">
        <f t="shared" si="58"/>
        <v>167.00990094935418</v>
      </c>
      <c r="C662" s="8"/>
      <c r="D662" s="3">
        <f t="shared" si="59"/>
        <v>160.67005094646956</v>
      </c>
      <c r="F662" s="3">
        <f t="shared" si="60"/>
        <v>-67.009900949354176</v>
      </c>
      <c r="G662" s="3">
        <f t="shared" si="61"/>
        <v>6.3398500028846172</v>
      </c>
      <c r="H662" s="3">
        <f t="shared" si="62"/>
        <v>160.67005094646956</v>
      </c>
      <c r="I662" s="3"/>
    </row>
    <row r="663" spans="1:9" x14ac:dyDescent="0.15">
      <c r="A663" s="1">
        <v>654</v>
      </c>
      <c r="B663" s="3">
        <f t="shared" si="58"/>
        <v>167.26080443472617</v>
      </c>
      <c r="C663" s="8"/>
      <c r="D663" s="3">
        <f t="shared" si="59"/>
        <v>160.92095443184155</v>
      </c>
      <c r="F663" s="3">
        <f t="shared" si="60"/>
        <v>-67.260804434726168</v>
      </c>
      <c r="G663" s="3">
        <f t="shared" si="61"/>
        <v>6.3398500028846172</v>
      </c>
      <c r="H663" s="3">
        <f t="shared" si="62"/>
        <v>160.92095443184155</v>
      </c>
      <c r="I663" s="3"/>
    </row>
    <row r="664" spans="1:9" x14ac:dyDescent="0.15">
      <c r="A664" s="1">
        <v>655</v>
      </c>
      <c r="B664" s="3">
        <f t="shared" si="58"/>
        <v>167.51170792009816</v>
      </c>
      <c r="C664" s="8"/>
      <c r="D664" s="3">
        <f t="shared" si="59"/>
        <v>161.17185791721354</v>
      </c>
      <c r="F664" s="3">
        <f t="shared" si="60"/>
        <v>-67.511707920098161</v>
      </c>
      <c r="G664" s="3">
        <f t="shared" si="61"/>
        <v>6.3398500028846172</v>
      </c>
      <c r="H664" s="3">
        <f t="shared" si="62"/>
        <v>161.17185791721354</v>
      </c>
      <c r="I664" s="3"/>
    </row>
    <row r="665" spans="1:9" x14ac:dyDescent="0.15">
      <c r="A665" s="1">
        <v>656</v>
      </c>
      <c r="B665" s="3">
        <f t="shared" si="58"/>
        <v>167.76261140547015</v>
      </c>
      <c r="C665" s="8"/>
      <c r="D665" s="3">
        <f t="shared" si="59"/>
        <v>161.42276140258554</v>
      </c>
      <c r="F665" s="3">
        <f t="shared" si="60"/>
        <v>-67.762611405470153</v>
      </c>
      <c r="G665" s="3">
        <f t="shared" si="61"/>
        <v>6.3398500028846172</v>
      </c>
      <c r="H665" s="3">
        <f t="shared" si="62"/>
        <v>161.42276140258554</v>
      </c>
      <c r="I665" s="3"/>
    </row>
    <row r="666" spans="1:9" x14ac:dyDescent="0.15">
      <c r="A666" s="1">
        <v>657</v>
      </c>
      <c r="B666" s="3">
        <f t="shared" si="58"/>
        <v>168.01351489084215</v>
      </c>
      <c r="C666" s="8"/>
      <c r="D666" s="3">
        <f t="shared" si="59"/>
        <v>161.67366488795753</v>
      </c>
      <c r="F666" s="3">
        <f t="shared" si="60"/>
        <v>-68.013514890842146</v>
      </c>
      <c r="G666" s="3">
        <f t="shared" si="61"/>
        <v>6.3398500028846172</v>
      </c>
      <c r="H666" s="3">
        <f t="shared" si="62"/>
        <v>161.67366488795753</v>
      </c>
      <c r="I666" s="3"/>
    </row>
    <row r="667" spans="1:9" x14ac:dyDescent="0.15">
      <c r="A667" s="1">
        <v>658</v>
      </c>
      <c r="B667" s="3">
        <f t="shared" si="58"/>
        <v>168.26441837621414</v>
      </c>
      <c r="C667" s="8"/>
      <c r="D667" s="3">
        <f t="shared" si="59"/>
        <v>161.92456837332952</v>
      </c>
      <c r="F667" s="3">
        <f t="shared" si="60"/>
        <v>-68.264418376214138</v>
      </c>
      <c r="G667" s="3">
        <f t="shared" si="61"/>
        <v>6.3398500028846172</v>
      </c>
      <c r="H667" s="3">
        <f t="shared" si="62"/>
        <v>161.92456837332952</v>
      </c>
      <c r="I667" s="3"/>
    </row>
    <row r="668" spans="1:9" x14ac:dyDescent="0.15">
      <c r="A668" s="1">
        <v>659</v>
      </c>
      <c r="B668" s="3">
        <f t="shared" si="58"/>
        <v>168.51532186158613</v>
      </c>
      <c r="C668" s="8"/>
      <c r="D668" s="3">
        <f t="shared" si="59"/>
        <v>162.17547185870151</v>
      </c>
      <c r="F668" s="3">
        <f t="shared" si="60"/>
        <v>-68.515321861586131</v>
      </c>
      <c r="G668" s="3">
        <f t="shared" si="61"/>
        <v>6.3398500028846172</v>
      </c>
      <c r="H668" s="3">
        <f t="shared" si="62"/>
        <v>162.17547185870151</v>
      </c>
      <c r="I668" s="3"/>
    </row>
    <row r="669" spans="1:9" x14ac:dyDescent="0.15">
      <c r="A669" s="1">
        <v>660</v>
      </c>
      <c r="B669" s="3">
        <f t="shared" si="58"/>
        <v>168.76622534695812</v>
      </c>
      <c r="C669" s="8"/>
      <c r="D669" s="3">
        <f t="shared" si="59"/>
        <v>162.42637534407351</v>
      </c>
      <c r="F669" s="3">
        <f t="shared" si="60"/>
        <v>-68.766225346958123</v>
      </c>
      <c r="G669" s="3">
        <f t="shared" si="61"/>
        <v>6.3398500028846172</v>
      </c>
      <c r="H669" s="3">
        <f t="shared" si="62"/>
        <v>162.42637534407351</v>
      </c>
      <c r="I669" s="3"/>
    </row>
    <row r="670" spans="1:9" x14ac:dyDescent="0.15">
      <c r="A670" s="1">
        <v>661</v>
      </c>
      <c r="B670" s="3">
        <f t="shared" si="58"/>
        <v>169.01712883233012</v>
      </c>
      <c r="C670" s="8"/>
      <c r="D670" s="3">
        <f t="shared" si="59"/>
        <v>162.6772788294455</v>
      </c>
      <c r="F670" s="3">
        <f t="shared" si="60"/>
        <v>-69.017128832330116</v>
      </c>
      <c r="G670" s="3">
        <f t="shared" si="61"/>
        <v>6.3398500028846172</v>
      </c>
      <c r="H670" s="3">
        <f t="shared" si="62"/>
        <v>162.6772788294455</v>
      </c>
      <c r="I670" s="3"/>
    </row>
    <row r="671" spans="1:9" x14ac:dyDescent="0.15">
      <c r="A671" s="1">
        <v>662</v>
      </c>
      <c r="B671" s="3">
        <f t="shared" si="58"/>
        <v>169.26803231770211</v>
      </c>
      <c r="C671" s="8"/>
      <c r="D671" s="3">
        <f t="shared" si="59"/>
        <v>162.92818231481749</v>
      </c>
      <c r="F671" s="3">
        <f t="shared" si="60"/>
        <v>-69.268032317702108</v>
      </c>
      <c r="G671" s="3">
        <f t="shared" si="61"/>
        <v>6.3398500028846172</v>
      </c>
      <c r="H671" s="3">
        <f t="shared" si="62"/>
        <v>162.92818231481749</v>
      </c>
      <c r="I671" s="3"/>
    </row>
    <row r="672" spans="1:9" x14ac:dyDescent="0.15">
      <c r="A672" s="1">
        <v>663</v>
      </c>
      <c r="B672" s="3">
        <f t="shared" si="58"/>
        <v>169.5189358030741</v>
      </c>
      <c r="C672" s="8"/>
      <c r="D672" s="3">
        <f t="shared" si="59"/>
        <v>163.17908580018948</v>
      </c>
      <c r="F672" s="3">
        <f t="shared" si="60"/>
        <v>-69.5189358030741</v>
      </c>
      <c r="G672" s="3">
        <f t="shared" si="61"/>
        <v>6.3398500028846172</v>
      </c>
      <c r="H672" s="3">
        <f t="shared" si="62"/>
        <v>163.17908580018948</v>
      </c>
      <c r="I672" s="3"/>
    </row>
    <row r="673" spans="1:20" x14ac:dyDescent="0.15">
      <c r="A673" s="1">
        <v>664</v>
      </c>
      <c r="B673" s="3">
        <f t="shared" si="58"/>
        <v>169.76983928844609</v>
      </c>
      <c r="C673" s="8"/>
      <c r="D673" s="3">
        <f t="shared" si="59"/>
        <v>163.4299892855615</v>
      </c>
      <c r="F673" s="3">
        <f t="shared" si="60"/>
        <v>-69.769839288446093</v>
      </c>
      <c r="G673" s="3">
        <f t="shared" si="61"/>
        <v>6.3398500028845888</v>
      </c>
      <c r="H673" s="3">
        <f t="shared" si="62"/>
        <v>163.4299892855615</v>
      </c>
      <c r="I673" s="3"/>
    </row>
    <row r="674" spans="1:20" x14ac:dyDescent="0.15">
      <c r="A674" s="1">
        <v>665</v>
      </c>
      <c r="B674" s="3">
        <f t="shared" si="58"/>
        <v>170.02074277381809</v>
      </c>
      <c r="C674" s="8"/>
      <c r="D674" s="3">
        <f t="shared" si="59"/>
        <v>163.6808927709335</v>
      </c>
      <c r="F674" s="3">
        <f t="shared" si="60"/>
        <v>-70.020742773818085</v>
      </c>
      <c r="G674" s="3">
        <f t="shared" si="61"/>
        <v>6.3398500028845888</v>
      </c>
      <c r="H674" s="3">
        <f t="shared" si="62"/>
        <v>163.6808927709335</v>
      </c>
      <c r="I674" s="3"/>
    </row>
    <row r="675" spans="1:20" x14ac:dyDescent="0.15">
      <c r="A675" s="1">
        <v>666</v>
      </c>
      <c r="B675" s="3">
        <f t="shared" si="58"/>
        <v>170.27164625919008</v>
      </c>
      <c r="C675" s="8"/>
      <c r="D675" s="3">
        <f t="shared" si="59"/>
        <v>163.93179625630549</v>
      </c>
      <c r="F675" s="3">
        <f t="shared" si="60"/>
        <v>-70.271646259190078</v>
      </c>
      <c r="G675" s="3">
        <f t="shared" si="61"/>
        <v>6.3398500028845888</v>
      </c>
      <c r="H675" s="3">
        <f t="shared" si="62"/>
        <v>163.93179625630549</v>
      </c>
      <c r="I675" s="3"/>
    </row>
    <row r="676" spans="1:20" x14ac:dyDescent="0.15">
      <c r="A676" s="1">
        <v>667</v>
      </c>
      <c r="B676" s="3">
        <f t="shared" si="58"/>
        <v>170.52254974456207</v>
      </c>
      <c r="C676" s="8"/>
      <c r="D676" s="3">
        <f t="shared" si="59"/>
        <v>164.18269974167748</v>
      </c>
      <c r="F676" s="3">
        <f t="shared" si="60"/>
        <v>-70.52254974456207</v>
      </c>
      <c r="G676" s="3">
        <f t="shared" si="61"/>
        <v>6.3398500028845888</v>
      </c>
      <c r="H676" s="3">
        <f t="shared" si="62"/>
        <v>164.18269974167748</v>
      </c>
      <c r="I676" s="3"/>
    </row>
    <row r="677" spans="1:20" x14ac:dyDescent="0.15">
      <c r="A677" s="1">
        <v>668</v>
      </c>
      <c r="B677" s="3">
        <f t="shared" si="58"/>
        <v>170.77345322993406</v>
      </c>
      <c r="C677" s="8"/>
      <c r="D677" s="3">
        <f t="shared" si="59"/>
        <v>164.43360322704947</v>
      </c>
      <c r="F677" s="3">
        <f t="shared" si="60"/>
        <v>-70.773453229934063</v>
      </c>
      <c r="G677" s="3">
        <f t="shared" si="61"/>
        <v>6.3398500028845888</v>
      </c>
      <c r="H677" s="3">
        <f t="shared" si="62"/>
        <v>164.43360322704947</v>
      </c>
      <c r="I677" s="3"/>
    </row>
    <row r="678" spans="1:20" x14ac:dyDescent="0.15">
      <c r="A678" s="1">
        <v>669</v>
      </c>
      <c r="B678" s="3">
        <f t="shared" si="58"/>
        <v>171.02435671530606</v>
      </c>
      <c r="C678" s="8"/>
      <c r="D678" s="3">
        <f t="shared" si="59"/>
        <v>164.68450671242147</v>
      </c>
      <c r="F678" s="3">
        <f t="shared" si="60"/>
        <v>-71.024356715306055</v>
      </c>
      <c r="G678" s="3">
        <f t="shared" si="61"/>
        <v>6.3398500028845888</v>
      </c>
      <c r="H678" s="3">
        <f t="shared" si="62"/>
        <v>164.68450671242147</v>
      </c>
      <c r="I678" s="3"/>
    </row>
    <row r="679" spans="1:20" x14ac:dyDescent="0.15">
      <c r="A679" s="1">
        <v>670</v>
      </c>
      <c r="B679" s="3">
        <f t="shared" si="58"/>
        <v>171.27526020067805</v>
      </c>
      <c r="C679" s="8"/>
      <c r="D679" s="3">
        <f t="shared" si="59"/>
        <v>164.93541019779346</v>
      </c>
      <c r="F679" s="3">
        <f t="shared" si="60"/>
        <v>-71.275260200678048</v>
      </c>
      <c r="G679" s="3">
        <f t="shared" si="61"/>
        <v>6.3398500028845888</v>
      </c>
      <c r="H679" s="3">
        <f t="shared" si="62"/>
        <v>164.93541019779346</v>
      </c>
      <c r="I679" s="3"/>
    </row>
    <row r="680" spans="1:20" x14ac:dyDescent="0.15">
      <c r="A680" s="1">
        <v>671</v>
      </c>
      <c r="B680" s="3">
        <f t="shared" si="58"/>
        <v>171.52616368605007</v>
      </c>
      <c r="C680" s="8"/>
      <c r="D680" s="3">
        <f t="shared" si="59"/>
        <v>165.18631368316545</v>
      </c>
      <c r="F680" s="3">
        <f t="shared" si="60"/>
        <v>-71.526163686050069</v>
      </c>
      <c r="G680" s="3">
        <f t="shared" si="61"/>
        <v>6.3398500028846172</v>
      </c>
      <c r="H680" s="3">
        <f t="shared" si="62"/>
        <v>165.18631368316545</v>
      </c>
      <c r="I680" s="3"/>
    </row>
    <row r="681" spans="1:20" x14ac:dyDescent="0.15">
      <c r="A681" s="1">
        <v>672</v>
      </c>
      <c r="B681" s="3">
        <f t="shared" si="58"/>
        <v>171.77706717142206</v>
      </c>
      <c r="C681" s="8"/>
      <c r="D681" s="3">
        <f t="shared" si="59"/>
        <v>165.43721716853744</v>
      </c>
      <c r="F681" s="3">
        <f t="shared" si="60"/>
        <v>-71.777067171422061</v>
      </c>
      <c r="G681" s="3">
        <f t="shared" si="61"/>
        <v>6.3398500028846172</v>
      </c>
      <c r="H681" s="3">
        <f t="shared" si="62"/>
        <v>165.43721716853744</v>
      </c>
      <c r="I681" s="3"/>
    </row>
    <row r="682" spans="1:20" x14ac:dyDescent="0.15">
      <c r="A682" s="1">
        <v>673</v>
      </c>
      <c r="B682" s="3">
        <f t="shared" si="58"/>
        <v>172.02797065679405</v>
      </c>
      <c r="C682" s="8"/>
      <c r="D682" s="3">
        <f t="shared" si="59"/>
        <v>165.68812065390944</v>
      </c>
      <c r="F682" s="3">
        <f t="shared" si="60"/>
        <v>-72.027970656794054</v>
      </c>
      <c r="G682" s="3">
        <f t="shared" si="61"/>
        <v>6.3398500028846172</v>
      </c>
      <c r="H682" s="3">
        <f t="shared" si="62"/>
        <v>165.68812065390944</v>
      </c>
      <c r="I682" s="3"/>
    </row>
    <row r="683" spans="1:20" x14ac:dyDescent="0.15">
      <c r="A683" s="1">
        <v>674</v>
      </c>
      <c r="B683" s="3">
        <f t="shared" si="58"/>
        <v>172.27887414216605</v>
      </c>
      <c r="C683" s="8"/>
      <c r="D683" s="3">
        <f t="shared" si="59"/>
        <v>165.93902413928143</v>
      </c>
      <c r="F683" s="3">
        <f t="shared" si="60"/>
        <v>-72.278874142166046</v>
      </c>
      <c r="G683" s="3">
        <f t="shared" si="61"/>
        <v>6.3398500028846172</v>
      </c>
      <c r="H683" s="3">
        <f t="shared" si="62"/>
        <v>165.93902413928143</v>
      </c>
      <c r="I683" s="3"/>
    </row>
    <row r="684" spans="1:20" x14ac:dyDescent="0.15">
      <c r="A684" s="1">
        <v>675</v>
      </c>
      <c r="B684" s="3">
        <f t="shared" si="58"/>
        <v>172.52977762753804</v>
      </c>
      <c r="C684" s="8"/>
      <c r="D684" s="3">
        <f t="shared" si="59"/>
        <v>166.18992762465342</v>
      </c>
      <c r="F684" s="3">
        <f t="shared" si="60"/>
        <v>-72.529777627538039</v>
      </c>
      <c r="G684" s="3">
        <f t="shared" si="61"/>
        <v>6.3398500028846172</v>
      </c>
      <c r="H684" s="3">
        <f t="shared" si="62"/>
        <v>166.18992762465342</v>
      </c>
      <c r="I684" s="3"/>
    </row>
    <row r="685" spans="1:20" x14ac:dyDescent="0.15">
      <c r="A685" s="1">
        <v>676</v>
      </c>
      <c r="B685" s="3">
        <f t="shared" ref="B685" si="63">+(B$4*A685)+B$5</f>
        <v>172.78068111291003</v>
      </c>
      <c r="C685" s="8"/>
      <c r="D685" s="3">
        <f t="shared" ref="D685" si="64">+(D$4*A685)+D$5</f>
        <v>166.44083111002541</v>
      </c>
      <c r="F685" s="3">
        <f t="shared" ref="F685" si="65">+xmax-B685</f>
        <v>-72.780681112910031</v>
      </c>
      <c r="G685" s="3">
        <f t="shared" ref="G685" si="66">+B685-D685</f>
        <v>6.3398500028846172</v>
      </c>
      <c r="H685" s="3">
        <f t="shared" ref="H685" si="67">D685</f>
        <v>166.44083111002541</v>
      </c>
      <c r="I685" s="3"/>
    </row>
    <row r="686" spans="1:20" x14ac:dyDescent="0.15">
      <c r="A686" s="1">
        <v>677</v>
      </c>
      <c r="B686" s="3">
        <f t="shared" ref="B686:B749" si="68">+(B$4*A686)+B$5</f>
        <v>173.03158459828202</v>
      </c>
      <c r="C686" s="8"/>
      <c r="D686" s="3">
        <f t="shared" ref="D686:D749" si="69">+(D$4*A686)+D$5</f>
        <v>166.69173459539741</v>
      </c>
      <c r="F686" s="3">
        <f t="shared" ref="F686:F749" si="70">+xmax-B686</f>
        <v>-73.031584598282024</v>
      </c>
      <c r="G686" s="3">
        <f t="shared" ref="G686:G749" si="71">+B686-D686</f>
        <v>6.3398500028846172</v>
      </c>
      <c r="H686" s="3">
        <f t="shared" ref="H686:H749" si="72">D686</f>
        <v>166.69173459539741</v>
      </c>
      <c r="I686" s="3"/>
    </row>
    <row r="687" spans="1:20" x14ac:dyDescent="0.15">
      <c r="A687" s="1">
        <v>678</v>
      </c>
      <c r="B687" s="3">
        <f t="shared" si="68"/>
        <v>173.28248808365402</v>
      </c>
      <c r="C687" s="8"/>
      <c r="D687" s="3">
        <f t="shared" si="69"/>
        <v>166.9426380807694</v>
      </c>
      <c r="F687" s="3">
        <f t="shared" si="70"/>
        <v>-73.282488083654016</v>
      </c>
      <c r="G687" s="3">
        <f t="shared" si="71"/>
        <v>6.3398500028846172</v>
      </c>
      <c r="H687" s="3">
        <f t="shared" si="72"/>
        <v>166.9426380807694</v>
      </c>
      <c r="I687" s="3"/>
      <c r="J687" s="3"/>
      <c r="K687" s="3"/>
      <c r="L687" s="3"/>
      <c r="M687" s="3"/>
    </row>
    <row r="688" spans="1:20" x14ac:dyDescent="0.15">
      <c r="A688" s="1">
        <v>679</v>
      </c>
      <c r="B688" s="3">
        <f t="shared" si="68"/>
        <v>173.53339156902601</v>
      </c>
      <c r="C688" s="8"/>
      <c r="D688" s="3">
        <f t="shared" si="69"/>
        <v>167.19354156614139</v>
      </c>
      <c r="F688" s="3">
        <f t="shared" si="70"/>
        <v>-73.533391569026008</v>
      </c>
      <c r="G688" s="3">
        <f t="shared" si="71"/>
        <v>6.3398500028846172</v>
      </c>
      <c r="H688" s="3">
        <f t="shared" si="72"/>
        <v>167.19354156614139</v>
      </c>
      <c r="I688" s="3"/>
      <c r="J688" s="3"/>
      <c r="K688" s="3"/>
      <c r="L688" s="3"/>
      <c r="M688" s="6" t="s">
        <v>18</v>
      </c>
      <c r="N688" s="9"/>
      <c r="O688" s="9"/>
      <c r="P688" s="3"/>
      <c r="Q688" s="3"/>
      <c r="R688" s="3"/>
      <c r="S688" s="3"/>
      <c r="T688" s="3"/>
    </row>
    <row r="689" spans="1:20" x14ac:dyDescent="0.15">
      <c r="A689" s="1">
        <v>680</v>
      </c>
      <c r="B689" s="3">
        <f t="shared" si="68"/>
        <v>173.784295054398</v>
      </c>
      <c r="C689" s="8"/>
      <c r="D689" s="3">
        <f t="shared" si="69"/>
        <v>167.44444505151338</v>
      </c>
      <c r="F689" s="3">
        <f t="shared" si="70"/>
        <v>-73.784295054398001</v>
      </c>
      <c r="G689" s="3">
        <f t="shared" si="71"/>
        <v>6.3398500028846172</v>
      </c>
      <c r="H689" s="3">
        <f t="shared" si="72"/>
        <v>167.44444505151338</v>
      </c>
      <c r="I689" s="3"/>
      <c r="J689" s="3"/>
      <c r="K689" s="3"/>
      <c r="L689" s="3"/>
      <c r="M689" s="16"/>
      <c r="N689" s="12" t="s">
        <v>23</v>
      </c>
      <c r="P689" s="9"/>
      <c r="Q689" s="3"/>
      <c r="R689" s="3"/>
      <c r="S689" s="3"/>
      <c r="T689" s="3"/>
    </row>
    <row r="690" spans="1:20" x14ac:dyDescent="0.15">
      <c r="A690" s="1">
        <v>681</v>
      </c>
      <c r="B690" s="3">
        <f t="shared" si="68"/>
        <v>174.03519853976999</v>
      </c>
      <c r="C690" s="8"/>
      <c r="D690" s="3">
        <f t="shared" si="69"/>
        <v>167.69534853688538</v>
      </c>
      <c r="F690" s="3">
        <f t="shared" si="70"/>
        <v>-74.035198539769993</v>
      </c>
      <c r="G690" s="3">
        <f t="shared" si="71"/>
        <v>6.3398500028846172</v>
      </c>
      <c r="H690" s="3">
        <f t="shared" si="72"/>
        <v>167.69534853688538</v>
      </c>
      <c r="I690" s="3"/>
      <c r="J690" s="3"/>
      <c r="K690" s="3"/>
      <c r="L690" s="3"/>
      <c r="M690" s="16">
        <v>6.6</v>
      </c>
      <c r="N690" s="9" t="s">
        <v>20</v>
      </c>
      <c r="P690" s="3">
        <f>'Risk Trade-Off Parameters'!C11/(1-'Risk Trade-Off Parameters'!C5)</f>
        <v>-2.1972245773362196</v>
      </c>
      <c r="Q690" s="3">
        <v>0</v>
      </c>
      <c r="R690" s="3"/>
      <c r="S690" s="3"/>
      <c r="T690" s="3"/>
    </row>
    <row r="691" spans="1:20" x14ac:dyDescent="0.15">
      <c r="A691" s="1">
        <v>682</v>
      </c>
      <c r="B691" s="3">
        <f t="shared" si="68"/>
        <v>174.28610202514199</v>
      </c>
      <c r="C691" s="8"/>
      <c r="D691" s="3">
        <f t="shared" si="69"/>
        <v>167.94625202225737</v>
      </c>
      <c r="F691" s="3">
        <f t="shared" si="70"/>
        <v>-74.286102025141986</v>
      </c>
      <c r="G691" s="3">
        <f t="shared" si="71"/>
        <v>6.3398500028846172</v>
      </c>
      <c r="H691" s="3">
        <f t="shared" si="72"/>
        <v>167.94625202225737</v>
      </c>
      <c r="I691" s="3"/>
      <c r="J691" s="3"/>
      <c r="K691" s="3"/>
      <c r="L691" s="3"/>
      <c r="M691" s="16">
        <v>6.8</v>
      </c>
      <c r="N691" s="9" t="s">
        <v>21</v>
      </c>
      <c r="P691" s="3">
        <f>(('Risk Trade-Off Parameters'!C11-(16*LN('Risk Trade-Off Parameters'!C5)))/(1-'Risk Trade-Off Parameters'!C5))</f>
        <v>8.8931303116229046</v>
      </c>
      <c r="Q691" s="3">
        <f>FTmax</f>
        <v>92</v>
      </c>
      <c r="R691" s="3"/>
      <c r="S691" s="3"/>
      <c r="T691" s="3"/>
    </row>
    <row r="692" spans="1:20" x14ac:dyDescent="0.15">
      <c r="A692" s="1">
        <v>683</v>
      </c>
      <c r="B692" s="3">
        <f t="shared" si="68"/>
        <v>174.53700551051398</v>
      </c>
      <c r="C692" s="8"/>
      <c r="D692" s="3">
        <f t="shared" si="69"/>
        <v>168.19715550762936</v>
      </c>
      <c r="F692" s="3">
        <f t="shared" si="70"/>
        <v>-74.537005510513978</v>
      </c>
      <c r="G692" s="3">
        <f t="shared" si="71"/>
        <v>6.3398500028846172</v>
      </c>
      <c r="H692" s="3">
        <f t="shared" si="72"/>
        <v>168.19715550762936</v>
      </c>
      <c r="I692" s="3"/>
      <c r="J692" s="3"/>
      <c r="K692" s="3"/>
      <c r="L692" s="3"/>
      <c r="M692" s="17">
        <v>6.1</v>
      </c>
      <c r="N692" s="9" t="s">
        <v>17</v>
      </c>
      <c r="P692" s="3">
        <v>0</v>
      </c>
      <c r="Q692" s="3">
        <f>'Risk Trade-Off Parameters'!C11/LN('Risk Trade-Off Parameters'!C5)</f>
        <v>3.1699250014423126</v>
      </c>
      <c r="R692" s="3"/>
      <c r="S692" s="3"/>
      <c r="T692" s="3"/>
    </row>
    <row r="693" spans="1:20" x14ac:dyDescent="0.15">
      <c r="A693" s="1">
        <v>684</v>
      </c>
      <c r="B693" s="3">
        <f t="shared" si="68"/>
        <v>174.78790899588597</v>
      </c>
      <c r="C693" s="8"/>
      <c r="D693" s="3">
        <f t="shared" si="69"/>
        <v>168.44805899300135</v>
      </c>
      <c r="F693" s="3">
        <f t="shared" si="70"/>
        <v>-74.787908995885971</v>
      </c>
      <c r="G693" s="3">
        <f t="shared" si="71"/>
        <v>6.3398500028846172</v>
      </c>
      <c r="H693" s="3">
        <f t="shared" si="72"/>
        <v>168.44805899300135</v>
      </c>
      <c r="I693" s="3"/>
      <c r="J693" s="3"/>
      <c r="K693" s="3"/>
      <c r="L693" s="3"/>
      <c r="M693" s="16">
        <v>6.12</v>
      </c>
      <c r="N693" s="9" t="s">
        <v>22</v>
      </c>
      <c r="P693" s="3">
        <f>FTmax</f>
        <v>92</v>
      </c>
      <c r="Q693" s="3">
        <f>('Risk Trade-Off Parameters'!C11-(16*(1-'Risk Trade-Off Parameters'!C5)))/LN('Risk Trade-Off Parameters'!C5)</f>
        <v>26.253045655665726</v>
      </c>
      <c r="R693" s="3"/>
      <c r="S693" s="3"/>
      <c r="T693" s="3"/>
    </row>
    <row r="694" spans="1:20" x14ac:dyDescent="0.15">
      <c r="A694" s="1">
        <v>685</v>
      </c>
      <c r="B694" s="3">
        <f t="shared" si="68"/>
        <v>175.03881248125796</v>
      </c>
      <c r="C694" s="8"/>
      <c r="D694" s="3">
        <f t="shared" si="69"/>
        <v>168.69896247837335</v>
      </c>
      <c r="F694" s="3">
        <f t="shared" si="70"/>
        <v>-75.038812481257963</v>
      </c>
      <c r="G694" s="3">
        <f t="shared" si="71"/>
        <v>6.3398500028846172</v>
      </c>
      <c r="H694" s="3">
        <f t="shared" si="72"/>
        <v>168.69896247837335</v>
      </c>
      <c r="I694" s="3"/>
      <c r="J694" s="3"/>
      <c r="K694" s="3"/>
      <c r="L694" s="3"/>
      <c r="M694" s="16"/>
      <c r="N694" s="4" t="s">
        <v>15</v>
      </c>
      <c r="O694" s="3">
        <f>+(Q693-Q692)/(P693-P692)</f>
        <v>0.25090348537199364</v>
      </c>
      <c r="P694" s="3"/>
      <c r="Q694" s="3"/>
      <c r="R694" s="3"/>
      <c r="S694" s="3"/>
      <c r="T694" s="3"/>
    </row>
    <row r="695" spans="1:20" x14ac:dyDescent="0.15">
      <c r="A695" s="1">
        <v>686</v>
      </c>
      <c r="B695" s="3">
        <f t="shared" si="68"/>
        <v>175.28971596662996</v>
      </c>
      <c r="C695" s="8"/>
      <c r="D695" s="3">
        <f t="shared" si="69"/>
        <v>168.94986596374534</v>
      </c>
      <c r="F695" s="3">
        <f t="shared" si="70"/>
        <v>-75.289715966629956</v>
      </c>
      <c r="G695" s="3">
        <f t="shared" si="71"/>
        <v>6.3398500028846172</v>
      </c>
      <c r="H695" s="3">
        <f t="shared" si="72"/>
        <v>168.94986596374534</v>
      </c>
      <c r="I695" s="3"/>
      <c r="J695" s="3"/>
      <c r="K695" s="3"/>
      <c r="L695" s="3"/>
      <c r="M695" s="16"/>
      <c r="N695" s="4"/>
      <c r="O695" s="3"/>
      <c r="P695" s="3"/>
      <c r="Q695" s="3"/>
      <c r="R695" s="3"/>
      <c r="S695" s="3"/>
      <c r="T695" s="3"/>
    </row>
    <row r="696" spans="1:20" x14ac:dyDescent="0.15">
      <c r="A696" s="1">
        <v>687</v>
      </c>
      <c r="B696" s="3">
        <f t="shared" si="68"/>
        <v>175.54061945200195</v>
      </c>
      <c r="C696" s="8"/>
      <c r="D696" s="3">
        <f t="shared" si="69"/>
        <v>169.20076944911736</v>
      </c>
      <c r="F696" s="3">
        <f t="shared" si="70"/>
        <v>-75.540619452001948</v>
      </c>
      <c r="G696" s="3">
        <f t="shared" si="71"/>
        <v>6.3398500028845888</v>
      </c>
      <c r="H696" s="3">
        <f t="shared" si="72"/>
        <v>169.20076944911736</v>
      </c>
      <c r="I696" s="3"/>
      <c r="J696" s="3"/>
      <c r="K696" s="3"/>
      <c r="L696" s="3"/>
      <c r="N696" s="12" t="s">
        <v>19</v>
      </c>
      <c r="P696" s="11" t="s">
        <v>24</v>
      </c>
      <c r="Q696" s="15" t="s">
        <v>25</v>
      </c>
      <c r="R696" s="3"/>
      <c r="S696" s="3"/>
      <c r="T696" s="3"/>
    </row>
    <row r="697" spans="1:20" x14ac:dyDescent="0.15">
      <c r="A697" s="1">
        <v>688</v>
      </c>
      <c r="B697" s="3">
        <f t="shared" si="68"/>
        <v>175.79152293737394</v>
      </c>
      <c r="C697" s="8"/>
      <c r="D697" s="3">
        <f t="shared" si="69"/>
        <v>169.45167293448935</v>
      </c>
      <c r="F697" s="3">
        <f t="shared" si="70"/>
        <v>-75.791522937373941</v>
      </c>
      <c r="G697" s="3">
        <f t="shared" si="71"/>
        <v>6.3398500028845888</v>
      </c>
      <c r="H697" s="3">
        <f t="shared" si="72"/>
        <v>169.45167293448935</v>
      </c>
      <c r="I697" s="3"/>
      <c r="J697" s="3"/>
      <c r="K697" s="3"/>
      <c r="L697" s="3"/>
      <c r="M697" s="16">
        <v>6.5</v>
      </c>
      <c r="N697" s="9" t="s">
        <v>20</v>
      </c>
      <c r="P697" s="3">
        <f>'Risk Trade-Off Parameters'!C9/(1-'Risk Trade-Off Parameters'!C5)</f>
        <v>2.1972245773362191</v>
      </c>
      <c r="Q697" s="3">
        <v>0</v>
      </c>
      <c r="R697" s="3"/>
      <c r="S697" s="3"/>
      <c r="T697" s="3"/>
    </row>
    <row r="698" spans="1:20" x14ac:dyDescent="0.15">
      <c r="A698" s="1">
        <v>689</v>
      </c>
      <c r="B698" s="3">
        <f t="shared" si="68"/>
        <v>176.04242642274593</v>
      </c>
      <c r="C698" s="8"/>
      <c r="D698" s="3">
        <f t="shared" si="69"/>
        <v>169.70257641986134</v>
      </c>
      <c r="F698" s="3">
        <f t="shared" si="70"/>
        <v>-76.042426422745933</v>
      </c>
      <c r="G698" s="3">
        <f t="shared" si="71"/>
        <v>6.3398500028845888</v>
      </c>
      <c r="H698" s="3">
        <f t="shared" si="72"/>
        <v>169.70257641986134</v>
      </c>
      <c r="I698" s="3"/>
      <c r="J698" s="3"/>
      <c r="K698" s="3"/>
      <c r="L698" s="3"/>
      <c r="M698" s="16">
        <v>6.7</v>
      </c>
      <c r="N698" s="9" t="s">
        <v>21</v>
      </c>
      <c r="P698" s="3">
        <f>(('Risk Trade-Off Parameters'!C9-(16*LN('Risk Trade-Off Parameters'!C5)))/(1-'Risk Trade-Off Parameters'!C5))</f>
        <v>13.287579466295345</v>
      </c>
      <c r="Q698" s="3">
        <f>FCmax</f>
        <v>92</v>
      </c>
      <c r="R698" s="3"/>
      <c r="S698" s="3"/>
      <c r="T698" s="3"/>
    </row>
    <row r="699" spans="1:20" x14ac:dyDescent="0.15">
      <c r="A699" s="1">
        <v>690</v>
      </c>
      <c r="B699" s="3">
        <f t="shared" si="68"/>
        <v>176.29332990811793</v>
      </c>
      <c r="C699" s="8"/>
      <c r="D699" s="3">
        <f t="shared" si="69"/>
        <v>169.95347990523334</v>
      </c>
      <c r="F699" s="3">
        <f t="shared" si="70"/>
        <v>-76.293329908117926</v>
      </c>
      <c r="G699" s="3">
        <f t="shared" si="71"/>
        <v>6.3398500028845888</v>
      </c>
      <c r="H699" s="3">
        <f t="shared" si="72"/>
        <v>169.95347990523334</v>
      </c>
      <c r="I699" s="3"/>
      <c r="J699" s="3"/>
      <c r="K699" s="3"/>
      <c r="L699" s="3"/>
      <c r="M699" s="16">
        <v>6.9</v>
      </c>
      <c r="N699" s="9" t="s">
        <v>17</v>
      </c>
      <c r="P699" s="3">
        <v>0</v>
      </c>
      <c r="Q699" s="3">
        <f>'Risk Trade-Off Parameters'!C9/LN('Risk Trade-Off Parameters'!C5)</f>
        <v>-3.1699250014423122</v>
      </c>
      <c r="R699" s="3"/>
      <c r="S699" s="3"/>
      <c r="T699" s="3"/>
    </row>
    <row r="700" spans="1:20" x14ac:dyDescent="0.15">
      <c r="A700" s="1">
        <v>691</v>
      </c>
      <c r="B700" s="3">
        <f t="shared" si="68"/>
        <v>176.54423339348992</v>
      </c>
      <c r="C700" s="8"/>
      <c r="D700" s="3">
        <f t="shared" si="69"/>
        <v>170.20438339060533</v>
      </c>
      <c r="F700" s="3">
        <f t="shared" si="70"/>
        <v>-76.544233393489918</v>
      </c>
      <c r="G700" s="3">
        <f t="shared" si="71"/>
        <v>6.3398500028845888</v>
      </c>
      <c r="H700" s="3">
        <f t="shared" si="72"/>
        <v>170.20438339060533</v>
      </c>
      <c r="I700" s="3"/>
      <c r="J700" s="3"/>
      <c r="K700" s="3"/>
      <c r="L700" s="3"/>
      <c r="M700" s="16">
        <v>6.11</v>
      </c>
      <c r="N700" s="9" t="s">
        <v>22</v>
      </c>
      <c r="P700" s="3">
        <f>FCmax</f>
        <v>92</v>
      </c>
      <c r="Q700" s="3">
        <f>('Risk Trade-Off Parameters'!C9-(16*(1-'Risk Trade-Off Parameters'!C5)))/LN('Risk Trade-Off Parameters'!C5)</f>
        <v>19.913195652781106</v>
      </c>
      <c r="R700" s="3"/>
      <c r="S700" s="3"/>
      <c r="T700" s="3"/>
    </row>
    <row r="701" spans="1:20" x14ac:dyDescent="0.15">
      <c r="A701" s="1">
        <v>692</v>
      </c>
      <c r="B701" s="3">
        <f t="shared" si="68"/>
        <v>176.79513687886191</v>
      </c>
      <c r="C701" s="8"/>
      <c r="D701" s="3">
        <f t="shared" si="69"/>
        <v>170.45528687597732</v>
      </c>
      <c r="F701" s="3">
        <f t="shared" si="70"/>
        <v>-76.795136878861911</v>
      </c>
      <c r="G701" s="3">
        <f t="shared" si="71"/>
        <v>6.3398500028845888</v>
      </c>
      <c r="H701" s="3">
        <f t="shared" si="72"/>
        <v>170.45528687597732</v>
      </c>
      <c r="I701" s="3"/>
      <c r="J701" s="3"/>
      <c r="K701" s="3"/>
      <c r="L701" s="3"/>
      <c r="M701" s="16"/>
      <c r="N701" s="4" t="s">
        <v>15</v>
      </c>
      <c r="O701" s="3">
        <f>+(Q700-Q699)/(P700-P699)</f>
        <v>0.2509034853719937</v>
      </c>
      <c r="P701" s="3"/>
      <c r="Q701" s="3"/>
      <c r="R701" s="3"/>
      <c r="S701" s="3"/>
      <c r="T701" s="3"/>
    </row>
    <row r="702" spans="1:20" x14ac:dyDescent="0.15">
      <c r="A702" s="1">
        <v>693</v>
      </c>
      <c r="B702" s="3">
        <f t="shared" si="68"/>
        <v>177.0460403642339</v>
      </c>
      <c r="C702" s="8"/>
      <c r="D702" s="3">
        <f t="shared" si="69"/>
        <v>170.70619036134931</v>
      </c>
      <c r="F702" s="3">
        <f t="shared" si="70"/>
        <v>-77.046040364233903</v>
      </c>
      <c r="G702" s="3">
        <f t="shared" si="71"/>
        <v>6.3398500028845888</v>
      </c>
      <c r="H702" s="3">
        <f t="shared" si="72"/>
        <v>170.70619036134931</v>
      </c>
      <c r="I702" s="3"/>
      <c r="J702" s="3"/>
      <c r="K702" s="3"/>
      <c r="L702" s="3"/>
      <c r="M702" s="16"/>
      <c r="N702" s="9"/>
      <c r="P702" s="3"/>
      <c r="Q702" s="3"/>
      <c r="R702" s="3"/>
      <c r="S702" s="3"/>
      <c r="T702" s="3"/>
    </row>
    <row r="703" spans="1:20" x14ac:dyDescent="0.15">
      <c r="A703" s="1">
        <v>694</v>
      </c>
      <c r="B703" s="3">
        <f t="shared" si="68"/>
        <v>177.2969438496059</v>
      </c>
      <c r="C703" s="8"/>
      <c r="D703" s="3">
        <f t="shared" si="69"/>
        <v>170.95709384672131</v>
      </c>
      <c r="F703" s="3">
        <f t="shared" si="70"/>
        <v>-77.296943849605896</v>
      </c>
      <c r="G703" s="3">
        <f t="shared" si="71"/>
        <v>6.3398500028845888</v>
      </c>
      <c r="H703" s="3">
        <f t="shared" si="72"/>
        <v>170.95709384672131</v>
      </c>
      <c r="N703" s="12" t="s">
        <v>32</v>
      </c>
      <c r="P703" s="3"/>
      <c r="Q703" s="3"/>
      <c r="R703" s="3"/>
      <c r="S703" s="3"/>
      <c r="T703" s="3"/>
    </row>
    <row r="704" spans="1:20" x14ac:dyDescent="0.15">
      <c r="A704" s="1">
        <v>695</v>
      </c>
      <c r="B704" s="3">
        <f t="shared" si="68"/>
        <v>177.54784733497792</v>
      </c>
      <c r="C704" s="8"/>
      <c r="D704" s="3">
        <f t="shared" si="69"/>
        <v>171.2079973320933</v>
      </c>
      <c r="F704" s="3">
        <f t="shared" si="70"/>
        <v>-77.547847334977916</v>
      </c>
      <c r="G704" s="3">
        <f t="shared" si="71"/>
        <v>6.3398500028846172</v>
      </c>
      <c r="H704" s="3">
        <f t="shared" si="72"/>
        <v>171.2079973320933</v>
      </c>
      <c r="P704">
        <v>0</v>
      </c>
      <c r="Q704">
        <f>FCmax</f>
        <v>92</v>
      </c>
    </row>
    <row r="705" spans="1:20" x14ac:dyDescent="0.15">
      <c r="A705" s="1">
        <v>696</v>
      </c>
      <c r="B705" s="3">
        <f t="shared" si="68"/>
        <v>177.79875082034991</v>
      </c>
      <c r="C705" s="8"/>
      <c r="D705" s="3">
        <f t="shared" si="69"/>
        <v>171.45890081746529</v>
      </c>
      <c r="F705" s="3">
        <f t="shared" si="70"/>
        <v>-77.798750820349909</v>
      </c>
      <c r="G705" s="3">
        <f t="shared" si="71"/>
        <v>6.3398500028846172</v>
      </c>
      <c r="H705" s="3">
        <f t="shared" si="72"/>
        <v>171.45890081746529</v>
      </c>
      <c r="P705">
        <f>FTmax</f>
        <v>92</v>
      </c>
      <c r="Q705">
        <f>FCmax</f>
        <v>92</v>
      </c>
    </row>
    <row r="706" spans="1:20" x14ac:dyDescent="0.15">
      <c r="A706" s="1">
        <v>697</v>
      </c>
      <c r="B706" s="3">
        <f t="shared" si="68"/>
        <v>178.0496543057219</v>
      </c>
      <c r="C706" s="8"/>
      <c r="D706" s="3">
        <f t="shared" si="69"/>
        <v>171.70980430283728</v>
      </c>
      <c r="F706" s="3">
        <f t="shared" si="70"/>
        <v>-78.049654305721901</v>
      </c>
      <c r="G706" s="3">
        <f t="shared" si="71"/>
        <v>6.3398500028846172</v>
      </c>
      <c r="H706" s="3">
        <f t="shared" si="72"/>
        <v>171.70980430283728</v>
      </c>
      <c r="N706" s="12" t="s">
        <v>33</v>
      </c>
    </row>
    <row r="707" spans="1:20" x14ac:dyDescent="0.15">
      <c r="A707" s="1">
        <v>698</v>
      </c>
      <c r="B707" s="3">
        <f t="shared" si="68"/>
        <v>178.30055779109389</v>
      </c>
      <c r="C707" s="8"/>
      <c r="D707" s="3">
        <f t="shared" si="69"/>
        <v>171.96070778820928</v>
      </c>
      <c r="F707" s="3">
        <f t="shared" si="70"/>
        <v>-78.300557791093894</v>
      </c>
      <c r="G707" s="3">
        <f t="shared" si="71"/>
        <v>6.3398500028846172</v>
      </c>
      <c r="H707" s="3">
        <f t="shared" si="72"/>
        <v>171.96070778820928</v>
      </c>
      <c r="P707">
        <f>FTmax</f>
        <v>92</v>
      </c>
      <c r="Q707">
        <v>0</v>
      </c>
    </row>
    <row r="708" spans="1:20" x14ac:dyDescent="0.15">
      <c r="A708" s="1">
        <v>699</v>
      </c>
      <c r="B708" s="3">
        <f t="shared" si="68"/>
        <v>178.55146127646589</v>
      </c>
      <c r="C708" s="8"/>
      <c r="D708" s="3">
        <f t="shared" si="69"/>
        <v>172.21161127358127</v>
      </c>
      <c r="F708" s="3">
        <f t="shared" si="70"/>
        <v>-78.551461276465886</v>
      </c>
      <c r="G708" s="3">
        <f t="shared" si="71"/>
        <v>6.3398500028846172</v>
      </c>
      <c r="H708" s="3">
        <f t="shared" si="72"/>
        <v>172.21161127358127</v>
      </c>
      <c r="I708" s="3"/>
      <c r="J708" s="3"/>
      <c r="K708" s="3"/>
      <c r="L708" s="3"/>
      <c r="P708">
        <f>FTmax</f>
        <v>92</v>
      </c>
      <c r="Q708">
        <f>FCmax</f>
        <v>92</v>
      </c>
    </row>
    <row r="709" spans="1:20" x14ac:dyDescent="0.15">
      <c r="A709" s="1">
        <v>700</v>
      </c>
      <c r="B709" s="3">
        <f t="shared" si="68"/>
        <v>178.80236476183788</v>
      </c>
      <c r="C709" s="8"/>
      <c r="D709" s="3">
        <f t="shared" si="69"/>
        <v>172.46251475895326</v>
      </c>
      <c r="F709" s="3">
        <f t="shared" si="70"/>
        <v>-78.802364761837879</v>
      </c>
      <c r="G709" s="3">
        <f t="shared" si="71"/>
        <v>6.3398500028846172</v>
      </c>
      <c r="H709" s="3">
        <f t="shared" si="72"/>
        <v>172.46251475895326</v>
      </c>
      <c r="N709" s="9"/>
      <c r="O709" s="9"/>
      <c r="P709" s="3"/>
      <c r="Q709" s="3"/>
      <c r="R709" s="3"/>
      <c r="S709" s="3"/>
      <c r="T709" s="3"/>
    </row>
    <row r="710" spans="1:20" x14ac:dyDescent="0.15">
      <c r="A710" s="1">
        <v>701</v>
      </c>
      <c r="B710" s="3">
        <f t="shared" si="68"/>
        <v>179.05326824720987</v>
      </c>
      <c r="C710" s="8"/>
      <c r="D710" s="3">
        <f t="shared" si="69"/>
        <v>172.71341824432525</v>
      </c>
      <c r="F710" s="3">
        <f t="shared" si="70"/>
        <v>-79.053268247209871</v>
      </c>
      <c r="G710" s="3">
        <f t="shared" si="71"/>
        <v>6.3398500028846172</v>
      </c>
      <c r="H710" s="3">
        <f t="shared" si="72"/>
        <v>172.71341824432525</v>
      </c>
      <c r="M710" s="6" t="s">
        <v>37</v>
      </c>
    </row>
    <row r="711" spans="1:20" x14ac:dyDescent="0.15">
      <c r="A711" s="1">
        <v>702</v>
      </c>
      <c r="B711" s="3">
        <f t="shared" si="68"/>
        <v>179.30417173258186</v>
      </c>
      <c r="C711" s="8"/>
      <c r="D711" s="3">
        <f t="shared" si="69"/>
        <v>172.96432172969725</v>
      </c>
      <c r="F711" s="3">
        <f t="shared" si="70"/>
        <v>-79.304171732581864</v>
      </c>
      <c r="G711" s="3">
        <f t="shared" si="71"/>
        <v>6.3398500028846172</v>
      </c>
      <c r="H711" s="3">
        <f t="shared" si="72"/>
        <v>172.96432172969725</v>
      </c>
      <c r="P711" s="11" t="s">
        <v>24</v>
      </c>
      <c r="Q711" s="15" t="s">
        <v>25</v>
      </c>
      <c r="S711" s="10" t="s">
        <v>39</v>
      </c>
      <c r="T711" s="10" t="s">
        <v>40</v>
      </c>
    </row>
    <row r="712" spans="1:20" x14ac:dyDescent="0.15">
      <c r="A712" s="1">
        <v>703</v>
      </c>
      <c r="B712" s="3">
        <f t="shared" si="68"/>
        <v>179.55507521795386</v>
      </c>
      <c r="C712" s="8"/>
      <c r="D712" s="3">
        <f t="shared" si="69"/>
        <v>173.21522521506924</v>
      </c>
      <c r="F712" s="3">
        <f t="shared" si="70"/>
        <v>-79.555075217953856</v>
      </c>
      <c r="G712" s="3">
        <f t="shared" si="71"/>
        <v>6.3398500028846172</v>
      </c>
      <c r="H712" s="3">
        <f t="shared" si="72"/>
        <v>173.21522521506924</v>
      </c>
      <c r="P712" s="3">
        <f>(Q712-RejectYint)/RejectSlope</f>
        <v>-12.634041319683263</v>
      </c>
      <c r="Q712" s="2">
        <v>0</v>
      </c>
      <c r="S712" s="1">
        <v>0</v>
      </c>
      <c r="T712" s="3">
        <f>(RejectSlope*S712)+RejectYint</f>
        <v>3.1699250014423126</v>
      </c>
    </row>
    <row r="713" spans="1:20" x14ac:dyDescent="0.15">
      <c r="A713" s="1">
        <v>704</v>
      </c>
      <c r="B713" s="3">
        <f t="shared" si="68"/>
        <v>179.80597870332585</v>
      </c>
      <c r="C713" s="8"/>
      <c r="D713" s="3">
        <f t="shared" si="69"/>
        <v>173.46612870044123</v>
      </c>
      <c r="F713" s="3">
        <f t="shared" si="70"/>
        <v>-79.805978703325849</v>
      </c>
      <c r="G713" s="3">
        <f t="shared" si="71"/>
        <v>6.3398500028846172</v>
      </c>
      <c r="H713" s="3">
        <f t="shared" si="72"/>
        <v>173.46612870044123</v>
      </c>
      <c r="P713" s="3">
        <f t="shared" ref="P713:P727" si="73">(Q713-RejectYint)/RejectSlope</f>
        <v>-8.6484450314635772</v>
      </c>
      <c r="Q713" s="2">
        <v>1</v>
      </c>
      <c r="S713" s="1">
        <v>1</v>
      </c>
      <c r="T713" s="3">
        <f t="shared" ref="T713:T728" si="74">(RejectSlope*S713)+RejectYint</f>
        <v>3.4208284868143064</v>
      </c>
    </row>
    <row r="714" spans="1:20" x14ac:dyDescent="0.15">
      <c r="A714" s="1">
        <v>705</v>
      </c>
      <c r="B714" s="3">
        <f t="shared" si="68"/>
        <v>180.05688218869784</v>
      </c>
      <c r="C714" s="8"/>
      <c r="D714" s="3">
        <f t="shared" si="69"/>
        <v>173.71703218581322</v>
      </c>
      <c r="F714" s="3">
        <f t="shared" si="70"/>
        <v>-80.056882188697841</v>
      </c>
      <c r="G714" s="3">
        <f t="shared" si="71"/>
        <v>6.3398500028846172</v>
      </c>
      <c r="H714" s="3">
        <f t="shared" si="72"/>
        <v>173.71703218581322</v>
      </c>
      <c r="P714" s="3">
        <f t="shared" si="73"/>
        <v>-4.6628487432438916</v>
      </c>
      <c r="Q714" s="2">
        <v>2</v>
      </c>
      <c r="S714" s="1">
        <v>2</v>
      </c>
      <c r="T714" s="3">
        <f t="shared" si="74"/>
        <v>3.6717319721862998</v>
      </c>
    </row>
    <row r="715" spans="1:20" x14ac:dyDescent="0.15">
      <c r="A715" s="1">
        <v>706</v>
      </c>
      <c r="B715" s="3">
        <f t="shared" si="68"/>
        <v>180.30778567406983</v>
      </c>
      <c r="C715" s="8"/>
      <c r="D715" s="3">
        <f t="shared" si="69"/>
        <v>173.96793567118522</v>
      </c>
      <c r="F715" s="3">
        <f t="shared" si="70"/>
        <v>-80.307785674069834</v>
      </c>
      <c r="G715" s="3">
        <f t="shared" si="71"/>
        <v>6.3398500028846172</v>
      </c>
      <c r="H715" s="3">
        <f t="shared" si="72"/>
        <v>173.96793567118522</v>
      </c>
      <c r="P715" s="3">
        <f t="shared" si="73"/>
        <v>-0.67725245502420583</v>
      </c>
      <c r="Q715" s="2">
        <v>3</v>
      </c>
      <c r="S715" s="1">
        <v>3</v>
      </c>
      <c r="T715" s="3">
        <f t="shared" si="74"/>
        <v>3.9226354575582936</v>
      </c>
    </row>
    <row r="716" spans="1:20" x14ac:dyDescent="0.15">
      <c r="A716" s="1">
        <v>707</v>
      </c>
      <c r="B716" s="3">
        <f t="shared" si="68"/>
        <v>180.55868915944183</v>
      </c>
      <c r="C716" s="8"/>
      <c r="D716" s="3">
        <f t="shared" si="69"/>
        <v>174.21883915655721</v>
      </c>
      <c r="F716" s="3">
        <f t="shared" si="70"/>
        <v>-80.558689159441826</v>
      </c>
      <c r="G716" s="3">
        <f t="shared" si="71"/>
        <v>6.3398500028846172</v>
      </c>
      <c r="H716" s="3">
        <f t="shared" si="72"/>
        <v>174.21883915655721</v>
      </c>
      <c r="P716" s="3">
        <f t="shared" si="73"/>
        <v>3.3083438331954795</v>
      </c>
      <c r="Q716" s="2">
        <v>4</v>
      </c>
      <c r="S716" s="1">
        <v>4</v>
      </c>
      <c r="T716" s="3">
        <f t="shared" si="74"/>
        <v>4.1735389429302874</v>
      </c>
    </row>
    <row r="717" spans="1:20" x14ac:dyDescent="0.15">
      <c r="A717" s="1">
        <v>708</v>
      </c>
      <c r="B717" s="3">
        <f t="shared" si="68"/>
        <v>180.80959264481382</v>
      </c>
      <c r="C717" s="8"/>
      <c r="D717" s="3">
        <f t="shared" si="69"/>
        <v>174.4697426419292</v>
      </c>
      <c r="F717" s="3">
        <f t="shared" si="70"/>
        <v>-80.809592644813819</v>
      </c>
      <c r="G717" s="3">
        <f t="shared" si="71"/>
        <v>6.3398500028846172</v>
      </c>
      <c r="H717" s="3">
        <f t="shared" si="72"/>
        <v>174.4697426419292</v>
      </c>
      <c r="P717" s="3">
        <f t="shared" si="73"/>
        <v>7.2939401214151651</v>
      </c>
      <c r="Q717" s="2">
        <v>5</v>
      </c>
      <c r="S717" s="1">
        <v>5</v>
      </c>
      <c r="T717" s="3">
        <f t="shared" si="74"/>
        <v>4.4244424283022807</v>
      </c>
    </row>
    <row r="718" spans="1:20" x14ac:dyDescent="0.15">
      <c r="A718" s="1">
        <v>709</v>
      </c>
      <c r="B718" s="3">
        <f t="shared" si="68"/>
        <v>181.06049613018581</v>
      </c>
      <c r="C718" s="8"/>
      <c r="D718" s="3">
        <f t="shared" si="69"/>
        <v>174.72064612730119</v>
      </c>
      <c r="F718" s="3">
        <f t="shared" si="70"/>
        <v>-81.060496130185811</v>
      </c>
      <c r="G718" s="3">
        <f t="shared" si="71"/>
        <v>6.3398500028846172</v>
      </c>
      <c r="H718" s="3">
        <f t="shared" si="72"/>
        <v>174.72064612730119</v>
      </c>
      <c r="P718" s="3">
        <f t="shared" si="73"/>
        <v>11.279536409634851</v>
      </c>
      <c r="Q718" s="2">
        <v>6</v>
      </c>
      <c r="S718" s="1">
        <v>6</v>
      </c>
      <c r="T718" s="3">
        <f t="shared" si="74"/>
        <v>4.6753459136742741</v>
      </c>
    </row>
    <row r="719" spans="1:20" x14ac:dyDescent="0.15">
      <c r="A719" s="1">
        <v>710</v>
      </c>
      <c r="B719" s="3">
        <f t="shared" si="68"/>
        <v>181.3113996155578</v>
      </c>
      <c r="C719" s="8"/>
      <c r="D719" s="3">
        <f t="shared" si="69"/>
        <v>174.97154961267321</v>
      </c>
      <c r="F719" s="3">
        <f t="shared" si="70"/>
        <v>-81.311399615557804</v>
      </c>
      <c r="G719" s="3">
        <f t="shared" si="71"/>
        <v>6.3398500028845888</v>
      </c>
      <c r="H719" s="3">
        <f t="shared" si="72"/>
        <v>174.97154961267321</v>
      </c>
      <c r="P719" s="3">
        <f t="shared" si="73"/>
        <v>15.265132697854536</v>
      </c>
      <c r="Q719" s="2">
        <v>7</v>
      </c>
      <c r="S719" s="1">
        <v>7</v>
      </c>
      <c r="T719" s="3">
        <f t="shared" si="74"/>
        <v>4.9262493990462684</v>
      </c>
    </row>
    <row r="720" spans="1:20" x14ac:dyDescent="0.15">
      <c r="A720" s="1">
        <v>711</v>
      </c>
      <c r="B720" s="3">
        <f t="shared" si="68"/>
        <v>181.5623031009298</v>
      </c>
      <c r="C720" s="8"/>
      <c r="D720" s="3">
        <f t="shared" si="69"/>
        <v>175.22245309804521</v>
      </c>
      <c r="F720" s="3">
        <f t="shared" si="70"/>
        <v>-81.562303100929796</v>
      </c>
      <c r="G720" s="3">
        <f t="shared" si="71"/>
        <v>6.3398500028845888</v>
      </c>
      <c r="H720" s="3">
        <f t="shared" si="72"/>
        <v>175.22245309804521</v>
      </c>
      <c r="P720" s="3">
        <f t="shared" si="73"/>
        <v>19.250728986074222</v>
      </c>
      <c r="Q720" s="2">
        <v>8</v>
      </c>
      <c r="S720" s="1">
        <v>8</v>
      </c>
      <c r="T720" s="3">
        <f t="shared" si="74"/>
        <v>5.1771528844182617</v>
      </c>
    </row>
    <row r="721" spans="1:20" x14ac:dyDescent="0.15">
      <c r="A721" s="1">
        <v>712</v>
      </c>
      <c r="B721" s="3">
        <f t="shared" si="68"/>
        <v>181.81320658630179</v>
      </c>
      <c r="C721" s="8"/>
      <c r="D721" s="3">
        <f t="shared" si="69"/>
        <v>175.4733565834172</v>
      </c>
      <c r="F721" s="3">
        <f t="shared" si="70"/>
        <v>-81.813206586301789</v>
      </c>
      <c r="G721" s="3">
        <f t="shared" si="71"/>
        <v>6.3398500028845888</v>
      </c>
      <c r="H721" s="3">
        <f t="shared" si="72"/>
        <v>175.4733565834172</v>
      </c>
      <c r="P721" s="3">
        <f t="shared" si="73"/>
        <v>23.236325274293907</v>
      </c>
      <c r="Q721" s="2">
        <v>9</v>
      </c>
      <c r="S721" s="1">
        <v>9</v>
      </c>
      <c r="T721" s="3">
        <f t="shared" si="74"/>
        <v>5.4280563697902551</v>
      </c>
    </row>
    <row r="722" spans="1:20" x14ac:dyDescent="0.15">
      <c r="A722" s="1">
        <v>713</v>
      </c>
      <c r="B722" s="3">
        <f t="shared" si="68"/>
        <v>182.06411007167378</v>
      </c>
      <c r="C722" s="8"/>
      <c r="D722" s="3">
        <f t="shared" si="69"/>
        <v>175.72426006878919</v>
      </c>
      <c r="F722" s="3">
        <f t="shared" si="70"/>
        <v>-82.064110071673781</v>
      </c>
      <c r="G722" s="3">
        <f t="shared" si="71"/>
        <v>6.3398500028845888</v>
      </c>
      <c r="H722" s="3">
        <f t="shared" si="72"/>
        <v>175.72426006878919</v>
      </c>
      <c r="P722" s="3">
        <f t="shared" si="73"/>
        <v>27.221921562513593</v>
      </c>
      <c r="Q722" s="2">
        <v>10</v>
      </c>
      <c r="S722" s="1">
        <v>10</v>
      </c>
      <c r="T722" s="3">
        <f t="shared" si="74"/>
        <v>5.6789598551622493</v>
      </c>
    </row>
    <row r="723" spans="1:20" x14ac:dyDescent="0.15">
      <c r="A723" s="1">
        <v>714</v>
      </c>
      <c r="B723" s="3">
        <f t="shared" si="68"/>
        <v>182.31501355704577</v>
      </c>
      <c r="C723" s="8"/>
      <c r="D723" s="3">
        <f t="shared" si="69"/>
        <v>175.97516355416118</v>
      </c>
      <c r="F723" s="3">
        <f t="shared" si="70"/>
        <v>-82.315013557045773</v>
      </c>
      <c r="G723" s="3">
        <f t="shared" si="71"/>
        <v>6.3398500028845888</v>
      </c>
      <c r="H723" s="3">
        <f t="shared" si="72"/>
        <v>175.97516355416118</v>
      </c>
      <c r="P723" s="3">
        <f t="shared" si="73"/>
        <v>31.207517850733279</v>
      </c>
      <c r="Q723" s="2">
        <v>11</v>
      </c>
      <c r="S723" s="1">
        <v>11</v>
      </c>
      <c r="T723" s="3">
        <f t="shared" si="74"/>
        <v>5.9298633405342427</v>
      </c>
    </row>
    <row r="724" spans="1:20" x14ac:dyDescent="0.15">
      <c r="A724" s="1">
        <v>715</v>
      </c>
      <c r="B724" s="3">
        <f t="shared" si="68"/>
        <v>182.56591704241777</v>
      </c>
      <c r="C724" s="8"/>
      <c r="D724" s="3">
        <f t="shared" si="69"/>
        <v>176.22606703953318</v>
      </c>
      <c r="F724" s="3">
        <f t="shared" si="70"/>
        <v>-82.565917042417766</v>
      </c>
      <c r="G724" s="3">
        <f t="shared" si="71"/>
        <v>6.3398500028845888</v>
      </c>
      <c r="H724" s="3">
        <f t="shared" si="72"/>
        <v>176.22606703953318</v>
      </c>
      <c r="P724" s="3">
        <f t="shared" si="73"/>
        <v>35.193114138952964</v>
      </c>
      <c r="Q724" s="2">
        <v>12</v>
      </c>
      <c r="S724" s="1">
        <v>12</v>
      </c>
      <c r="T724" s="3">
        <f t="shared" si="74"/>
        <v>6.1807668259062361</v>
      </c>
    </row>
    <row r="725" spans="1:20" x14ac:dyDescent="0.15">
      <c r="A725" s="1">
        <v>716</v>
      </c>
      <c r="B725" s="3">
        <f t="shared" si="68"/>
        <v>182.81682052778976</v>
      </c>
      <c r="C725" s="8"/>
      <c r="D725" s="3">
        <f t="shared" si="69"/>
        <v>176.47697052490517</v>
      </c>
      <c r="F725" s="3">
        <f t="shared" si="70"/>
        <v>-82.816820527789758</v>
      </c>
      <c r="G725" s="3">
        <f t="shared" si="71"/>
        <v>6.3398500028845888</v>
      </c>
      <c r="H725" s="3">
        <f t="shared" si="72"/>
        <v>176.47697052490517</v>
      </c>
      <c r="P725" s="3">
        <f t="shared" si="73"/>
        <v>39.178710427172653</v>
      </c>
      <c r="Q725" s="2">
        <v>13</v>
      </c>
      <c r="S725" s="1">
        <v>13</v>
      </c>
      <c r="T725" s="3">
        <f t="shared" si="74"/>
        <v>6.4316703112782303</v>
      </c>
    </row>
    <row r="726" spans="1:20" x14ac:dyDescent="0.15">
      <c r="A726" s="1">
        <v>717</v>
      </c>
      <c r="B726" s="3">
        <f t="shared" si="68"/>
        <v>183.06772401316175</v>
      </c>
      <c r="C726" s="8"/>
      <c r="D726" s="3">
        <f t="shared" si="69"/>
        <v>176.72787401027716</v>
      </c>
      <c r="F726" s="3">
        <f t="shared" si="70"/>
        <v>-83.067724013161751</v>
      </c>
      <c r="G726" s="3">
        <f t="shared" si="71"/>
        <v>6.3398500028845888</v>
      </c>
      <c r="H726" s="3">
        <f t="shared" si="72"/>
        <v>176.72787401027716</v>
      </c>
      <c r="P726" s="3">
        <f t="shared" si="73"/>
        <v>43.164306715392335</v>
      </c>
      <c r="Q726" s="2">
        <v>14</v>
      </c>
      <c r="S726" s="1">
        <v>14</v>
      </c>
      <c r="T726" s="3">
        <f t="shared" si="74"/>
        <v>6.6825737966502237</v>
      </c>
    </row>
    <row r="727" spans="1:20" x14ac:dyDescent="0.15">
      <c r="A727" s="1">
        <v>718</v>
      </c>
      <c r="B727" s="3">
        <f t="shared" si="68"/>
        <v>183.31862749853374</v>
      </c>
      <c r="C727" s="8"/>
      <c r="D727" s="3">
        <f t="shared" si="69"/>
        <v>176.97877749564915</v>
      </c>
      <c r="F727" s="3">
        <f t="shared" si="70"/>
        <v>-83.318627498533743</v>
      </c>
      <c r="G727" s="3">
        <f t="shared" si="71"/>
        <v>6.3398500028845888</v>
      </c>
      <c r="H727" s="3">
        <f t="shared" si="72"/>
        <v>176.97877749564915</v>
      </c>
      <c r="P727" s="3">
        <f t="shared" si="73"/>
        <v>47.149903003612025</v>
      </c>
      <c r="Q727" s="2">
        <v>15</v>
      </c>
      <c r="S727" s="1">
        <v>15</v>
      </c>
      <c r="T727" s="3">
        <f t="shared" si="74"/>
        <v>6.933477282022217</v>
      </c>
    </row>
    <row r="728" spans="1:20" x14ac:dyDescent="0.15">
      <c r="A728" s="1">
        <v>719</v>
      </c>
      <c r="B728" s="3">
        <f t="shared" si="68"/>
        <v>183.56953098390574</v>
      </c>
      <c r="C728" s="8"/>
      <c r="D728" s="3">
        <f t="shared" si="69"/>
        <v>177.22968098102115</v>
      </c>
      <c r="F728" s="3">
        <f t="shared" si="70"/>
        <v>-83.569530983905736</v>
      </c>
      <c r="G728" s="3">
        <f t="shared" si="71"/>
        <v>6.3398500028845888</v>
      </c>
      <c r="H728" s="3">
        <f t="shared" si="72"/>
        <v>177.22968098102115</v>
      </c>
      <c r="P728" s="3">
        <f>(Q728-RejectYint)/RejectSlope</f>
        <v>51.135499291831707</v>
      </c>
      <c r="Q728" s="2">
        <v>16</v>
      </c>
      <c r="S728" s="1">
        <v>16</v>
      </c>
      <c r="T728" s="3">
        <f t="shared" si="74"/>
        <v>7.1843807673942113</v>
      </c>
    </row>
    <row r="729" spans="1:20" x14ac:dyDescent="0.15">
      <c r="A729" s="1">
        <v>720</v>
      </c>
      <c r="B729" s="3">
        <f t="shared" si="68"/>
        <v>183.82043446927776</v>
      </c>
      <c r="C729" s="8"/>
      <c r="D729" s="3">
        <f t="shared" si="69"/>
        <v>177.48058446639314</v>
      </c>
      <c r="F729" s="3">
        <f t="shared" si="70"/>
        <v>-83.820434469277757</v>
      </c>
      <c r="G729" s="3">
        <f t="shared" si="71"/>
        <v>6.3398500028846172</v>
      </c>
      <c r="H729" s="3">
        <f t="shared" si="72"/>
        <v>177.48058446639314</v>
      </c>
      <c r="N729" s="1"/>
      <c r="P729" s="3"/>
      <c r="Q729" s="3"/>
      <c r="T729" s="3"/>
    </row>
    <row r="730" spans="1:20" x14ac:dyDescent="0.15">
      <c r="A730" s="1">
        <v>721</v>
      </c>
      <c r="B730" s="3">
        <f t="shared" si="68"/>
        <v>184.07133795464975</v>
      </c>
      <c r="C730" s="8"/>
      <c r="D730" s="3">
        <f t="shared" si="69"/>
        <v>177.73148795176513</v>
      </c>
      <c r="F730" s="3">
        <f t="shared" si="70"/>
        <v>-84.071337954649749</v>
      </c>
      <c r="G730" s="3">
        <f t="shared" si="71"/>
        <v>6.3398500028846172</v>
      </c>
      <c r="H730" s="3">
        <f t="shared" si="72"/>
        <v>177.73148795176513</v>
      </c>
      <c r="M730" s="6" t="s">
        <v>38</v>
      </c>
      <c r="T730" s="3"/>
    </row>
    <row r="731" spans="1:20" x14ac:dyDescent="0.15">
      <c r="A731" s="1">
        <v>722</v>
      </c>
      <c r="B731" s="3">
        <f t="shared" si="68"/>
        <v>184.32224144002174</v>
      </c>
      <c r="C731" s="8"/>
      <c r="D731" s="3">
        <f t="shared" si="69"/>
        <v>177.98239143713712</v>
      </c>
      <c r="F731" s="3">
        <f t="shared" si="70"/>
        <v>-84.322241440021742</v>
      </c>
      <c r="G731" s="3">
        <f t="shared" si="71"/>
        <v>6.3398500028846172</v>
      </c>
      <c r="H731" s="3">
        <f t="shared" si="72"/>
        <v>177.98239143713712</v>
      </c>
      <c r="N731" s="10"/>
      <c r="P731" s="11" t="s">
        <v>24</v>
      </c>
      <c r="Q731" s="15" t="s">
        <v>25</v>
      </c>
      <c r="S731" s="10" t="s">
        <v>39</v>
      </c>
      <c r="T731" s="37" t="s">
        <v>40</v>
      </c>
    </row>
    <row r="732" spans="1:20" x14ac:dyDescent="0.15">
      <c r="A732" s="1">
        <v>723</v>
      </c>
      <c r="B732" s="3">
        <f t="shared" si="68"/>
        <v>184.57314492539373</v>
      </c>
      <c r="C732" s="8"/>
      <c r="D732" s="3">
        <f t="shared" si="69"/>
        <v>178.23329492250912</v>
      </c>
      <c r="F732" s="3">
        <f t="shared" si="70"/>
        <v>-84.573144925393734</v>
      </c>
      <c r="G732" s="3">
        <f t="shared" si="71"/>
        <v>6.3398500028846172</v>
      </c>
      <c r="H732" s="3">
        <f t="shared" si="72"/>
        <v>178.23329492250912</v>
      </c>
      <c r="P732" s="3">
        <f t="shared" ref="P732:P748" si="75">(Q732-AcceptYint)/AcceptSlope</f>
        <v>12.634041319683257</v>
      </c>
      <c r="Q732" s="2">
        <v>0</v>
      </c>
      <c r="S732" s="1">
        <v>0</v>
      </c>
      <c r="T732" s="3">
        <f t="shared" ref="T732:T748" si="76">(AcceptSlope*S732)+AcceptYint</f>
        <v>-3.1699250014423122</v>
      </c>
    </row>
    <row r="733" spans="1:20" x14ac:dyDescent="0.15">
      <c r="A733" s="1">
        <v>724</v>
      </c>
      <c r="B733" s="3">
        <f t="shared" si="68"/>
        <v>184.82404841076573</v>
      </c>
      <c r="C733" s="8"/>
      <c r="D733" s="3">
        <f t="shared" si="69"/>
        <v>178.48419840788111</v>
      </c>
      <c r="F733" s="3">
        <f t="shared" si="70"/>
        <v>-84.824048410765727</v>
      </c>
      <c r="G733" s="3">
        <f t="shared" si="71"/>
        <v>6.3398500028846172</v>
      </c>
      <c r="H733" s="3">
        <f t="shared" si="72"/>
        <v>178.48419840788111</v>
      </c>
      <c r="P733" s="3">
        <f t="shared" si="75"/>
        <v>16.619637607902941</v>
      </c>
      <c r="Q733" s="2">
        <v>1</v>
      </c>
      <c r="S733" s="1">
        <v>1</v>
      </c>
      <c r="T733" s="3">
        <f t="shared" si="76"/>
        <v>-2.9190215160703183</v>
      </c>
    </row>
    <row r="734" spans="1:20" x14ac:dyDescent="0.15">
      <c r="A734" s="1">
        <v>725</v>
      </c>
      <c r="B734" s="3">
        <f t="shared" si="68"/>
        <v>185.07495189613772</v>
      </c>
      <c r="C734" s="8"/>
      <c r="D734" s="3">
        <f t="shared" si="69"/>
        <v>178.7351018932531</v>
      </c>
      <c r="F734" s="3">
        <f t="shared" si="70"/>
        <v>-85.074951896137719</v>
      </c>
      <c r="G734" s="3">
        <f t="shared" si="71"/>
        <v>6.3398500028846172</v>
      </c>
      <c r="H734" s="3">
        <f t="shared" si="72"/>
        <v>178.7351018932531</v>
      </c>
      <c r="P734" s="3">
        <f t="shared" si="75"/>
        <v>20.605233896122627</v>
      </c>
      <c r="Q734" s="2">
        <v>2</v>
      </c>
      <c r="S734" s="1">
        <v>2</v>
      </c>
      <c r="T734" s="3">
        <f t="shared" si="76"/>
        <v>-2.6681180306983245</v>
      </c>
    </row>
    <row r="735" spans="1:20" x14ac:dyDescent="0.15">
      <c r="A735" s="1">
        <v>726</v>
      </c>
      <c r="B735" s="3">
        <f t="shared" si="68"/>
        <v>185.32585538150971</v>
      </c>
      <c r="C735" s="8"/>
      <c r="D735" s="3">
        <f t="shared" si="69"/>
        <v>178.98600537862509</v>
      </c>
      <c r="F735" s="3">
        <f t="shared" si="70"/>
        <v>-85.325855381509712</v>
      </c>
      <c r="G735" s="3">
        <f t="shared" si="71"/>
        <v>6.3398500028846172</v>
      </c>
      <c r="H735" s="3">
        <f t="shared" si="72"/>
        <v>178.98600537862509</v>
      </c>
      <c r="P735" s="3">
        <f t="shared" si="75"/>
        <v>24.590830184342312</v>
      </c>
      <c r="Q735" s="2">
        <v>3</v>
      </c>
      <c r="S735" s="1">
        <v>3</v>
      </c>
      <c r="T735" s="3">
        <f t="shared" si="76"/>
        <v>-2.4172145453263312</v>
      </c>
    </row>
    <row r="736" spans="1:20" x14ac:dyDescent="0.15">
      <c r="A736" s="1">
        <v>727</v>
      </c>
      <c r="B736" s="3">
        <f t="shared" si="68"/>
        <v>185.5767588668817</v>
      </c>
      <c r="C736" s="8"/>
      <c r="D736" s="3">
        <f t="shared" si="69"/>
        <v>179.23690886399709</v>
      </c>
      <c r="F736" s="3">
        <f t="shared" si="70"/>
        <v>-85.576758866881704</v>
      </c>
      <c r="G736" s="3">
        <f t="shared" si="71"/>
        <v>6.3398500028846172</v>
      </c>
      <c r="H736" s="3">
        <f t="shared" si="72"/>
        <v>179.23690886399709</v>
      </c>
      <c r="P736" s="3">
        <f t="shared" si="75"/>
        <v>28.576426472561995</v>
      </c>
      <c r="Q736" s="2">
        <v>4</v>
      </c>
      <c r="S736" s="1">
        <v>4</v>
      </c>
      <c r="T736" s="3">
        <f t="shared" si="76"/>
        <v>-2.1663110599543374</v>
      </c>
    </row>
    <row r="737" spans="1:20" x14ac:dyDescent="0.15">
      <c r="A737" s="1">
        <v>728</v>
      </c>
      <c r="B737" s="3">
        <f t="shared" si="68"/>
        <v>185.8276623522537</v>
      </c>
      <c r="C737" s="8"/>
      <c r="D737" s="3">
        <f t="shared" si="69"/>
        <v>179.48781234936908</v>
      </c>
      <c r="F737" s="3">
        <f t="shared" si="70"/>
        <v>-85.827662352253697</v>
      </c>
      <c r="G737" s="3">
        <f t="shared" si="71"/>
        <v>6.3398500028846172</v>
      </c>
      <c r="H737" s="3">
        <f t="shared" si="72"/>
        <v>179.48781234936908</v>
      </c>
      <c r="P737" s="3">
        <f t="shared" si="75"/>
        <v>32.56202276078168</v>
      </c>
      <c r="Q737" s="2">
        <v>5</v>
      </c>
      <c r="S737" s="1">
        <v>5</v>
      </c>
      <c r="T737" s="3">
        <f t="shared" si="76"/>
        <v>-1.9154075745823436</v>
      </c>
    </row>
    <row r="738" spans="1:20" x14ac:dyDescent="0.15">
      <c r="A738" s="1">
        <v>729</v>
      </c>
      <c r="B738" s="3">
        <f t="shared" si="68"/>
        <v>186.07856583762569</v>
      </c>
      <c r="C738" s="8"/>
      <c r="D738" s="3">
        <f t="shared" si="69"/>
        <v>179.73871583474107</v>
      </c>
      <c r="F738" s="3">
        <f t="shared" si="70"/>
        <v>-86.078565837625689</v>
      </c>
      <c r="G738" s="3">
        <f t="shared" si="71"/>
        <v>6.3398500028846172</v>
      </c>
      <c r="H738" s="3">
        <f t="shared" si="72"/>
        <v>179.73871583474107</v>
      </c>
      <c r="P738" s="3">
        <f t="shared" si="75"/>
        <v>36.547619049001362</v>
      </c>
      <c r="Q738" s="2">
        <v>6</v>
      </c>
      <c r="S738" s="1">
        <v>6</v>
      </c>
      <c r="T738" s="3">
        <f t="shared" si="76"/>
        <v>-1.66450408921035</v>
      </c>
    </row>
    <row r="739" spans="1:20" x14ac:dyDescent="0.15">
      <c r="A739" s="1">
        <v>730</v>
      </c>
      <c r="B739" s="3">
        <f t="shared" si="68"/>
        <v>186.32946932299768</v>
      </c>
      <c r="C739" s="8"/>
      <c r="D739" s="3">
        <f t="shared" si="69"/>
        <v>179.98961932011306</v>
      </c>
      <c r="F739" s="3">
        <f t="shared" si="70"/>
        <v>-86.329469322997682</v>
      </c>
      <c r="G739" s="3">
        <f t="shared" si="71"/>
        <v>6.3398500028846172</v>
      </c>
      <c r="H739" s="3">
        <f t="shared" si="72"/>
        <v>179.98961932011306</v>
      </c>
      <c r="P739" s="3">
        <f t="shared" si="75"/>
        <v>40.533215337221051</v>
      </c>
      <c r="Q739" s="2">
        <v>7</v>
      </c>
      <c r="S739" s="1">
        <v>7</v>
      </c>
      <c r="T739" s="3">
        <f t="shared" si="76"/>
        <v>-1.4136006038383564</v>
      </c>
    </row>
    <row r="740" spans="1:20" x14ac:dyDescent="0.15">
      <c r="A740" s="1">
        <v>731</v>
      </c>
      <c r="B740" s="3">
        <f t="shared" si="68"/>
        <v>186.58037280836967</v>
      </c>
      <c r="C740" s="8"/>
      <c r="D740" s="3">
        <f t="shared" si="69"/>
        <v>180.24052280548506</v>
      </c>
      <c r="F740" s="3">
        <f t="shared" si="70"/>
        <v>-86.580372808369674</v>
      </c>
      <c r="G740" s="3">
        <f t="shared" si="71"/>
        <v>6.3398500028846172</v>
      </c>
      <c r="H740" s="3">
        <f t="shared" si="72"/>
        <v>180.24052280548506</v>
      </c>
      <c r="P740" s="3">
        <f t="shared" si="75"/>
        <v>44.518811625440733</v>
      </c>
      <c r="Q740" s="2">
        <v>8</v>
      </c>
      <c r="S740" s="1">
        <v>8</v>
      </c>
      <c r="T740" s="3">
        <f t="shared" si="76"/>
        <v>-1.1626971184663626</v>
      </c>
    </row>
    <row r="741" spans="1:20" x14ac:dyDescent="0.15">
      <c r="A741" s="1">
        <v>732</v>
      </c>
      <c r="B741" s="3">
        <f t="shared" si="68"/>
        <v>186.83127629374167</v>
      </c>
      <c r="C741" s="8"/>
      <c r="D741" s="3">
        <f t="shared" si="69"/>
        <v>180.49142629085705</v>
      </c>
      <c r="F741" s="3">
        <f t="shared" si="70"/>
        <v>-86.831276293741666</v>
      </c>
      <c r="G741" s="3">
        <f t="shared" si="71"/>
        <v>6.3398500028846172</v>
      </c>
      <c r="H741" s="3">
        <f t="shared" si="72"/>
        <v>180.49142629085705</v>
      </c>
      <c r="P741" s="3">
        <f t="shared" si="75"/>
        <v>48.504407913660415</v>
      </c>
      <c r="Q741" s="2">
        <v>9</v>
      </c>
      <c r="S741" s="1">
        <v>9</v>
      </c>
      <c r="T741" s="3">
        <f t="shared" si="76"/>
        <v>-0.91179363309436878</v>
      </c>
    </row>
    <row r="742" spans="1:20" x14ac:dyDescent="0.15">
      <c r="A742" s="1">
        <v>733</v>
      </c>
      <c r="B742" s="3">
        <f t="shared" si="68"/>
        <v>187.08217977911366</v>
      </c>
      <c r="C742" s="8"/>
      <c r="D742" s="3">
        <f t="shared" si="69"/>
        <v>180.74232977622904</v>
      </c>
      <c r="F742" s="3">
        <f t="shared" si="70"/>
        <v>-87.082179779113659</v>
      </c>
      <c r="G742" s="3">
        <f t="shared" si="71"/>
        <v>6.3398500028846172</v>
      </c>
      <c r="H742" s="3">
        <f t="shared" si="72"/>
        <v>180.74232977622904</v>
      </c>
      <c r="P742" s="3">
        <f t="shared" si="75"/>
        <v>52.490004201880105</v>
      </c>
      <c r="Q742" s="2">
        <v>10</v>
      </c>
      <c r="S742" s="1">
        <v>10</v>
      </c>
      <c r="T742" s="3">
        <f t="shared" si="76"/>
        <v>-0.66089014772237498</v>
      </c>
    </row>
    <row r="743" spans="1:20" x14ac:dyDescent="0.15">
      <c r="A743" s="1">
        <v>734</v>
      </c>
      <c r="B743" s="3">
        <f t="shared" si="68"/>
        <v>187.33308326448565</v>
      </c>
      <c r="C743" s="8"/>
      <c r="D743" s="3">
        <f t="shared" si="69"/>
        <v>180.99323326160106</v>
      </c>
      <c r="F743" s="3">
        <f t="shared" si="70"/>
        <v>-87.333083264485651</v>
      </c>
      <c r="G743" s="3">
        <f t="shared" si="71"/>
        <v>6.3398500028845888</v>
      </c>
      <c r="H743" s="3">
        <f t="shared" si="72"/>
        <v>180.99323326160106</v>
      </c>
      <c r="P743" s="3">
        <f t="shared" si="75"/>
        <v>56.475600490099787</v>
      </c>
      <c r="Q743" s="2">
        <v>11</v>
      </c>
      <c r="S743" s="1">
        <v>11</v>
      </c>
      <c r="T743" s="3">
        <f t="shared" si="76"/>
        <v>-0.40998666235038161</v>
      </c>
    </row>
    <row r="744" spans="1:20" x14ac:dyDescent="0.15">
      <c r="A744" s="1">
        <v>735</v>
      </c>
      <c r="B744" s="3">
        <f t="shared" si="68"/>
        <v>187.58398674985764</v>
      </c>
      <c r="C744" s="8"/>
      <c r="D744" s="3">
        <f t="shared" si="69"/>
        <v>181.24413674697306</v>
      </c>
      <c r="F744" s="3">
        <f t="shared" si="70"/>
        <v>-87.583986749857644</v>
      </c>
      <c r="G744" s="3">
        <f t="shared" si="71"/>
        <v>6.3398500028845888</v>
      </c>
      <c r="H744" s="3">
        <f t="shared" si="72"/>
        <v>181.24413674697306</v>
      </c>
      <c r="P744" s="3">
        <f t="shared" si="75"/>
        <v>60.461196778319476</v>
      </c>
      <c r="Q744" s="2">
        <v>12</v>
      </c>
      <c r="S744" s="1">
        <v>12</v>
      </c>
      <c r="T744" s="3">
        <f t="shared" si="76"/>
        <v>-0.15908317697838781</v>
      </c>
    </row>
    <row r="745" spans="1:20" x14ac:dyDescent="0.15">
      <c r="A745" s="1">
        <v>736</v>
      </c>
      <c r="B745" s="3">
        <f t="shared" si="68"/>
        <v>187.83489023522964</v>
      </c>
      <c r="C745" s="8"/>
      <c r="D745" s="3">
        <f t="shared" si="69"/>
        <v>181.49504023234505</v>
      </c>
      <c r="F745" s="3">
        <f t="shared" si="70"/>
        <v>-87.834890235229636</v>
      </c>
      <c r="G745" s="3">
        <f t="shared" si="71"/>
        <v>6.3398500028845888</v>
      </c>
      <c r="H745" s="3">
        <f t="shared" si="72"/>
        <v>181.49504023234505</v>
      </c>
      <c r="P745" s="3">
        <f t="shared" si="75"/>
        <v>64.446793066539158</v>
      </c>
      <c r="Q745" s="2">
        <v>13</v>
      </c>
      <c r="S745" s="1">
        <v>13</v>
      </c>
      <c r="T745" s="3">
        <f t="shared" si="76"/>
        <v>9.1820308393605998E-2</v>
      </c>
    </row>
    <row r="746" spans="1:20" x14ac:dyDescent="0.15">
      <c r="A746" s="1">
        <v>737</v>
      </c>
      <c r="B746" s="3">
        <f t="shared" si="68"/>
        <v>188.08579372060163</v>
      </c>
      <c r="C746" s="8"/>
      <c r="D746" s="3">
        <f t="shared" si="69"/>
        <v>181.74594371771704</v>
      </c>
      <c r="F746" s="3">
        <f t="shared" si="70"/>
        <v>-88.085793720601629</v>
      </c>
      <c r="G746" s="3">
        <f t="shared" si="71"/>
        <v>6.3398500028845888</v>
      </c>
      <c r="H746" s="3">
        <f t="shared" si="72"/>
        <v>181.74594371771704</v>
      </c>
      <c r="P746" s="3">
        <f t="shared" si="75"/>
        <v>68.43238935475884</v>
      </c>
      <c r="Q746" s="2">
        <v>14</v>
      </c>
      <c r="S746" s="1">
        <v>14</v>
      </c>
      <c r="T746" s="3">
        <f t="shared" si="76"/>
        <v>0.34272379376559936</v>
      </c>
    </row>
    <row r="747" spans="1:20" x14ac:dyDescent="0.15">
      <c r="A747" s="1">
        <v>738</v>
      </c>
      <c r="B747" s="3">
        <f t="shared" si="68"/>
        <v>188.33669720597362</v>
      </c>
      <c r="C747" s="8"/>
      <c r="D747" s="3">
        <f t="shared" si="69"/>
        <v>181.99684720308903</v>
      </c>
      <c r="F747" s="3">
        <f t="shared" si="70"/>
        <v>-88.336697205973621</v>
      </c>
      <c r="G747" s="3">
        <f t="shared" si="71"/>
        <v>6.3398500028845888</v>
      </c>
      <c r="H747" s="3">
        <f t="shared" si="72"/>
        <v>181.99684720308903</v>
      </c>
      <c r="P747" s="3">
        <f t="shared" si="75"/>
        <v>72.417985642978522</v>
      </c>
      <c r="Q747" s="2">
        <v>15</v>
      </c>
      <c r="S747" s="1">
        <v>15</v>
      </c>
      <c r="T747" s="3">
        <f t="shared" si="76"/>
        <v>0.59362727913759317</v>
      </c>
    </row>
    <row r="748" spans="1:20" x14ac:dyDescent="0.15">
      <c r="A748" s="1">
        <v>739</v>
      </c>
      <c r="B748" s="3">
        <f t="shared" si="68"/>
        <v>188.58760069134561</v>
      </c>
      <c r="C748" s="8"/>
      <c r="D748" s="3">
        <f t="shared" si="69"/>
        <v>182.24775068846102</v>
      </c>
      <c r="F748" s="3">
        <f t="shared" si="70"/>
        <v>-88.587600691345614</v>
      </c>
      <c r="G748" s="3">
        <f t="shared" si="71"/>
        <v>6.3398500028845888</v>
      </c>
      <c r="H748" s="3">
        <f t="shared" si="72"/>
        <v>182.24775068846102</v>
      </c>
      <c r="P748" s="3">
        <f t="shared" si="75"/>
        <v>76.403581931198218</v>
      </c>
      <c r="Q748" s="2">
        <v>16</v>
      </c>
      <c r="S748" s="1">
        <v>16</v>
      </c>
      <c r="T748" s="3">
        <f t="shared" si="76"/>
        <v>0.84453076450958697</v>
      </c>
    </row>
    <row r="749" spans="1:20" x14ac:dyDescent="0.15">
      <c r="A749" s="1">
        <v>740</v>
      </c>
      <c r="B749" s="3">
        <f t="shared" si="68"/>
        <v>188.83850417671761</v>
      </c>
      <c r="C749" s="8"/>
      <c r="D749" s="3">
        <f t="shared" si="69"/>
        <v>182.49865417383302</v>
      </c>
      <c r="F749" s="3">
        <f t="shared" si="70"/>
        <v>-88.838504176717606</v>
      </c>
      <c r="G749" s="3">
        <f t="shared" si="71"/>
        <v>6.3398500028845888</v>
      </c>
      <c r="H749" s="3">
        <f t="shared" si="72"/>
        <v>182.49865417383302</v>
      </c>
    </row>
    <row r="750" spans="1:20" x14ac:dyDescent="0.15">
      <c r="A750" s="1">
        <v>741</v>
      </c>
      <c r="B750" s="3">
        <f t="shared" ref="B750:B813" si="77">+(B$4*A750)+B$5</f>
        <v>189.0894076620896</v>
      </c>
      <c r="C750" s="8"/>
      <c r="D750" s="3">
        <f t="shared" ref="D750:D813" si="78">+(D$4*A750)+D$5</f>
        <v>182.74955765920501</v>
      </c>
      <c r="F750" s="3">
        <f t="shared" ref="F750:F813" si="79">+xmax-B750</f>
        <v>-89.089407662089599</v>
      </c>
      <c r="G750" s="3">
        <f t="shared" ref="G750:G813" si="80">+B750-D750</f>
        <v>6.3398500028845888</v>
      </c>
      <c r="H750" s="3">
        <f t="shared" ref="H750:H813" si="81">D750</f>
        <v>182.74955765920501</v>
      </c>
      <c r="M750" s="6" t="s">
        <v>50</v>
      </c>
    </row>
    <row r="751" spans="1:20" x14ac:dyDescent="0.15">
      <c r="A751" s="1">
        <v>742</v>
      </c>
      <c r="B751" s="3">
        <f t="shared" si="77"/>
        <v>189.34031114746159</v>
      </c>
      <c r="C751" s="8"/>
      <c r="D751" s="3">
        <f t="shared" si="78"/>
        <v>183.000461144577</v>
      </c>
      <c r="F751" s="3">
        <f t="shared" si="79"/>
        <v>-89.340311147461591</v>
      </c>
      <c r="G751" s="3">
        <f t="shared" si="80"/>
        <v>6.3398500028845888</v>
      </c>
      <c r="H751" s="3">
        <f t="shared" si="81"/>
        <v>183.000461144577</v>
      </c>
      <c r="M751" s="1">
        <v>0</v>
      </c>
      <c r="N751" s="38">
        <v>0</v>
      </c>
    </row>
    <row r="752" spans="1:20" x14ac:dyDescent="0.15">
      <c r="A752" s="1">
        <v>743</v>
      </c>
      <c r="B752" s="3">
        <f t="shared" si="77"/>
        <v>189.59121463283358</v>
      </c>
      <c r="C752" s="8"/>
      <c r="D752" s="3">
        <f t="shared" si="78"/>
        <v>183.25136462994899</v>
      </c>
      <c r="F752" s="3">
        <f t="shared" si="79"/>
        <v>-89.591214632833584</v>
      </c>
      <c r="G752" s="3">
        <f t="shared" si="80"/>
        <v>6.3398500028845888</v>
      </c>
      <c r="H752" s="3">
        <f t="shared" si="81"/>
        <v>183.25136462994899</v>
      </c>
      <c r="M752" s="1">
        <v>1</v>
      </c>
      <c r="N752" s="38">
        <f>+M752*'Failure Data'!F$3</f>
        <v>2.5833333333333333E-2</v>
      </c>
    </row>
    <row r="753" spans="1:14" x14ac:dyDescent="0.15">
      <c r="A753" s="1">
        <v>744</v>
      </c>
      <c r="B753" s="3">
        <f t="shared" si="77"/>
        <v>189.8421181182056</v>
      </c>
      <c r="C753" s="8"/>
      <c r="D753" s="3">
        <f t="shared" si="78"/>
        <v>183.50226811532099</v>
      </c>
      <c r="F753" s="3">
        <f t="shared" si="79"/>
        <v>-89.842118118205605</v>
      </c>
      <c r="G753" s="3">
        <f t="shared" si="80"/>
        <v>6.3398500028846172</v>
      </c>
      <c r="H753" s="3">
        <f t="shared" si="81"/>
        <v>183.50226811532099</v>
      </c>
      <c r="M753" s="1">
        <v>2</v>
      </c>
      <c r="N753" s="38">
        <f>+M753*'Failure Data'!F$3</f>
        <v>5.1666666666666666E-2</v>
      </c>
    </row>
    <row r="754" spans="1:14" x14ac:dyDescent="0.15">
      <c r="A754" s="1">
        <v>745</v>
      </c>
      <c r="B754" s="3">
        <f t="shared" si="77"/>
        <v>190.0930216035776</v>
      </c>
      <c r="C754" s="8"/>
      <c r="D754" s="3">
        <f t="shared" si="78"/>
        <v>183.75317160069298</v>
      </c>
      <c r="F754" s="3">
        <f t="shared" si="79"/>
        <v>-90.093021603577597</v>
      </c>
      <c r="G754" s="3">
        <f t="shared" si="80"/>
        <v>6.3398500028846172</v>
      </c>
      <c r="H754" s="3">
        <f t="shared" si="81"/>
        <v>183.75317160069298</v>
      </c>
      <c r="M754" s="1">
        <v>3</v>
      </c>
      <c r="N754" s="38">
        <f>+M754*'Failure Data'!F$3</f>
        <v>7.7499999999999999E-2</v>
      </c>
    </row>
    <row r="755" spans="1:14" x14ac:dyDescent="0.15">
      <c r="A755" s="1">
        <v>746</v>
      </c>
      <c r="B755" s="3">
        <f t="shared" si="77"/>
        <v>190.34392508894959</v>
      </c>
      <c r="C755" s="8"/>
      <c r="D755" s="3">
        <f t="shared" si="78"/>
        <v>184.00407508606497</v>
      </c>
      <c r="F755" s="3">
        <f t="shared" si="79"/>
        <v>-90.34392508894959</v>
      </c>
      <c r="G755" s="3">
        <f t="shared" si="80"/>
        <v>6.3398500028846172</v>
      </c>
      <c r="H755" s="3">
        <f t="shared" si="81"/>
        <v>184.00407508606497</v>
      </c>
      <c r="M755" s="1">
        <v>4</v>
      </c>
      <c r="N755" s="38">
        <f>+M755*'Failure Data'!F$3</f>
        <v>0.10333333333333333</v>
      </c>
    </row>
    <row r="756" spans="1:14" x14ac:dyDescent="0.15">
      <c r="A756" s="1">
        <v>747</v>
      </c>
      <c r="B756" s="3">
        <f t="shared" si="77"/>
        <v>190.59482857432158</v>
      </c>
      <c r="C756" s="8"/>
      <c r="D756" s="3">
        <f t="shared" si="78"/>
        <v>184.25497857143696</v>
      </c>
      <c r="F756" s="3">
        <f t="shared" si="79"/>
        <v>-90.594828574321582</v>
      </c>
      <c r="G756" s="3">
        <f t="shared" si="80"/>
        <v>6.3398500028846172</v>
      </c>
      <c r="H756" s="3">
        <f t="shared" si="81"/>
        <v>184.25497857143696</v>
      </c>
      <c r="M756" s="1">
        <v>5</v>
      </c>
      <c r="N756" s="38">
        <f>+M756*'Failure Data'!F$3</f>
        <v>0.12916666666666665</v>
      </c>
    </row>
    <row r="757" spans="1:14" x14ac:dyDescent="0.15">
      <c r="A757" s="1">
        <v>748</v>
      </c>
      <c r="B757" s="3">
        <f t="shared" si="77"/>
        <v>190.84573205969357</v>
      </c>
      <c r="C757" s="8"/>
      <c r="D757" s="3">
        <f t="shared" si="78"/>
        <v>184.50588205680896</v>
      </c>
      <c r="F757" s="3">
        <f t="shared" si="79"/>
        <v>-90.845732059693574</v>
      </c>
      <c r="G757" s="3">
        <f t="shared" si="80"/>
        <v>6.3398500028846172</v>
      </c>
      <c r="H757" s="3">
        <f t="shared" si="81"/>
        <v>184.50588205680896</v>
      </c>
      <c r="M757" s="1">
        <v>6</v>
      </c>
      <c r="N757" s="38">
        <f>+M757*'Failure Data'!F$3</f>
        <v>0.155</v>
      </c>
    </row>
    <row r="758" spans="1:14" x14ac:dyDescent="0.15">
      <c r="A758" s="1">
        <v>749</v>
      </c>
      <c r="B758" s="3">
        <f t="shared" si="77"/>
        <v>191.09663554506557</v>
      </c>
      <c r="C758" s="8"/>
      <c r="D758" s="3">
        <f t="shared" si="78"/>
        <v>184.75678554218095</v>
      </c>
      <c r="F758" s="3">
        <f t="shared" si="79"/>
        <v>-91.096635545065567</v>
      </c>
      <c r="G758" s="3">
        <f t="shared" si="80"/>
        <v>6.3398500028846172</v>
      </c>
      <c r="H758" s="3">
        <f t="shared" si="81"/>
        <v>184.75678554218095</v>
      </c>
      <c r="M758" s="1">
        <v>7</v>
      </c>
      <c r="N758" s="38">
        <f>+M758*'Failure Data'!F$3</f>
        <v>0.18083333333333335</v>
      </c>
    </row>
    <row r="759" spans="1:14" x14ac:dyDescent="0.15">
      <c r="A759" s="1">
        <v>750</v>
      </c>
      <c r="B759" s="3">
        <f t="shared" si="77"/>
        <v>191.34753903043756</v>
      </c>
      <c r="C759" s="8"/>
      <c r="D759" s="3">
        <f t="shared" si="78"/>
        <v>185.00768902755294</v>
      </c>
      <c r="F759" s="3">
        <f t="shared" si="79"/>
        <v>-91.347539030437559</v>
      </c>
      <c r="G759" s="3">
        <f t="shared" si="80"/>
        <v>6.3398500028846172</v>
      </c>
      <c r="H759" s="3">
        <f t="shared" si="81"/>
        <v>185.00768902755294</v>
      </c>
      <c r="M759" s="1">
        <v>8</v>
      </c>
      <c r="N759" s="38">
        <f>+M759*'Failure Data'!F$3</f>
        <v>0.20666666666666667</v>
      </c>
    </row>
    <row r="760" spans="1:14" x14ac:dyDescent="0.15">
      <c r="A760" s="1">
        <v>751</v>
      </c>
      <c r="B760" s="3">
        <f t="shared" si="77"/>
        <v>191.59844251580955</v>
      </c>
      <c r="C760" s="8"/>
      <c r="D760" s="3">
        <f t="shared" si="78"/>
        <v>185.25859251292493</v>
      </c>
      <c r="F760" s="3">
        <f t="shared" si="79"/>
        <v>-91.598442515809552</v>
      </c>
      <c r="G760" s="3">
        <f t="shared" si="80"/>
        <v>6.3398500028846172</v>
      </c>
      <c r="H760" s="3">
        <f t="shared" si="81"/>
        <v>185.25859251292493</v>
      </c>
      <c r="M760" s="1">
        <v>9</v>
      </c>
      <c r="N760" s="38">
        <f>+M760*'Failure Data'!F$3</f>
        <v>0.23249999999999998</v>
      </c>
    </row>
    <row r="761" spans="1:14" x14ac:dyDescent="0.15">
      <c r="A761" s="1">
        <v>752</v>
      </c>
      <c r="B761" s="3">
        <f t="shared" si="77"/>
        <v>191.84934600118154</v>
      </c>
      <c r="C761" s="8"/>
      <c r="D761" s="3">
        <f t="shared" si="78"/>
        <v>185.50949599829693</v>
      </c>
      <c r="F761" s="3">
        <f t="shared" si="79"/>
        <v>-91.849346001181544</v>
      </c>
      <c r="G761" s="3">
        <f t="shared" si="80"/>
        <v>6.3398500028846172</v>
      </c>
      <c r="H761" s="3">
        <f t="shared" si="81"/>
        <v>185.50949599829693</v>
      </c>
      <c r="M761" s="1">
        <v>10</v>
      </c>
      <c r="N761" s="38">
        <f>+M761*'Failure Data'!F$3</f>
        <v>0.2583333333333333</v>
      </c>
    </row>
    <row r="762" spans="1:14" x14ac:dyDescent="0.15">
      <c r="A762" s="1">
        <v>753</v>
      </c>
      <c r="B762" s="3">
        <f t="shared" si="77"/>
        <v>192.10024948655354</v>
      </c>
      <c r="C762" s="8"/>
      <c r="D762" s="3">
        <f t="shared" si="78"/>
        <v>185.76039948366892</v>
      </c>
      <c r="F762" s="3">
        <f t="shared" si="79"/>
        <v>-92.100249486553537</v>
      </c>
      <c r="G762" s="3">
        <f t="shared" si="80"/>
        <v>6.3398500028846172</v>
      </c>
      <c r="H762" s="3">
        <f t="shared" si="81"/>
        <v>185.76039948366892</v>
      </c>
      <c r="M762" s="1">
        <v>11</v>
      </c>
      <c r="N762" s="38">
        <f>+M762*'Failure Data'!F$3</f>
        <v>0.28416666666666668</v>
      </c>
    </row>
    <row r="763" spans="1:14" x14ac:dyDescent="0.15">
      <c r="A763" s="1">
        <v>754</v>
      </c>
      <c r="B763" s="3">
        <f t="shared" si="77"/>
        <v>192.35115297192553</v>
      </c>
      <c r="C763" s="8"/>
      <c r="D763" s="3">
        <f t="shared" si="78"/>
        <v>186.01130296904091</v>
      </c>
      <c r="F763" s="3">
        <f t="shared" si="79"/>
        <v>-92.351152971925529</v>
      </c>
      <c r="G763" s="3">
        <f t="shared" si="80"/>
        <v>6.3398500028846172</v>
      </c>
      <c r="H763" s="3">
        <f t="shared" si="81"/>
        <v>186.01130296904091</v>
      </c>
      <c r="M763" s="1">
        <v>12</v>
      </c>
      <c r="N763" s="38">
        <f>+M763*'Failure Data'!F$3</f>
        <v>0.31</v>
      </c>
    </row>
    <row r="764" spans="1:14" x14ac:dyDescent="0.15">
      <c r="A764" s="1">
        <v>755</v>
      </c>
      <c r="B764" s="3">
        <f t="shared" si="77"/>
        <v>192.60205645729752</v>
      </c>
      <c r="C764" s="8"/>
      <c r="D764" s="3">
        <f t="shared" si="78"/>
        <v>186.2622064544129</v>
      </c>
      <c r="F764" s="3">
        <f t="shared" si="79"/>
        <v>-92.602056457297522</v>
      </c>
      <c r="G764" s="3">
        <f t="shared" si="80"/>
        <v>6.3398500028846172</v>
      </c>
      <c r="H764" s="3">
        <f t="shared" si="81"/>
        <v>186.2622064544129</v>
      </c>
      <c r="M764" s="1">
        <v>13</v>
      </c>
      <c r="N764" s="38">
        <f>+M764*'Failure Data'!F$3</f>
        <v>0.33583333333333332</v>
      </c>
    </row>
    <row r="765" spans="1:14" x14ac:dyDescent="0.15">
      <c r="A765" s="1">
        <v>756</v>
      </c>
      <c r="B765" s="3">
        <f t="shared" si="77"/>
        <v>192.85295994266951</v>
      </c>
      <c r="C765" s="8"/>
      <c r="D765" s="3">
        <f t="shared" si="78"/>
        <v>186.5131099397849</v>
      </c>
      <c r="F765" s="3">
        <f t="shared" si="79"/>
        <v>-92.852959942669514</v>
      </c>
      <c r="G765" s="3">
        <f t="shared" si="80"/>
        <v>6.3398500028846172</v>
      </c>
      <c r="H765" s="3">
        <f t="shared" si="81"/>
        <v>186.5131099397849</v>
      </c>
      <c r="M765" s="1">
        <v>14</v>
      </c>
      <c r="N765" s="38">
        <f>+M765*'Failure Data'!F$3</f>
        <v>0.36166666666666669</v>
      </c>
    </row>
    <row r="766" spans="1:14" x14ac:dyDescent="0.15">
      <c r="A766" s="1">
        <v>757</v>
      </c>
      <c r="B766" s="3">
        <f t="shared" si="77"/>
        <v>193.10386342804151</v>
      </c>
      <c r="C766" s="8"/>
      <c r="D766" s="3">
        <f t="shared" si="78"/>
        <v>186.76401342515692</v>
      </c>
      <c r="F766" s="3">
        <f t="shared" si="79"/>
        <v>-93.103863428041507</v>
      </c>
      <c r="G766" s="3">
        <f t="shared" si="80"/>
        <v>6.3398500028845888</v>
      </c>
      <c r="H766" s="3">
        <f t="shared" si="81"/>
        <v>186.76401342515692</v>
      </c>
      <c r="M766" s="1">
        <v>15</v>
      </c>
      <c r="N766" s="38">
        <f>+M766*'Failure Data'!F$3</f>
        <v>0.38750000000000001</v>
      </c>
    </row>
    <row r="767" spans="1:14" x14ac:dyDescent="0.15">
      <c r="A767" s="1">
        <v>758</v>
      </c>
      <c r="B767" s="3">
        <f t="shared" si="77"/>
        <v>193.3547669134135</v>
      </c>
      <c r="C767" s="8"/>
      <c r="D767" s="3">
        <f t="shared" si="78"/>
        <v>187.01491691052891</v>
      </c>
      <c r="F767" s="3">
        <f t="shared" si="79"/>
        <v>-93.354766913413499</v>
      </c>
      <c r="G767" s="3">
        <f t="shared" si="80"/>
        <v>6.3398500028845888</v>
      </c>
      <c r="H767" s="3">
        <f t="shared" si="81"/>
        <v>187.01491691052891</v>
      </c>
      <c r="M767" s="1">
        <v>16</v>
      </c>
      <c r="N767" s="38">
        <f>+M767*'Failure Data'!F$3</f>
        <v>0.41333333333333333</v>
      </c>
    </row>
    <row r="768" spans="1:14" x14ac:dyDescent="0.15">
      <c r="A768" s="1">
        <v>759</v>
      </c>
      <c r="B768" s="3">
        <f t="shared" si="77"/>
        <v>193.60567039878549</v>
      </c>
      <c r="C768" s="8"/>
      <c r="D768" s="3">
        <f t="shared" si="78"/>
        <v>187.2658203959009</v>
      </c>
      <c r="F768" s="3">
        <f t="shared" si="79"/>
        <v>-93.605670398785492</v>
      </c>
      <c r="G768" s="3">
        <f t="shared" si="80"/>
        <v>6.3398500028845888</v>
      </c>
      <c r="H768" s="3">
        <f t="shared" si="81"/>
        <v>187.2658203959009</v>
      </c>
      <c r="M768" s="1">
        <f>M767+1</f>
        <v>17</v>
      </c>
      <c r="N768" s="38">
        <f>+M768*'Failure Data'!F$3</f>
        <v>0.43916666666666665</v>
      </c>
    </row>
    <row r="769" spans="1:14" x14ac:dyDescent="0.15">
      <c r="A769" s="1">
        <v>760</v>
      </c>
      <c r="B769" s="3">
        <f t="shared" si="77"/>
        <v>193.85657388415748</v>
      </c>
      <c r="C769" s="8"/>
      <c r="D769" s="3">
        <f t="shared" si="78"/>
        <v>187.5167238812729</v>
      </c>
      <c r="F769" s="3">
        <f t="shared" si="79"/>
        <v>-93.856573884157484</v>
      </c>
      <c r="G769" s="3">
        <f t="shared" si="80"/>
        <v>6.3398500028845888</v>
      </c>
      <c r="H769" s="3">
        <f t="shared" si="81"/>
        <v>187.5167238812729</v>
      </c>
      <c r="M769" s="1">
        <f t="shared" ref="M769:M832" si="82">M768+1</f>
        <v>18</v>
      </c>
      <c r="N769" s="38">
        <f>+M769*'Failure Data'!F$3</f>
        <v>0.46499999999999997</v>
      </c>
    </row>
    <row r="770" spans="1:14" x14ac:dyDescent="0.15">
      <c r="A770" s="1">
        <v>761</v>
      </c>
      <c r="B770" s="3">
        <f t="shared" si="77"/>
        <v>194.10747736952948</v>
      </c>
      <c r="C770" s="8"/>
      <c r="D770" s="3">
        <f t="shared" si="78"/>
        <v>187.76762736664489</v>
      </c>
      <c r="F770" s="3">
        <f t="shared" si="79"/>
        <v>-94.107477369529477</v>
      </c>
      <c r="G770" s="3">
        <f t="shared" si="80"/>
        <v>6.3398500028845888</v>
      </c>
      <c r="H770" s="3">
        <f t="shared" si="81"/>
        <v>187.76762736664489</v>
      </c>
      <c r="M770" s="1">
        <f t="shared" si="82"/>
        <v>19</v>
      </c>
      <c r="N770" s="38">
        <f>+M770*'Failure Data'!F$3</f>
        <v>0.49083333333333334</v>
      </c>
    </row>
    <row r="771" spans="1:14" x14ac:dyDescent="0.15">
      <c r="A771" s="1">
        <v>762</v>
      </c>
      <c r="B771" s="3">
        <f t="shared" si="77"/>
        <v>194.35838085490147</v>
      </c>
      <c r="C771" s="8"/>
      <c r="D771" s="3">
        <f t="shared" si="78"/>
        <v>188.01853085201688</v>
      </c>
      <c r="F771" s="3">
        <f t="shared" si="79"/>
        <v>-94.358380854901469</v>
      </c>
      <c r="G771" s="3">
        <f t="shared" si="80"/>
        <v>6.3398500028845888</v>
      </c>
      <c r="H771" s="3">
        <f t="shared" si="81"/>
        <v>188.01853085201688</v>
      </c>
      <c r="M771" s="1">
        <f t="shared" si="82"/>
        <v>20</v>
      </c>
      <c r="N771" s="38">
        <f>+M771*'Failure Data'!F$3</f>
        <v>0.51666666666666661</v>
      </c>
    </row>
    <row r="772" spans="1:14" x14ac:dyDescent="0.15">
      <c r="A772" s="1">
        <v>763</v>
      </c>
      <c r="B772" s="3">
        <f t="shared" si="77"/>
        <v>194.60928434027346</v>
      </c>
      <c r="C772" s="8"/>
      <c r="D772" s="3">
        <f t="shared" si="78"/>
        <v>188.26943433738887</v>
      </c>
      <c r="F772" s="3">
        <f t="shared" si="79"/>
        <v>-94.609284340273462</v>
      </c>
      <c r="G772" s="3">
        <f t="shared" si="80"/>
        <v>6.3398500028845888</v>
      </c>
      <c r="H772" s="3">
        <f t="shared" si="81"/>
        <v>188.26943433738887</v>
      </c>
      <c r="M772" s="1">
        <f t="shared" si="82"/>
        <v>21</v>
      </c>
      <c r="N772" s="38">
        <f>+M772*'Failure Data'!F$3</f>
        <v>0.54249999999999998</v>
      </c>
    </row>
    <row r="773" spans="1:14" x14ac:dyDescent="0.15">
      <c r="A773" s="1">
        <v>764</v>
      </c>
      <c r="B773" s="3">
        <f t="shared" si="77"/>
        <v>194.86018782564545</v>
      </c>
      <c r="C773" s="8"/>
      <c r="D773" s="3">
        <f t="shared" si="78"/>
        <v>188.52033782276087</v>
      </c>
      <c r="F773" s="3">
        <f t="shared" si="79"/>
        <v>-94.860187825645454</v>
      </c>
      <c r="G773" s="3">
        <f t="shared" si="80"/>
        <v>6.3398500028845888</v>
      </c>
      <c r="H773" s="3">
        <f t="shared" si="81"/>
        <v>188.52033782276087</v>
      </c>
      <c r="M773" s="1">
        <f t="shared" si="82"/>
        <v>22</v>
      </c>
      <c r="N773" s="38">
        <f>+M773*'Failure Data'!F$3</f>
        <v>0.56833333333333336</v>
      </c>
    </row>
    <row r="774" spans="1:14" x14ac:dyDescent="0.15">
      <c r="A774" s="1">
        <v>765</v>
      </c>
      <c r="B774" s="3">
        <f t="shared" si="77"/>
        <v>195.11109131101745</v>
      </c>
      <c r="C774" s="8"/>
      <c r="D774" s="3">
        <f t="shared" si="78"/>
        <v>188.77124130813286</v>
      </c>
      <c r="F774" s="3">
        <f t="shared" si="79"/>
        <v>-95.111091311017447</v>
      </c>
      <c r="G774" s="3">
        <f t="shared" si="80"/>
        <v>6.3398500028845888</v>
      </c>
      <c r="H774" s="3">
        <f t="shared" si="81"/>
        <v>188.77124130813286</v>
      </c>
      <c r="M774" s="1">
        <f t="shared" si="82"/>
        <v>23</v>
      </c>
      <c r="N774" s="38">
        <f>+M774*'Failure Data'!F$3</f>
        <v>0.59416666666666662</v>
      </c>
    </row>
    <row r="775" spans="1:14" x14ac:dyDescent="0.15">
      <c r="A775" s="1">
        <v>766</v>
      </c>
      <c r="B775" s="3">
        <f t="shared" si="77"/>
        <v>195.36199479638944</v>
      </c>
      <c r="C775" s="8"/>
      <c r="D775" s="3">
        <f t="shared" si="78"/>
        <v>189.02214479350485</v>
      </c>
      <c r="F775" s="3">
        <f t="shared" si="79"/>
        <v>-95.361994796389439</v>
      </c>
      <c r="G775" s="3">
        <f t="shared" si="80"/>
        <v>6.3398500028845888</v>
      </c>
      <c r="H775" s="3">
        <f t="shared" si="81"/>
        <v>189.02214479350485</v>
      </c>
      <c r="M775" s="1">
        <f t="shared" si="82"/>
        <v>24</v>
      </c>
      <c r="N775" s="38">
        <f>+M775*'Failure Data'!F$3</f>
        <v>0.62</v>
      </c>
    </row>
    <row r="776" spans="1:14" x14ac:dyDescent="0.15">
      <c r="A776" s="1">
        <v>767</v>
      </c>
      <c r="B776" s="3">
        <f t="shared" si="77"/>
        <v>195.61289828176143</v>
      </c>
      <c r="C776" s="8"/>
      <c r="D776" s="3">
        <f t="shared" si="78"/>
        <v>189.27304827887684</v>
      </c>
      <c r="F776" s="3">
        <f t="shared" si="79"/>
        <v>-95.612898281761431</v>
      </c>
      <c r="G776" s="3">
        <f t="shared" si="80"/>
        <v>6.3398500028845888</v>
      </c>
      <c r="H776" s="3">
        <f t="shared" si="81"/>
        <v>189.27304827887684</v>
      </c>
      <c r="M776" s="1">
        <f t="shared" si="82"/>
        <v>25</v>
      </c>
      <c r="N776" s="38">
        <f>+M776*'Failure Data'!F$3</f>
        <v>0.64583333333333337</v>
      </c>
    </row>
    <row r="777" spans="1:14" x14ac:dyDescent="0.15">
      <c r="A777" s="1">
        <v>768</v>
      </c>
      <c r="B777" s="3">
        <f t="shared" si="77"/>
        <v>195.86380176713345</v>
      </c>
      <c r="C777" s="8"/>
      <c r="D777" s="3">
        <f t="shared" si="78"/>
        <v>189.52395176424884</v>
      </c>
      <c r="F777" s="3">
        <f t="shared" si="79"/>
        <v>-95.863801767133452</v>
      </c>
      <c r="G777" s="3">
        <f t="shared" si="80"/>
        <v>6.3398500028846172</v>
      </c>
      <c r="H777" s="3">
        <f t="shared" si="81"/>
        <v>189.52395176424884</v>
      </c>
      <c r="M777" s="1">
        <f t="shared" si="82"/>
        <v>26</v>
      </c>
      <c r="N777" s="38">
        <f>+M777*'Failure Data'!F$3</f>
        <v>0.67166666666666663</v>
      </c>
    </row>
    <row r="778" spans="1:14" x14ac:dyDescent="0.15">
      <c r="A778" s="1">
        <v>769</v>
      </c>
      <c r="B778" s="3">
        <f t="shared" si="77"/>
        <v>196.11470525250544</v>
      </c>
      <c r="C778" s="8"/>
      <c r="D778" s="3">
        <f t="shared" si="78"/>
        <v>189.77485524962083</v>
      </c>
      <c r="F778" s="3">
        <f t="shared" si="79"/>
        <v>-96.114705252505445</v>
      </c>
      <c r="G778" s="3">
        <f t="shared" si="80"/>
        <v>6.3398500028846172</v>
      </c>
      <c r="H778" s="3">
        <f t="shared" si="81"/>
        <v>189.77485524962083</v>
      </c>
      <c r="M778" s="1">
        <f t="shared" si="82"/>
        <v>27</v>
      </c>
      <c r="N778" s="38">
        <f>+M778*'Failure Data'!F$3</f>
        <v>0.69750000000000001</v>
      </c>
    </row>
    <row r="779" spans="1:14" x14ac:dyDescent="0.15">
      <c r="A779" s="1">
        <v>770</v>
      </c>
      <c r="B779" s="3">
        <f t="shared" si="77"/>
        <v>196.36560873787744</v>
      </c>
      <c r="C779" s="8"/>
      <c r="D779" s="3">
        <f t="shared" si="78"/>
        <v>190.02575873499282</v>
      </c>
      <c r="F779" s="3">
        <f t="shared" si="79"/>
        <v>-96.365608737877437</v>
      </c>
      <c r="G779" s="3">
        <f t="shared" si="80"/>
        <v>6.3398500028846172</v>
      </c>
      <c r="H779" s="3">
        <f t="shared" si="81"/>
        <v>190.02575873499282</v>
      </c>
      <c r="M779" s="1">
        <f t="shared" si="82"/>
        <v>28</v>
      </c>
      <c r="N779" s="38">
        <f>+M779*'Failure Data'!F$3</f>
        <v>0.72333333333333338</v>
      </c>
    </row>
    <row r="780" spans="1:14" x14ac:dyDescent="0.15">
      <c r="A780" s="1">
        <v>771</v>
      </c>
      <c r="B780" s="3">
        <f t="shared" si="77"/>
        <v>196.61651222324943</v>
      </c>
      <c r="C780" s="8"/>
      <c r="D780" s="3">
        <f t="shared" si="78"/>
        <v>190.27666222036481</v>
      </c>
      <c r="F780" s="3">
        <f t="shared" si="79"/>
        <v>-96.61651222324943</v>
      </c>
      <c r="G780" s="3">
        <f t="shared" si="80"/>
        <v>6.3398500028846172</v>
      </c>
      <c r="H780" s="3">
        <f t="shared" si="81"/>
        <v>190.27666222036481</v>
      </c>
      <c r="M780" s="1">
        <f t="shared" si="82"/>
        <v>29</v>
      </c>
      <c r="N780" s="38">
        <f>+M780*'Failure Data'!F$3</f>
        <v>0.74916666666666665</v>
      </c>
    </row>
    <row r="781" spans="1:14" x14ac:dyDescent="0.15">
      <c r="A781" s="1">
        <v>772</v>
      </c>
      <c r="B781" s="3">
        <f t="shared" si="77"/>
        <v>196.86741570862142</v>
      </c>
      <c r="C781" s="8"/>
      <c r="D781" s="3">
        <f t="shared" si="78"/>
        <v>190.52756570573681</v>
      </c>
      <c r="F781" s="3">
        <f t="shared" si="79"/>
        <v>-96.867415708621422</v>
      </c>
      <c r="G781" s="3">
        <f t="shared" si="80"/>
        <v>6.3398500028846172</v>
      </c>
      <c r="H781" s="3">
        <f t="shared" si="81"/>
        <v>190.52756570573681</v>
      </c>
      <c r="M781" s="1">
        <f t="shared" si="82"/>
        <v>30</v>
      </c>
      <c r="N781" s="38">
        <f>+M781*'Failure Data'!F$3</f>
        <v>0.77500000000000002</v>
      </c>
    </row>
    <row r="782" spans="1:14" x14ac:dyDescent="0.15">
      <c r="A782" s="1">
        <v>773</v>
      </c>
      <c r="B782" s="3">
        <f t="shared" si="77"/>
        <v>197.11831919399341</v>
      </c>
      <c r="C782" s="8"/>
      <c r="D782" s="3">
        <f t="shared" si="78"/>
        <v>190.7784691911088</v>
      </c>
      <c r="F782" s="3">
        <f t="shared" si="79"/>
        <v>-97.118319193993415</v>
      </c>
      <c r="G782" s="3">
        <f t="shared" si="80"/>
        <v>6.3398500028846172</v>
      </c>
      <c r="H782" s="3">
        <f t="shared" si="81"/>
        <v>190.7784691911088</v>
      </c>
      <c r="M782" s="1">
        <f t="shared" si="82"/>
        <v>31</v>
      </c>
      <c r="N782" s="38">
        <f>+M782*'Failure Data'!F$3</f>
        <v>0.80083333333333329</v>
      </c>
    </row>
    <row r="783" spans="1:14" x14ac:dyDescent="0.15">
      <c r="A783" s="1">
        <v>774</v>
      </c>
      <c r="B783" s="3">
        <f t="shared" si="77"/>
        <v>197.36922267936541</v>
      </c>
      <c r="C783" s="8"/>
      <c r="D783" s="3">
        <f t="shared" si="78"/>
        <v>191.02937267648079</v>
      </c>
      <c r="F783" s="3">
        <f t="shared" si="79"/>
        <v>-97.369222679365407</v>
      </c>
      <c r="G783" s="3">
        <f t="shared" si="80"/>
        <v>6.3398500028846172</v>
      </c>
      <c r="H783" s="3">
        <f t="shared" si="81"/>
        <v>191.02937267648079</v>
      </c>
      <c r="M783" s="1">
        <f t="shared" si="82"/>
        <v>32</v>
      </c>
      <c r="N783" s="38">
        <f>+M783*'Failure Data'!F$3</f>
        <v>0.82666666666666666</v>
      </c>
    </row>
    <row r="784" spans="1:14" x14ac:dyDescent="0.15">
      <c r="A784" s="1">
        <v>775</v>
      </c>
      <c r="B784" s="3">
        <f t="shared" si="77"/>
        <v>197.6201261647374</v>
      </c>
      <c r="C784" s="8"/>
      <c r="D784" s="3">
        <f t="shared" si="78"/>
        <v>191.28027616185278</v>
      </c>
      <c r="F784" s="3">
        <f t="shared" si="79"/>
        <v>-97.6201261647374</v>
      </c>
      <c r="G784" s="3">
        <f t="shared" si="80"/>
        <v>6.3398500028846172</v>
      </c>
      <c r="H784" s="3">
        <f t="shared" si="81"/>
        <v>191.28027616185278</v>
      </c>
      <c r="M784" s="1">
        <f t="shared" si="82"/>
        <v>33</v>
      </c>
      <c r="N784" s="38">
        <f>+M784*'Failure Data'!F$3</f>
        <v>0.85250000000000004</v>
      </c>
    </row>
    <row r="785" spans="1:14" x14ac:dyDescent="0.15">
      <c r="A785" s="1">
        <v>776</v>
      </c>
      <c r="B785" s="3">
        <f t="shared" si="77"/>
        <v>197.87102965010939</v>
      </c>
      <c r="C785" s="8"/>
      <c r="D785" s="3">
        <f t="shared" si="78"/>
        <v>191.53117964722477</v>
      </c>
      <c r="F785" s="3">
        <f t="shared" si="79"/>
        <v>-97.871029650109392</v>
      </c>
      <c r="G785" s="3">
        <f t="shared" si="80"/>
        <v>6.3398500028846172</v>
      </c>
      <c r="H785" s="3">
        <f t="shared" si="81"/>
        <v>191.53117964722477</v>
      </c>
      <c r="M785" s="1">
        <f t="shared" si="82"/>
        <v>34</v>
      </c>
      <c r="N785" s="38">
        <f>+M785*'Failure Data'!F$3</f>
        <v>0.8783333333333333</v>
      </c>
    </row>
    <row r="786" spans="1:14" x14ac:dyDescent="0.15">
      <c r="A786" s="1">
        <v>777</v>
      </c>
      <c r="B786" s="3">
        <f t="shared" si="77"/>
        <v>198.12193313548138</v>
      </c>
      <c r="C786" s="8"/>
      <c r="D786" s="3">
        <f t="shared" si="78"/>
        <v>191.78208313259677</v>
      </c>
      <c r="F786" s="3">
        <f t="shared" si="79"/>
        <v>-98.121933135481385</v>
      </c>
      <c r="G786" s="3">
        <f t="shared" si="80"/>
        <v>6.3398500028846172</v>
      </c>
      <c r="H786" s="3">
        <f t="shared" si="81"/>
        <v>191.78208313259677</v>
      </c>
      <c r="M786" s="1">
        <f t="shared" si="82"/>
        <v>35</v>
      </c>
      <c r="N786" s="38">
        <f>+M786*'Failure Data'!F$3</f>
        <v>0.90416666666666667</v>
      </c>
    </row>
    <row r="787" spans="1:14" x14ac:dyDescent="0.15">
      <c r="A787" s="1">
        <v>778</v>
      </c>
      <c r="B787" s="3">
        <f t="shared" si="77"/>
        <v>198.37283662085338</v>
      </c>
      <c r="C787" s="8"/>
      <c r="D787" s="3">
        <f t="shared" si="78"/>
        <v>192.03298661796876</v>
      </c>
      <c r="F787" s="3">
        <f t="shared" si="79"/>
        <v>-98.372836620853377</v>
      </c>
      <c r="G787" s="3">
        <f t="shared" si="80"/>
        <v>6.3398500028846172</v>
      </c>
      <c r="H787" s="3">
        <f t="shared" si="81"/>
        <v>192.03298661796876</v>
      </c>
      <c r="M787" s="1">
        <f t="shared" si="82"/>
        <v>36</v>
      </c>
      <c r="N787" s="38">
        <f>+M787*'Failure Data'!F$3</f>
        <v>0.92999999999999994</v>
      </c>
    </row>
    <row r="788" spans="1:14" x14ac:dyDescent="0.15">
      <c r="A788" s="1">
        <v>779</v>
      </c>
      <c r="B788" s="3">
        <f t="shared" si="77"/>
        <v>198.62374010622537</v>
      </c>
      <c r="C788" s="8"/>
      <c r="D788" s="3">
        <f t="shared" si="78"/>
        <v>192.28389010334075</v>
      </c>
      <c r="F788" s="3">
        <f t="shared" si="79"/>
        <v>-98.62374010622537</v>
      </c>
      <c r="G788" s="3">
        <f t="shared" si="80"/>
        <v>6.3398500028846172</v>
      </c>
      <c r="H788" s="3">
        <f t="shared" si="81"/>
        <v>192.28389010334075</v>
      </c>
      <c r="M788" s="1">
        <f t="shared" si="82"/>
        <v>37</v>
      </c>
      <c r="N788" s="38">
        <f>+M788*'Failure Data'!F$3</f>
        <v>0.95583333333333331</v>
      </c>
    </row>
    <row r="789" spans="1:14" x14ac:dyDescent="0.15">
      <c r="A789" s="1">
        <v>780</v>
      </c>
      <c r="B789" s="3">
        <f t="shared" si="77"/>
        <v>198.87464359159736</v>
      </c>
      <c r="C789" s="8"/>
      <c r="D789" s="3">
        <f t="shared" si="78"/>
        <v>192.53479358871277</v>
      </c>
      <c r="F789" s="3">
        <f t="shared" si="79"/>
        <v>-98.874643591597362</v>
      </c>
      <c r="G789" s="3">
        <f t="shared" si="80"/>
        <v>6.3398500028845888</v>
      </c>
      <c r="H789" s="3">
        <f t="shared" si="81"/>
        <v>192.53479358871277</v>
      </c>
      <c r="M789" s="1">
        <f t="shared" si="82"/>
        <v>38</v>
      </c>
      <c r="N789" s="38">
        <f>+M789*'Failure Data'!F$3</f>
        <v>0.98166666666666669</v>
      </c>
    </row>
    <row r="790" spans="1:14" x14ac:dyDescent="0.15">
      <c r="A790" s="1">
        <v>781</v>
      </c>
      <c r="B790" s="3">
        <f t="shared" si="77"/>
        <v>199.12554707696935</v>
      </c>
      <c r="C790" s="8"/>
      <c r="D790" s="3">
        <f t="shared" si="78"/>
        <v>192.78569707408477</v>
      </c>
      <c r="F790" s="3">
        <f t="shared" si="79"/>
        <v>-99.125547076969355</v>
      </c>
      <c r="G790" s="3">
        <f t="shared" si="80"/>
        <v>6.3398500028845888</v>
      </c>
      <c r="H790" s="3">
        <f t="shared" si="81"/>
        <v>192.78569707408477</v>
      </c>
      <c r="M790" s="1">
        <f t="shared" si="82"/>
        <v>39</v>
      </c>
      <c r="N790" s="38">
        <f>+M790*'Failure Data'!F$3</f>
        <v>1.0075000000000001</v>
      </c>
    </row>
    <row r="791" spans="1:14" x14ac:dyDescent="0.15">
      <c r="A791" s="1">
        <v>782</v>
      </c>
      <c r="B791" s="3">
        <f t="shared" si="77"/>
        <v>199.37645056234135</v>
      </c>
      <c r="C791" s="8"/>
      <c r="D791" s="3">
        <f t="shared" si="78"/>
        <v>193.03660055945676</v>
      </c>
      <c r="F791" s="3">
        <f t="shared" si="79"/>
        <v>-99.376450562341347</v>
      </c>
      <c r="G791" s="3">
        <f t="shared" si="80"/>
        <v>6.3398500028845888</v>
      </c>
      <c r="H791" s="3">
        <f t="shared" si="81"/>
        <v>193.03660055945676</v>
      </c>
      <c r="M791" s="1">
        <f t="shared" si="82"/>
        <v>40</v>
      </c>
      <c r="N791" s="38">
        <f>+M791*'Failure Data'!F$3</f>
        <v>1.0333333333333332</v>
      </c>
    </row>
    <row r="792" spans="1:14" x14ac:dyDescent="0.15">
      <c r="A792" s="1">
        <v>783</v>
      </c>
      <c r="B792" s="3">
        <f t="shared" si="77"/>
        <v>199.62735404771334</v>
      </c>
      <c r="C792" s="8"/>
      <c r="D792" s="3">
        <f t="shared" si="78"/>
        <v>193.28750404482875</v>
      </c>
      <c r="F792" s="3">
        <f t="shared" si="79"/>
        <v>-99.627354047713339</v>
      </c>
      <c r="G792" s="3">
        <f t="shared" si="80"/>
        <v>6.3398500028845888</v>
      </c>
      <c r="H792" s="3">
        <f t="shared" si="81"/>
        <v>193.28750404482875</v>
      </c>
      <c r="M792" s="1">
        <f t="shared" si="82"/>
        <v>41</v>
      </c>
      <c r="N792" s="38">
        <f>+M792*'Failure Data'!F$3</f>
        <v>1.0591666666666666</v>
      </c>
    </row>
    <row r="793" spans="1:14" x14ac:dyDescent="0.15">
      <c r="A793" s="1">
        <v>784</v>
      </c>
      <c r="B793" s="3">
        <f t="shared" si="77"/>
        <v>199.87825753308533</v>
      </c>
      <c r="C793" s="8"/>
      <c r="D793" s="3">
        <f t="shared" si="78"/>
        <v>193.53840753020074</v>
      </c>
      <c r="F793" s="3">
        <f t="shared" si="79"/>
        <v>-99.878257533085332</v>
      </c>
      <c r="G793" s="3">
        <f t="shared" si="80"/>
        <v>6.3398500028845888</v>
      </c>
      <c r="H793" s="3">
        <f t="shared" si="81"/>
        <v>193.53840753020074</v>
      </c>
      <c r="M793" s="1">
        <f t="shared" si="82"/>
        <v>42</v>
      </c>
      <c r="N793" s="38">
        <f>+M793*'Failure Data'!F$3</f>
        <v>1.085</v>
      </c>
    </row>
    <row r="794" spans="1:14" x14ac:dyDescent="0.15">
      <c r="A794" s="1">
        <v>785</v>
      </c>
      <c r="B794" s="3">
        <f t="shared" si="77"/>
        <v>200.12916101845732</v>
      </c>
      <c r="C794" s="8"/>
      <c r="D794" s="3">
        <f t="shared" si="78"/>
        <v>193.78931101557274</v>
      </c>
      <c r="F794" s="3">
        <f t="shared" si="79"/>
        <v>-100.12916101845732</v>
      </c>
      <c r="G794" s="3">
        <f t="shared" si="80"/>
        <v>6.3398500028845888</v>
      </c>
      <c r="H794" s="3">
        <f t="shared" si="81"/>
        <v>193.78931101557274</v>
      </c>
      <c r="M794" s="1">
        <f t="shared" si="82"/>
        <v>43</v>
      </c>
      <c r="N794" s="38">
        <f>+M794*'Failure Data'!F$3</f>
        <v>1.1108333333333333</v>
      </c>
    </row>
    <row r="795" spans="1:14" x14ac:dyDescent="0.15">
      <c r="A795" s="1">
        <v>786</v>
      </c>
      <c r="B795" s="3">
        <f t="shared" si="77"/>
        <v>200.38006450382932</v>
      </c>
      <c r="C795" s="8"/>
      <c r="D795" s="3">
        <f t="shared" si="78"/>
        <v>194.04021450094473</v>
      </c>
      <c r="F795" s="3">
        <f t="shared" si="79"/>
        <v>-100.38006450382932</v>
      </c>
      <c r="G795" s="3">
        <f t="shared" si="80"/>
        <v>6.3398500028845888</v>
      </c>
      <c r="H795" s="3">
        <f t="shared" si="81"/>
        <v>194.04021450094473</v>
      </c>
      <c r="M795" s="1">
        <f t="shared" si="82"/>
        <v>44</v>
      </c>
      <c r="N795" s="38">
        <f>+M795*'Failure Data'!F$3</f>
        <v>1.1366666666666667</v>
      </c>
    </row>
    <row r="796" spans="1:14" x14ac:dyDescent="0.15">
      <c r="A796" s="1">
        <v>787</v>
      </c>
      <c r="B796" s="3">
        <f t="shared" si="77"/>
        <v>200.63096798920131</v>
      </c>
      <c r="C796" s="8"/>
      <c r="D796" s="3">
        <f t="shared" si="78"/>
        <v>194.29111798631672</v>
      </c>
      <c r="F796" s="3">
        <f t="shared" si="79"/>
        <v>-100.63096798920131</v>
      </c>
      <c r="G796" s="3">
        <f t="shared" si="80"/>
        <v>6.3398500028845888</v>
      </c>
      <c r="H796" s="3">
        <f t="shared" si="81"/>
        <v>194.29111798631672</v>
      </c>
      <c r="M796" s="1">
        <f t="shared" si="82"/>
        <v>45</v>
      </c>
      <c r="N796" s="38">
        <f>+M796*'Failure Data'!F$3</f>
        <v>1.1625000000000001</v>
      </c>
    </row>
    <row r="797" spans="1:14" x14ac:dyDescent="0.15">
      <c r="A797" s="1">
        <v>788</v>
      </c>
      <c r="B797" s="3">
        <f t="shared" si="77"/>
        <v>200.8818714745733</v>
      </c>
      <c r="C797" s="8"/>
      <c r="D797" s="3">
        <f t="shared" si="78"/>
        <v>194.54202147168871</v>
      </c>
      <c r="F797" s="3">
        <f t="shared" si="79"/>
        <v>-100.8818714745733</v>
      </c>
      <c r="G797" s="3">
        <f t="shared" si="80"/>
        <v>6.3398500028845888</v>
      </c>
      <c r="H797" s="3">
        <f t="shared" si="81"/>
        <v>194.54202147168871</v>
      </c>
      <c r="M797" s="1">
        <f t="shared" si="82"/>
        <v>46</v>
      </c>
      <c r="N797" s="38">
        <f>+M797*'Failure Data'!F$3</f>
        <v>1.1883333333333332</v>
      </c>
    </row>
    <row r="798" spans="1:14" x14ac:dyDescent="0.15">
      <c r="A798" s="1">
        <v>789</v>
      </c>
      <c r="B798" s="3">
        <f t="shared" si="77"/>
        <v>201.13277495994529</v>
      </c>
      <c r="C798" s="8"/>
      <c r="D798" s="3">
        <f t="shared" si="78"/>
        <v>194.79292495706071</v>
      </c>
      <c r="F798" s="3">
        <f t="shared" si="79"/>
        <v>-101.13277495994529</v>
      </c>
      <c r="G798" s="3">
        <f t="shared" si="80"/>
        <v>6.3398500028845888</v>
      </c>
      <c r="H798" s="3">
        <f t="shared" si="81"/>
        <v>194.79292495706071</v>
      </c>
      <c r="M798" s="1">
        <f t="shared" si="82"/>
        <v>47</v>
      </c>
      <c r="N798" s="38">
        <f>+M798*'Failure Data'!F$3</f>
        <v>1.2141666666666666</v>
      </c>
    </row>
    <row r="799" spans="1:14" x14ac:dyDescent="0.15">
      <c r="A799" s="1">
        <v>790</v>
      </c>
      <c r="B799" s="3">
        <f t="shared" si="77"/>
        <v>201.38367844531729</v>
      </c>
      <c r="C799" s="8"/>
      <c r="D799" s="3">
        <f t="shared" si="78"/>
        <v>195.0438284424327</v>
      </c>
      <c r="F799" s="3">
        <f t="shared" si="79"/>
        <v>-101.38367844531729</v>
      </c>
      <c r="G799" s="3">
        <f t="shared" si="80"/>
        <v>6.3398500028845888</v>
      </c>
      <c r="H799" s="3">
        <f t="shared" si="81"/>
        <v>195.0438284424327</v>
      </c>
      <c r="M799" s="1">
        <f t="shared" si="82"/>
        <v>48</v>
      </c>
      <c r="N799" s="38">
        <f>+M799*'Failure Data'!F$3</f>
        <v>1.24</v>
      </c>
    </row>
    <row r="800" spans="1:14" x14ac:dyDescent="0.15">
      <c r="A800" s="1">
        <v>791</v>
      </c>
      <c r="B800" s="3">
        <f t="shared" si="77"/>
        <v>201.63458193068928</v>
      </c>
      <c r="C800" s="8"/>
      <c r="D800" s="3">
        <f t="shared" si="78"/>
        <v>195.29473192780469</v>
      </c>
      <c r="F800" s="3">
        <f t="shared" si="79"/>
        <v>-101.63458193068928</v>
      </c>
      <c r="G800" s="3">
        <f t="shared" si="80"/>
        <v>6.3398500028845888</v>
      </c>
      <c r="H800" s="3">
        <f t="shared" si="81"/>
        <v>195.29473192780469</v>
      </c>
      <c r="M800" s="1">
        <f t="shared" si="82"/>
        <v>49</v>
      </c>
      <c r="N800" s="38">
        <f>+M800*'Failure Data'!F$3</f>
        <v>1.2658333333333334</v>
      </c>
    </row>
    <row r="801" spans="1:14" x14ac:dyDescent="0.15">
      <c r="A801" s="1">
        <v>792</v>
      </c>
      <c r="B801" s="3">
        <f t="shared" si="77"/>
        <v>201.88548541606127</v>
      </c>
      <c r="C801" s="8"/>
      <c r="D801" s="3">
        <f t="shared" si="78"/>
        <v>195.54563541317668</v>
      </c>
      <c r="F801" s="3">
        <f t="shared" si="79"/>
        <v>-101.88548541606127</v>
      </c>
      <c r="G801" s="3">
        <f t="shared" si="80"/>
        <v>6.3398500028845888</v>
      </c>
      <c r="H801" s="3">
        <f t="shared" si="81"/>
        <v>195.54563541317668</v>
      </c>
      <c r="M801" s="1">
        <f t="shared" si="82"/>
        <v>50</v>
      </c>
      <c r="N801" s="38">
        <f>+M801*'Failure Data'!F$3</f>
        <v>1.2916666666666667</v>
      </c>
    </row>
    <row r="802" spans="1:14" x14ac:dyDescent="0.15">
      <c r="A802" s="1">
        <v>793</v>
      </c>
      <c r="B802" s="3">
        <f t="shared" si="77"/>
        <v>202.13638890143329</v>
      </c>
      <c r="C802" s="8"/>
      <c r="D802" s="3">
        <f t="shared" si="78"/>
        <v>195.79653889854868</v>
      </c>
      <c r="F802" s="3">
        <f t="shared" si="79"/>
        <v>-102.13638890143329</v>
      </c>
      <c r="G802" s="3">
        <f t="shared" si="80"/>
        <v>6.3398500028846172</v>
      </c>
      <c r="H802" s="3">
        <f t="shared" si="81"/>
        <v>195.79653889854868</v>
      </c>
      <c r="M802" s="1">
        <f t="shared" si="82"/>
        <v>51</v>
      </c>
      <c r="N802" s="38">
        <f>+M802*'Failure Data'!F$3</f>
        <v>1.3174999999999999</v>
      </c>
    </row>
    <row r="803" spans="1:14" x14ac:dyDescent="0.15">
      <c r="A803" s="1">
        <v>794</v>
      </c>
      <c r="B803" s="3">
        <f t="shared" si="77"/>
        <v>202.38729238680529</v>
      </c>
      <c r="C803" s="8"/>
      <c r="D803" s="3">
        <f t="shared" si="78"/>
        <v>196.04744238392067</v>
      </c>
      <c r="F803" s="3">
        <f t="shared" si="79"/>
        <v>-102.38729238680529</v>
      </c>
      <c r="G803" s="3">
        <f t="shared" si="80"/>
        <v>6.3398500028846172</v>
      </c>
      <c r="H803" s="3">
        <f t="shared" si="81"/>
        <v>196.04744238392067</v>
      </c>
      <c r="M803" s="1">
        <f t="shared" si="82"/>
        <v>52</v>
      </c>
      <c r="N803" s="38">
        <f>+M803*'Failure Data'!F$3</f>
        <v>1.3433333333333333</v>
      </c>
    </row>
    <row r="804" spans="1:14" x14ac:dyDescent="0.15">
      <c r="A804" s="1">
        <v>795</v>
      </c>
      <c r="B804" s="3">
        <f t="shared" si="77"/>
        <v>202.63819587217728</v>
      </c>
      <c r="C804" s="8"/>
      <c r="D804" s="3">
        <f t="shared" si="78"/>
        <v>196.29834586929266</v>
      </c>
      <c r="F804" s="3">
        <f t="shared" si="79"/>
        <v>-102.63819587217728</v>
      </c>
      <c r="G804" s="3">
        <f t="shared" si="80"/>
        <v>6.3398500028846172</v>
      </c>
      <c r="H804" s="3">
        <f t="shared" si="81"/>
        <v>196.29834586929266</v>
      </c>
      <c r="M804" s="1">
        <f t="shared" si="82"/>
        <v>53</v>
      </c>
      <c r="N804" s="38">
        <f>+M804*'Failure Data'!F$3</f>
        <v>1.3691666666666666</v>
      </c>
    </row>
    <row r="805" spans="1:14" x14ac:dyDescent="0.15">
      <c r="A805" s="1">
        <v>796</v>
      </c>
      <c r="B805" s="3">
        <f t="shared" si="77"/>
        <v>202.88909935754927</v>
      </c>
      <c r="C805" s="8"/>
      <c r="D805" s="3">
        <f t="shared" si="78"/>
        <v>196.54924935466465</v>
      </c>
      <c r="F805" s="3">
        <f t="shared" si="79"/>
        <v>-102.88909935754927</v>
      </c>
      <c r="G805" s="3">
        <f t="shared" si="80"/>
        <v>6.3398500028846172</v>
      </c>
      <c r="H805" s="3">
        <f t="shared" si="81"/>
        <v>196.54924935466465</v>
      </c>
      <c r="M805" s="1">
        <f t="shared" si="82"/>
        <v>54</v>
      </c>
      <c r="N805" s="38">
        <f>+M805*'Failure Data'!F$3</f>
        <v>1.395</v>
      </c>
    </row>
    <row r="806" spans="1:14" x14ac:dyDescent="0.15">
      <c r="A806" s="1">
        <v>797</v>
      </c>
      <c r="B806" s="3">
        <f t="shared" si="77"/>
        <v>203.14000284292126</v>
      </c>
      <c r="C806" s="8"/>
      <c r="D806" s="3">
        <f t="shared" si="78"/>
        <v>196.80015284003665</v>
      </c>
      <c r="F806" s="3">
        <f t="shared" si="79"/>
        <v>-103.14000284292126</v>
      </c>
      <c r="G806" s="3">
        <f t="shared" si="80"/>
        <v>6.3398500028846172</v>
      </c>
      <c r="H806" s="3">
        <f t="shared" si="81"/>
        <v>196.80015284003665</v>
      </c>
      <c r="M806" s="1">
        <f t="shared" si="82"/>
        <v>55</v>
      </c>
      <c r="N806" s="38">
        <f>+M806*'Failure Data'!F$3</f>
        <v>1.4208333333333334</v>
      </c>
    </row>
    <row r="807" spans="1:14" x14ac:dyDescent="0.15">
      <c r="A807" s="1">
        <v>798</v>
      </c>
      <c r="B807" s="3">
        <f t="shared" si="77"/>
        <v>203.39090632829326</v>
      </c>
      <c r="C807" s="8"/>
      <c r="D807" s="3">
        <f t="shared" si="78"/>
        <v>197.05105632540864</v>
      </c>
      <c r="F807" s="3">
        <f t="shared" si="79"/>
        <v>-103.39090632829326</v>
      </c>
      <c r="G807" s="3">
        <f t="shared" si="80"/>
        <v>6.3398500028846172</v>
      </c>
      <c r="H807" s="3">
        <f t="shared" si="81"/>
        <v>197.05105632540864</v>
      </c>
      <c r="M807" s="1">
        <f t="shared" si="82"/>
        <v>56</v>
      </c>
      <c r="N807" s="38">
        <f>+M807*'Failure Data'!F$3</f>
        <v>1.4466666666666668</v>
      </c>
    </row>
    <row r="808" spans="1:14" x14ac:dyDescent="0.15">
      <c r="A808" s="1">
        <v>799</v>
      </c>
      <c r="B808" s="3">
        <f t="shared" si="77"/>
        <v>203.64180981366525</v>
      </c>
      <c r="C808" s="8"/>
      <c r="D808" s="3">
        <f t="shared" si="78"/>
        <v>197.30195981078063</v>
      </c>
      <c r="F808" s="3">
        <f t="shared" si="79"/>
        <v>-103.64180981366525</v>
      </c>
      <c r="G808" s="3">
        <f t="shared" si="80"/>
        <v>6.3398500028846172</v>
      </c>
      <c r="H808" s="3">
        <f t="shared" si="81"/>
        <v>197.30195981078063</v>
      </c>
      <c r="M808" s="1">
        <f t="shared" si="82"/>
        <v>57</v>
      </c>
      <c r="N808" s="38">
        <f>+M808*'Failure Data'!F$3</f>
        <v>1.4724999999999999</v>
      </c>
    </row>
    <row r="809" spans="1:14" x14ac:dyDescent="0.15">
      <c r="A809" s="1">
        <v>800</v>
      </c>
      <c r="B809" s="3">
        <f t="shared" si="77"/>
        <v>203.89271329903724</v>
      </c>
      <c r="C809" s="8"/>
      <c r="D809" s="3">
        <f t="shared" si="78"/>
        <v>197.55286329615262</v>
      </c>
      <c r="F809" s="3">
        <f t="shared" si="79"/>
        <v>-103.89271329903724</v>
      </c>
      <c r="G809" s="3">
        <f t="shared" si="80"/>
        <v>6.3398500028846172</v>
      </c>
      <c r="H809" s="3">
        <f t="shared" si="81"/>
        <v>197.55286329615262</v>
      </c>
      <c r="M809" s="1">
        <f t="shared" si="82"/>
        <v>58</v>
      </c>
      <c r="N809" s="38">
        <f>+M809*'Failure Data'!F$3</f>
        <v>1.4983333333333333</v>
      </c>
    </row>
    <row r="810" spans="1:14" x14ac:dyDescent="0.15">
      <c r="A810" s="1">
        <v>801</v>
      </c>
      <c r="B810" s="3">
        <f t="shared" si="77"/>
        <v>204.14361678440923</v>
      </c>
      <c r="C810" s="8"/>
      <c r="D810" s="3">
        <f t="shared" si="78"/>
        <v>197.80376678152462</v>
      </c>
      <c r="F810" s="3">
        <f t="shared" si="79"/>
        <v>-104.14361678440923</v>
      </c>
      <c r="G810" s="3">
        <f t="shared" si="80"/>
        <v>6.3398500028846172</v>
      </c>
      <c r="H810" s="3">
        <f t="shared" si="81"/>
        <v>197.80376678152462</v>
      </c>
      <c r="M810" s="1">
        <f t="shared" si="82"/>
        <v>59</v>
      </c>
      <c r="N810" s="38">
        <f>+M810*'Failure Data'!F$3</f>
        <v>1.5241666666666667</v>
      </c>
    </row>
    <row r="811" spans="1:14" x14ac:dyDescent="0.15">
      <c r="A811" s="1">
        <v>802</v>
      </c>
      <c r="B811" s="3">
        <f t="shared" si="77"/>
        <v>204.39452026978122</v>
      </c>
      <c r="C811" s="8"/>
      <c r="D811" s="3">
        <f t="shared" si="78"/>
        <v>198.05467026689661</v>
      </c>
      <c r="F811" s="3">
        <f t="shared" si="79"/>
        <v>-104.39452026978122</v>
      </c>
      <c r="G811" s="3">
        <f t="shared" si="80"/>
        <v>6.3398500028846172</v>
      </c>
      <c r="H811" s="3">
        <f t="shared" si="81"/>
        <v>198.05467026689661</v>
      </c>
      <c r="M811" s="1">
        <f t="shared" si="82"/>
        <v>60</v>
      </c>
      <c r="N811" s="38">
        <f>+M811*'Failure Data'!F$3</f>
        <v>1.55</v>
      </c>
    </row>
    <row r="812" spans="1:14" x14ac:dyDescent="0.15">
      <c r="A812" s="1">
        <v>803</v>
      </c>
      <c r="B812" s="3">
        <f t="shared" si="77"/>
        <v>204.64542375515322</v>
      </c>
      <c r="C812" s="8"/>
      <c r="D812" s="3">
        <f t="shared" si="78"/>
        <v>198.30557375226863</v>
      </c>
      <c r="F812" s="3">
        <f t="shared" si="79"/>
        <v>-104.64542375515322</v>
      </c>
      <c r="G812" s="3">
        <f t="shared" si="80"/>
        <v>6.3398500028845888</v>
      </c>
      <c r="H812" s="3">
        <f t="shared" si="81"/>
        <v>198.30557375226863</v>
      </c>
      <c r="M812" s="1">
        <f t="shared" si="82"/>
        <v>61</v>
      </c>
      <c r="N812" s="38">
        <f>+M812*'Failure Data'!F$3</f>
        <v>1.5758333333333334</v>
      </c>
    </row>
    <row r="813" spans="1:14" x14ac:dyDescent="0.15">
      <c r="A813" s="1">
        <v>804</v>
      </c>
      <c r="B813" s="3">
        <f t="shared" si="77"/>
        <v>204.89632724052521</v>
      </c>
      <c r="C813" s="8"/>
      <c r="D813" s="3">
        <f t="shared" si="78"/>
        <v>198.55647723764062</v>
      </c>
      <c r="F813" s="3">
        <f t="shared" si="79"/>
        <v>-104.89632724052521</v>
      </c>
      <c r="G813" s="3">
        <f t="shared" si="80"/>
        <v>6.3398500028845888</v>
      </c>
      <c r="H813" s="3">
        <f t="shared" si="81"/>
        <v>198.55647723764062</v>
      </c>
      <c r="M813" s="1">
        <f t="shared" si="82"/>
        <v>62</v>
      </c>
      <c r="N813" s="38">
        <f>+M813*'Failure Data'!F$3</f>
        <v>1.6016666666666666</v>
      </c>
    </row>
    <row r="814" spans="1:14" x14ac:dyDescent="0.15">
      <c r="A814" s="1">
        <v>805</v>
      </c>
      <c r="B814" s="3">
        <f t="shared" ref="B814:B877" si="83">+(B$4*A814)+B$5</f>
        <v>205.1472307258972</v>
      </c>
      <c r="C814" s="8"/>
      <c r="D814" s="3">
        <f t="shared" ref="D814:D877" si="84">+(D$4*A814)+D$5</f>
        <v>198.80738072301261</v>
      </c>
      <c r="F814" s="3">
        <f t="shared" ref="F814:F877" si="85">+xmax-B814</f>
        <v>-105.1472307258972</v>
      </c>
      <c r="G814" s="3">
        <f t="shared" ref="G814:G877" si="86">+B814-D814</f>
        <v>6.3398500028845888</v>
      </c>
      <c r="H814" s="3">
        <f t="shared" ref="H814:H877" si="87">D814</f>
        <v>198.80738072301261</v>
      </c>
      <c r="M814" s="1">
        <f t="shared" si="82"/>
        <v>63</v>
      </c>
      <c r="N814" s="38">
        <f>+M814*'Failure Data'!F$3</f>
        <v>1.6274999999999999</v>
      </c>
    </row>
    <row r="815" spans="1:14" x14ac:dyDescent="0.15">
      <c r="A815" s="1">
        <v>806</v>
      </c>
      <c r="B815" s="3">
        <f t="shared" si="83"/>
        <v>205.39813421126919</v>
      </c>
      <c r="C815" s="8"/>
      <c r="D815" s="3">
        <f t="shared" si="84"/>
        <v>199.05828420838461</v>
      </c>
      <c r="F815" s="3">
        <f t="shared" si="85"/>
        <v>-105.39813421126919</v>
      </c>
      <c r="G815" s="3">
        <f t="shared" si="86"/>
        <v>6.3398500028845888</v>
      </c>
      <c r="H815" s="3">
        <f t="shared" si="87"/>
        <v>199.05828420838461</v>
      </c>
      <c r="M815" s="1">
        <f t="shared" si="82"/>
        <v>64</v>
      </c>
      <c r="N815" s="38">
        <f>+M815*'Failure Data'!F$3</f>
        <v>1.6533333333333333</v>
      </c>
    </row>
    <row r="816" spans="1:14" x14ac:dyDescent="0.15">
      <c r="A816" s="1">
        <v>807</v>
      </c>
      <c r="B816" s="3">
        <f t="shared" si="83"/>
        <v>205.64903769664119</v>
      </c>
      <c r="C816" s="8"/>
      <c r="D816" s="3">
        <f t="shared" si="84"/>
        <v>199.3091876937566</v>
      </c>
      <c r="F816" s="3">
        <f t="shared" si="85"/>
        <v>-105.64903769664119</v>
      </c>
      <c r="G816" s="3">
        <f t="shared" si="86"/>
        <v>6.3398500028845888</v>
      </c>
      <c r="H816" s="3">
        <f t="shared" si="87"/>
        <v>199.3091876937566</v>
      </c>
      <c r="M816" s="1">
        <f t="shared" si="82"/>
        <v>65</v>
      </c>
      <c r="N816" s="38">
        <f>+M816*'Failure Data'!F$3</f>
        <v>1.6791666666666667</v>
      </c>
    </row>
    <row r="817" spans="1:14" x14ac:dyDescent="0.15">
      <c r="A817" s="1">
        <v>808</v>
      </c>
      <c r="B817" s="3">
        <f t="shared" si="83"/>
        <v>205.89994118201318</v>
      </c>
      <c r="C817" s="8"/>
      <c r="D817" s="3">
        <f t="shared" si="84"/>
        <v>199.56009117912859</v>
      </c>
      <c r="F817" s="3">
        <f t="shared" si="85"/>
        <v>-105.89994118201318</v>
      </c>
      <c r="G817" s="3">
        <f t="shared" si="86"/>
        <v>6.3398500028845888</v>
      </c>
      <c r="H817" s="3">
        <f t="shared" si="87"/>
        <v>199.56009117912859</v>
      </c>
      <c r="M817" s="1">
        <f t="shared" si="82"/>
        <v>66</v>
      </c>
      <c r="N817" s="38">
        <f>+M817*'Failure Data'!F$3</f>
        <v>1.7050000000000001</v>
      </c>
    </row>
    <row r="818" spans="1:14" x14ac:dyDescent="0.15">
      <c r="A818" s="1">
        <v>809</v>
      </c>
      <c r="B818" s="3">
        <f t="shared" si="83"/>
        <v>206.15084466738517</v>
      </c>
      <c r="C818" s="8"/>
      <c r="D818" s="3">
        <f t="shared" si="84"/>
        <v>199.81099466450058</v>
      </c>
      <c r="F818" s="3">
        <f t="shared" si="85"/>
        <v>-106.15084466738517</v>
      </c>
      <c r="G818" s="3">
        <f t="shared" si="86"/>
        <v>6.3398500028845888</v>
      </c>
      <c r="H818" s="3">
        <f t="shared" si="87"/>
        <v>199.81099466450058</v>
      </c>
      <c r="M818" s="1">
        <f t="shared" si="82"/>
        <v>67</v>
      </c>
      <c r="N818" s="38">
        <f>+M818*'Failure Data'!F$3</f>
        <v>1.7308333333333332</v>
      </c>
    </row>
    <row r="819" spans="1:14" x14ac:dyDescent="0.15">
      <c r="A819" s="1">
        <v>810</v>
      </c>
      <c r="B819" s="3">
        <f t="shared" si="83"/>
        <v>206.40174815275716</v>
      </c>
      <c r="C819" s="8"/>
      <c r="D819" s="3">
        <f t="shared" si="84"/>
        <v>200.06189814987258</v>
      </c>
      <c r="F819" s="3">
        <f t="shared" si="85"/>
        <v>-106.40174815275716</v>
      </c>
      <c r="G819" s="3">
        <f t="shared" si="86"/>
        <v>6.3398500028845888</v>
      </c>
      <c r="H819" s="3">
        <f t="shared" si="87"/>
        <v>200.06189814987258</v>
      </c>
      <c r="M819" s="1">
        <f t="shared" si="82"/>
        <v>68</v>
      </c>
      <c r="N819" s="38">
        <f>+M819*'Failure Data'!F$3</f>
        <v>1.7566666666666666</v>
      </c>
    </row>
    <row r="820" spans="1:14" x14ac:dyDescent="0.15">
      <c r="A820" s="1">
        <v>811</v>
      </c>
      <c r="B820" s="3">
        <f t="shared" si="83"/>
        <v>206.65265163812916</v>
      </c>
      <c r="C820" s="8"/>
      <c r="D820" s="3">
        <f t="shared" si="84"/>
        <v>200.31280163524457</v>
      </c>
      <c r="F820" s="3">
        <f t="shared" si="85"/>
        <v>-106.65265163812916</v>
      </c>
      <c r="G820" s="3">
        <f t="shared" si="86"/>
        <v>6.3398500028845888</v>
      </c>
      <c r="H820" s="3">
        <f t="shared" si="87"/>
        <v>200.31280163524457</v>
      </c>
      <c r="M820" s="1">
        <f t="shared" si="82"/>
        <v>69</v>
      </c>
      <c r="N820" s="38">
        <f>+M820*'Failure Data'!F$3</f>
        <v>1.7825</v>
      </c>
    </row>
    <row r="821" spans="1:14" x14ac:dyDescent="0.15">
      <c r="A821" s="1">
        <v>812</v>
      </c>
      <c r="B821" s="3">
        <f t="shared" si="83"/>
        <v>206.90355512350115</v>
      </c>
      <c r="C821" s="8"/>
      <c r="D821" s="3">
        <f t="shared" si="84"/>
        <v>200.56370512061656</v>
      </c>
      <c r="F821" s="3">
        <f t="shared" si="85"/>
        <v>-106.90355512350115</v>
      </c>
      <c r="G821" s="3">
        <f t="shared" si="86"/>
        <v>6.3398500028845888</v>
      </c>
      <c r="H821" s="3">
        <f t="shared" si="87"/>
        <v>200.56370512061656</v>
      </c>
      <c r="M821" s="1">
        <f t="shared" si="82"/>
        <v>70</v>
      </c>
      <c r="N821" s="38">
        <f>+M821*'Failure Data'!F$3</f>
        <v>1.8083333333333333</v>
      </c>
    </row>
    <row r="822" spans="1:14" x14ac:dyDescent="0.15">
      <c r="A822" s="1">
        <v>813</v>
      </c>
      <c r="B822" s="3">
        <f t="shared" si="83"/>
        <v>207.15445860887314</v>
      </c>
      <c r="C822" s="8"/>
      <c r="D822" s="3">
        <f t="shared" si="84"/>
        <v>200.81460860598855</v>
      </c>
      <c r="F822" s="3">
        <f t="shared" si="85"/>
        <v>-107.15445860887314</v>
      </c>
      <c r="G822" s="3">
        <f t="shared" si="86"/>
        <v>6.3398500028845888</v>
      </c>
      <c r="H822" s="3">
        <f t="shared" si="87"/>
        <v>200.81460860598855</v>
      </c>
      <c r="M822" s="1">
        <f t="shared" si="82"/>
        <v>71</v>
      </c>
      <c r="N822" s="38">
        <f>+M822*'Failure Data'!F$3</f>
        <v>1.8341666666666667</v>
      </c>
    </row>
    <row r="823" spans="1:14" x14ac:dyDescent="0.15">
      <c r="A823" s="1">
        <v>814</v>
      </c>
      <c r="B823" s="3">
        <f t="shared" si="83"/>
        <v>207.40536209424513</v>
      </c>
      <c r="C823" s="8"/>
      <c r="D823" s="3">
        <f t="shared" si="84"/>
        <v>201.06551209136055</v>
      </c>
      <c r="F823" s="3">
        <f t="shared" si="85"/>
        <v>-107.40536209424513</v>
      </c>
      <c r="G823" s="3">
        <f t="shared" si="86"/>
        <v>6.3398500028845888</v>
      </c>
      <c r="H823" s="3">
        <f t="shared" si="87"/>
        <v>201.06551209136055</v>
      </c>
      <c r="M823" s="1">
        <f t="shared" si="82"/>
        <v>72</v>
      </c>
      <c r="N823" s="38">
        <f>+M823*'Failure Data'!F$3</f>
        <v>1.8599999999999999</v>
      </c>
    </row>
    <row r="824" spans="1:14" x14ac:dyDescent="0.15">
      <c r="A824" s="1">
        <v>815</v>
      </c>
      <c r="B824" s="3">
        <f t="shared" si="83"/>
        <v>207.65626557961713</v>
      </c>
      <c r="C824" s="8"/>
      <c r="D824" s="3">
        <f t="shared" si="84"/>
        <v>201.31641557673254</v>
      </c>
      <c r="F824" s="3">
        <f t="shared" si="85"/>
        <v>-107.65626557961713</v>
      </c>
      <c r="G824" s="3">
        <f t="shared" si="86"/>
        <v>6.3398500028845888</v>
      </c>
      <c r="H824" s="3">
        <f t="shared" si="87"/>
        <v>201.31641557673254</v>
      </c>
      <c r="M824" s="1">
        <f t="shared" si="82"/>
        <v>73</v>
      </c>
      <c r="N824" s="38">
        <f>+M824*'Failure Data'!F$3</f>
        <v>1.8858333333333333</v>
      </c>
    </row>
    <row r="825" spans="1:14" x14ac:dyDescent="0.15">
      <c r="A825" s="1">
        <v>816</v>
      </c>
      <c r="B825" s="3">
        <f t="shared" si="83"/>
        <v>207.90716906498912</v>
      </c>
      <c r="C825" s="8"/>
      <c r="D825" s="3">
        <f t="shared" si="84"/>
        <v>201.56731906210453</v>
      </c>
      <c r="F825" s="3">
        <f t="shared" si="85"/>
        <v>-107.90716906498912</v>
      </c>
      <c r="G825" s="3">
        <f t="shared" si="86"/>
        <v>6.3398500028845888</v>
      </c>
      <c r="H825" s="3">
        <f t="shared" si="87"/>
        <v>201.56731906210453</v>
      </c>
      <c r="M825" s="1">
        <f t="shared" si="82"/>
        <v>74</v>
      </c>
      <c r="N825" s="38">
        <f>+M825*'Failure Data'!F$3</f>
        <v>1.9116666666666666</v>
      </c>
    </row>
    <row r="826" spans="1:14" x14ac:dyDescent="0.15">
      <c r="A826" s="1">
        <v>817</v>
      </c>
      <c r="B826" s="3">
        <f t="shared" si="83"/>
        <v>208.15807255036114</v>
      </c>
      <c r="C826" s="8"/>
      <c r="D826" s="3">
        <f t="shared" si="84"/>
        <v>201.81822254747652</v>
      </c>
      <c r="F826" s="3">
        <f t="shared" si="85"/>
        <v>-108.15807255036114</v>
      </c>
      <c r="G826" s="3">
        <f t="shared" si="86"/>
        <v>6.3398500028846172</v>
      </c>
      <c r="H826" s="3">
        <f t="shared" si="87"/>
        <v>201.81822254747652</v>
      </c>
      <c r="M826" s="1">
        <f t="shared" si="82"/>
        <v>75</v>
      </c>
      <c r="N826" s="38">
        <f>+M826*'Failure Data'!F$3</f>
        <v>1.9375</v>
      </c>
    </row>
    <row r="827" spans="1:14" x14ac:dyDescent="0.15">
      <c r="A827" s="1">
        <v>818</v>
      </c>
      <c r="B827" s="3">
        <f t="shared" si="83"/>
        <v>208.40897603573313</v>
      </c>
      <c r="C827" s="8"/>
      <c r="D827" s="3">
        <f t="shared" si="84"/>
        <v>202.06912603284852</v>
      </c>
      <c r="F827" s="3">
        <f t="shared" si="85"/>
        <v>-108.40897603573313</v>
      </c>
      <c r="G827" s="3">
        <f t="shared" si="86"/>
        <v>6.3398500028846172</v>
      </c>
      <c r="H827" s="3">
        <f t="shared" si="87"/>
        <v>202.06912603284852</v>
      </c>
      <c r="M827" s="1">
        <f t="shared" si="82"/>
        <v>76</v>
      </c>
      <c r="N827" s="38">
        <f>+M827*'Failure Data'!F$3</f>
        <v>1.9633333333333334</v>
      </c>
    </row>
    <row r="828" spans="1:14" x14ac:dyDescent="0.15">
      <c r="A828" s="1">
        <v>819</v>
      </c>
      <c r="B828" s="3">
        <f t="shared" si="83"/>
        <v>208.65987952110513</v>
      </c>
      <c r="C828" s="8"/>
      <c r="D828" s="3">
        <f t="shared" si="84"/>
        <v>202.32002951822051</v>
      </c>
      <c r="F828" s="3">
        <f t="shared" si="85"/>
        <v>-108.65987952110513</v>
      </c>
      <c r="G828" s="3">
        <f t="shared" si="86"/>
        <v>6.3398500028846172</v>
      </c>
      <c r="H828" s="3">
        <f t="shared" si="87"/>
        <v>202.32002951822051</v>
      </c>
      <c r="M828" s="1">
        <f t="shared" si="82"/>
        <v>77</v>
      </c>
      <c r="N828" s="38">
        <f>+M828*'Failure Data'!F$3</f>
        <v>1.9891666666666667</v>
      </c>
    </row>
    <row r="829" spans="1:14" x14ac:dyDescent="0.15">
      <c r="A829" s="1">
        <v>820</v>
      </c>
      <c r="B829" s="3">
        <f t="shared" si="83"/>
        <v>208.91078300647712</v>
      </c>
      <c r="C829" s="8"/>
      <c r="D829" s="3">
        <f t="shared" si="84"/>
        <v>202.5709330035925</v>
      </c>
      <c r="F829" s="3">
        <f t="shared" si="85"/>
        <v>-108.91078300647712</v>
      </c>
      <c r="G829" s="3">
        <f t="shared" si="86"/>
        <v>6.3398500028846172</v>
      </c>
      <c r="H829" s="3">
        <f t="shared" si="87"/>
        <v>202.5709330035925</v>
      </c>
      <c r="M829" s="1">
        <f t="shared" si="82"/>
        <v>78</v>
      </c>
      <c r="N829" s="38">
        <f>+M829*'Failure Data'!F$3</f>
        <v>2.0150000000000001</v>
      </c>
    </row>
    <row r="830" spans="1:14" x14ac:dyDescent="0.15">
      <c r="A830" s="1">
        <v>821</v>
      </c>
      <c r="B830" s="3">
        <f t="shared" si="83"/>
        <v>209.16168649184911</v>
      </c>
      <c r="C830" s="8"/>
      <c r="D830" s="3">
        <f t="shared" si="84"/>
        <v>202.82183648896449</v>
      </c>
      <c r="F830" s="3">
        <f t="shared" si="85"/>
        <v>-109.16168649184911</v>
      </c>
      <c r="G830" s="3">
        <f t="shared" si="86"/>
        <v>6.3398500028846172</v>
      </c>
      <c r="H830" s="3">
        <f t="shared" si="87"/>
        <v>202.82183648896449</v>
      </c>
      <c r="M830" s="1">
        <f t="shared" si="82"/>
        <v>79</v>
      </c>
      <c r="N830" s="38">
        <f>+M830*'Failure Data'!F$3</f>
        <v>2.0408333333333335</v>
      </c>
    </row>
    <row r="831" spans="1:14" x14ac:dyDescent="0.15">
      <c r="A831" s="1">
        <v>822</v>
      </c>
      <c r="B831" s="3">
        <f t="shared" si="83"/>
        <v>209.4125899772211</v>
      </c>
      <c r="C831" s="8"/>
      <c r="D831" s="3">
        <f t="shared" si="84"/>
        <v>203.07273997433649</v>
      </c>
      <c r="F831" s="3">
        <f t="shared" si="85"/>
        <v>-109.4125899772211</v>
      </c>
      <c r="G831" s="3">
        <f t="shared" si="86"/>
        <v>6.3398500028846172</v>
      </c>
      <c r="H831" s="3">
        <f t="shared" si="87"/>
        <v>203.07273997433649</v>
      </c>
      <c r="M831" s="1">
        <f t="shared" si="82"/>
        <v>80</v>
      </c>
      <c r="N831" s="38">
        <f>+M831*'Failure Data'!F$3</f>
        <v>2.0666666666666664</v>
      </c>
    </row>
    <row r="832" spans="1:14" x14ac:dyDescent="0.15">
      <c r="A832" s="1">
        <v>823</v>
      </c>
      <c r="B832" s="3">
        <f t="shared" si="83"/>
        <v>209.6634934625931</v>
      </c>
      <c r="C832" s="8"/>
      <c r="D832" s="3">
        <f t="shared" si="84"/>
        <v>203.32364345970848</v>
      </c>
      <c r="F832" s="3">
        <f t="shared" si="85"/>
        <v>-109.6634934625931</v>
      </c>
      <c r="G832" s="3">
        <f t="shared" si="86"/>
        <v>6.3398500028846172</v>
      </c>
      <c r="H832" s="3">
        <f t="shared" si="87"/>
        <v>203.32364345970848</v>
      </c>
      <c r="M832" s="1">
        <f t="shared" si="82"/>
        <v>81</v>
      </c>
      <c r="N832" s="38">
        <f>+M832*'Failure Data'!F$3</f>
        <v>2.0924999999999998</v>
      </c>
    </row>
    <row r="833" spans="1:14" x14ac:dyDescent="0.15">
      <c r="A833" s="1">
        <v>824</v>
      </c>
      <c r="B833" s="3">
        <f t="shared" si="83"/>
        <v>209.91439694796509</v>
      </c>
      <c r="C833" s="8"/>
      <c r="D833" s="3">
        <f t="shared" si="84"/>
        <v>203.57454694508047</v>
      </c>
      <c r="F833" s="3">
        <f t="shared" si="85"/>
        <v>-109.91439694796509</v>
      </c>
      <c r="G833" s="3">
        <f t="shared" si="86"/>
        <v>6.3398500028846172</v>
      </c>
      <c r="H833" s="3">
        <f t="shared" si="87"/>
        <v>203.57454694508047</v>
      </c>
      <c r="M833" s="1">
        <f t="shared" ref="M833:M896" si="88">M832+1</f>
        <v>82</v>
      </c>
      <c r="N833" s="38">
        <f>+M833*'Failure Data'!F$3</f>
        <v>2.1183333333333332</v>
      </c>
    </row>
    <row r="834" spans="1:14" x14ac:dyDescent="0.15">
      <c r="A834" s="1">
        <v>825</v>
      </c>
      <c r="B834" s="3">
        <f t="shared" si="83"/>
        <v>210.16530043333708</v>
      </c>
      <c r="C834" s="8"/>
      <c r="D834" s="3">
        <f t="shared" si="84"/>
        <v>203.82545043045246</v>
      </c>
      <c r="F834" s="3">
        <f t="shared" si="85"/>
        <v>-110.16530043333708</v>
      </c>
      <c r="G834" s="3">
        <f t="shared" si="86"/>
        <v>6.3398500028846172</v>
      </c>
      <c r="H834" s="3">
        <f t="shared" si="87"/>
        <v>203.82545043045246</v>
      </c>
      <c r="M834" s="1">
        <f t="shared" si="88"/>
        <v>83</v>
      </c>
      <c r="N834" s="38">
        <f>+M834*'Failure Data'!F$3</f>
        <v>2.1441666666666666</v>
      </c>
    </row>
    <row r="835" spans="1:14" x14ac:dyDescent="0.15">
      <c r="A835" s="1">
        <v>826</v>
      </c>
      <c r="B835" s="3">
        <f t="shared" si="83"/>
        <v>210.41620391870907</v>
      </c>
      <c r="C835" s="8"/>
      <c r="D835" s="3">
        <f t="shared" si="84"/>
        <v>204.07635391582446</v>
      </c>
      <c r="F835" s="3">
        <f t="shared" si="85"/>
        <v>-110.41620391870907</v>
      </c>
      <c r="G835" s="3">
        <f t="shared" si="86"/>
        <v>6.3398500028846172</v>
      </c>
      <c r="H835" s="3">
        <f t="shared" si="87"/>
        <v>204.07635391582446</v>
      </c>
      <c r="M835" s="1">
        <f t="shared" si="88"/>
        <v>84</v>
      </c>
      <c r="N835" s="38">
        <f>+M835*'Failure Data'!F$3</f>
        <v>2.17</v>
      </c>
    </row>
    <row r="836" spans="1:14" x14ac:dyDescent="0.15">
      <c r="A836" s="1">
        <v>827</v>
      </c>
      <c r="B836" s="3">
        <f t="shared" si="83"/>
        <v>210.66710740408107</v>
      </c>
      <c r="C836" s="8"/>
      <c r="D836" s="3">
        <f t="shared" si="84"/>
        <v>204.32725740119648</v>
      </c>
      <c r="F836" s="3">
        <f t="shared" si="85"/>
        <v>-110.66710740408107</v>
      </c>
      <c r="G836" s="3">
        <f t="shared" si="86"/>
        <v>6.3398500028845888</v>
      </c>
      <c r="H836" s="3">
        <f t="shared" si="87"/>
        <v>204.32725740119648</v>
      </c>
      <c r="M836" s="1">
        <f t="shared" si="88"/>
        <v>85</v>
      </c>
      <c r="N836" s="38">
        <f>+M836*'Failure Data'!F$3</f>
        <v>2.1958333333333333</v>
      </c>
    </row>
    <row r="837" spans="1:14" x14ac:dyDescent="0.15">
      <c r="A837" s="1">
        <v>828</v>
      </c>
      <c r="B837" s="3">
        <f t="shared" si="83"/>
        <v>210.91801088945306</v>
      </c>
      <c r="C837" s="8"/>
      <c r="D837" s="3">
        <f t="shared" si="84"/>
        <v>204.57816088656847</v>
      </c>
      <c r="F837" s="3">
        <f t="shared" si="85"/>
        <v>-110.91801088945306</v>
      </c>
      <c r="G837" s="3">
        <f t="shared" si="86"/>
        <v>6.3398500028845888</v>
      </c>
      <c r="H837" s="3">
        <f t="shared" si="87"/>
        <v>204.57816088656847</v>
      </c>
      <c r="M837" s="1">
        <f t="shared" si="88"/>
        <v>86</v>
      </c>
      <c r="N837" s="38">
        <f>+M837*'Failure Data'!F$3</f>
        <v>2.2216666666666667</v>
      </c>
    </row>
    <row r="838" spans="1:14" x14ac:dyDescent="0.15">
      <c r="A838" s="1">
        <v>829</v>
      </c>
      <c r="B838" s="3">
        <f t="shared" si="83"/>
        <v>211.16891437482505</v>
      </c>
      <c r="C838" s="8"/>
      <c r="D838" s="3">
        <f t="shared" si="84"/>
        <v>204.82906437194046</v>
      </c>
      <c r="F838" s="3">
        <f t="shared" si="85"/>
        <v>-111.16891437482505</v>
      </c>
      <c r="G838" s="3">
        <f t="shared" si="86"/>
        <v>6.3398500028845888</v>
      </c>
      <c r="H838" s="3">
        <f t="shared" si="87"/>
        <v>204.82906437194046</v>
      </c>
      <c r="M838" s="1">
        <f t="shared" si="88"/>
        <v>87</v>
      </c>
      <c r="N838" s="38">
        <f>+M838*'Failure Data'!F$3</f>
        <v>2.2475000000000001</v>
      </c>
    </row>
    <row r="839" spans="1:14" x14ac:dyDescent="0.15">
      <c r="A839" s="1">
        <v>830</v>
      </c>
      <c r="B839" s="3">
        <f t="shared" si="83"/>
        <v>211.41981786019704</v>
      </c>
      <c r="C839" s="8"/>
      <c r="D839" s="3">
        <f t="shared" si="84"/>
        <v>205.07996785731245</v>
      </c>
      <c r="F839" s="3">
        <f t="shared" si="85"/>
        <v>-111.41981786019704</v>
      </c>
      <c r="G839" s="3">
        <f t="shared" si="86"/>
        <v>6.3398500028845888</v>
      </c>
      <c r="H839" s="3">
        <f t="shared" si="87"/>
        <v>205.07996785731245</v>
      </c>
      <c r="M839" s="1">
        <f t="shared" si="88"/>
        <v>88</v>
      </c>
      <c r="N839" s="38">
        <f>+M839*'Failure Data'!F$3</f>
        <v>2.2733333333333334</v>
      </c>
    </row>
    <row r="840" spans="1:14" x14ac:dyDescent="0.15">
      <c r="A840" s="1">
        <v>831</v>
      </c>
      <c r="B840" s="3">
        <f t="shared" si="83"/>
        <v>211.67072134556904</v>
      </c>
      <c r="C840" s="8"/>
      <c r="D840" s="3">
        <f t="shared" si="84"/>
        <v>205.33087134268445</v>
      </c>
      <c r="F840" s="3">
        <f t="shared" si="85"/>
        <v>-111.67072134556904</v>
      </c>
      <c r="G840" s="3">
        <f t="shared" si="86"/>
        <v>6.3398500028845888</v>
      </c>
      <c r="H840" s="3">
        <f t="shared" si="87"/>
        <v>205.33087134268445</v>
      </c>
      <c r="M840" s="1">
        <f t="shared" si="88"/>
        <v>89</v>
      </c>
      <c r="N840" s="38">
        <f>+M840*'Failure Data'!F$3</f>
        <v>2.2991666666666668</v>
      </c>
    </row>
    <row r="841" spans="1:14" x14ac:dyDescent="0.15">
      <c r="A841" s="1">
        <v>832</v>
      </c>
      <c r="B841" s="3">
        <f t="shared" si="83"/>
        <v>211.92162483094103</v>
      </c>
      <c r="C841" s="8"/>
      <c r="D841" s="3">
        <f t="shared" si="84"/>
        <v>205.58177482805644</v>
      </c>
      <c r="F841" s="3">
        <f t="shared" si="85"/>
        <v>-111.92162483094103</v>
      </c>
      <c r="G841" s="3">
        <f t="shared" si="86"/>
        <v>6.3398500028845888</v>
      </c>
      <c r="H841" s="3">
        <f t="shared" si="87"/>
        <v>205.58177482805644</v>
      </c>
      <c r="M841" s="1">
        <f t="shared" si="88"/>
        <v>90</v>
      </c>
      <c r="N841" s="38">
        <f>+M841*'Failure Data'!F$3</f>
        <v>2.3250000000000002</v>
      </c>
    </row>
    <row r="842" spans="1:14" x14ac:dyDescent="0.15">
      <c r="A842" s="1">
        <v>833</v>
      </c>
      <c r="B842" s="3">
        <f t="shared" si="83"/>
        <v>212.17252831631302</v>
      </c>
      <c r="C842" s="8"/>
      <c r="D842" s="3">
        <f t="shared" si="84"/>
        <v>205.83267831342843</v>
      </c>
      <c r="F842" s="3">
        <f t="shared" si="85"/>
        <v>-112.17252831631302</v>
      </c>
      <c r="G842" s="3">
        <f t="shared" si="86"/>
        <v>6.3398500028845888</v>
      </c>
      <c r="H842" s="3">
        <f t="shared" si="87"/>
        <v>205.83267831342843</v>
      </c>
      <c r="M842" s="1">
        <f t="shared" si="88"/>
        <v>91</v>
      </c>
      <c r="N842" s="38">
        <f>+M842*'Failure Data'!F$3</f>
        <v>2.3508333333333331</v>
      </c>
    </row>
    <row r="843" spans="1:14" x14ac:dyDescent="0.15">
      <c r="A843" s="1">
        <v>834</v>
      </c>
      <c r="B843" s="3">
        <f t="shared" si="83"/>
        <v>212.42343180168501</v>
      </c>
      <c r="C843" s="8"/>
      <c r="D843" s="3">
        <f t="shared" si="84"/>
        <v>206.08358179880042</v>
      </c>
      <c r="F843" s="3">
        <f t="shared" si="85"/>
        <v>-112.42343180168501</v>
      </c>
      <c r="G843" s="3">
        <f t="shared" si="86"/>
        <v>6.3398500028845888</v>
      </c>
      <c r="H843" s="3">
        <f t="shared" si="87"/>
        <v>206.08358179880042</v>
      </c>
      <c r="M843" s="1">
        <f t="shared" si="88"/>
        <v>92</v>
      </c>
      <c r="N843" s="38">
        <f>+M843*'Failure Data'!F$3</f>
        <v>2.3766666666666665</v>
      </c>
    </row>
    <row r="844" spans="1:14" x14ac:dyDescent="0.15">
      <c r="A844" s="1">
        <v>835</v>
      </c>
      <c r="B844" s="3">
        <f t="shared" si="83"/>
        <v>212.674335287057</v>
      </c>
      <c r="C844" s="8"/>
      <c r="D844" s="3">
        <f t="shared" si="84"/>
        <v>206.33448528417242</v>
      </c>
      <c r="F844" s="3">
        <f t="shared" si="85"/>
        <v>-112.674335287057</v>
      </c>
      <c r="G844" s="3">
        <f t="shared" si="86"/>
        <v>6.3398500028845888</v>
      </c>
      <c r="H844" s="3">
        <f t="shared" si="87"/>
        <v>206.33448528417242</v>
      </c>
      <c r="M844" s="1">
        <f t="shared" si="88"/>
        <v>93</v>
      </c>
      <c r="N844" s="38">
        <f>+M844*'Failure Data'!F$3</f>
        <v>2.4024999999999999</v>
      </c>
    </row>
    <row r="845" spans="1:14" x14ac:dyDescent="0.15">
      <c r="A845" s="1">
        <v>836</v>
      </c>
      <c r="B845" s="3">
        <f t="shared" si="83"/>
        <v>212.925238772429</v>
      </c>
      <c r="C845" s="8"/>
      <c r="D845" s="3">
        <f t="shared" si="84"/>
        <v>206.58538876954441</v>
      </c>
      <c r="F845" s="3">
        <f t="shared" si="85"/>
        <v>-112.925238772429</v>
      </c>
      <c r="G845" s="3">
        <f t="shared" si="86"/>
        <v>6.3398500028845888</v>
      </c>
      <c r="H845" s="3">
        <f t="shared" si="87"/>
        <v>206.58538876954441</v>
      </c>
      <c r="M845" s="1">
        <f t="shared" si="88"/>
        <v>94</v>
      </c>
      <c r="N845" s="38">
        <f>+M845*'Failure Data'!F$3</f>
        <v>2.4283333333333332</v>
      </c>
    </row>
    <row r="846" spans="1:14" x14ac:dyDescent="0.15">
      <c r="A846" s="1">
        <v>837</v>
      </c>
      <c r="B846" s="3">
        <f t="shared" si="83"/>
        <v>213.17614225780099</v>
      </c>
      <c r="C846" s="8"/>
      <c r="D846" s="3">
        <f t="shared" si="84"/>
        <v>206.8362922549164</v>
      </c>
      <c r="F846" s="3">
        <f t="shared" si="85"/>
        <v>-113.17614225780099</v>
      </c>
      <c r="G846" s="3">
        <f t="shared" si="86"/>
        <v>6.3398500028845888</v>
      </c>
      <c r="H846" s="3">
        <f t="shared" si="87"/>
        <v>206.8362922549164</v>
      </c>
      <c r="M846" s="1">
        <f t="shared" si="88"/>
        <v>95</v>
      </c>
      <c r="N846" s="38">
        <f>+M846*'Failure Data'!F$3</f>
        <v>2.4541666666666666</v>
      </c>
    </row>
    <row r="847" spans="1:14" x14ac:dyDescent="0.15">
      <c r="A847" s="1">
        <v>838</v>
      </c>
      <c r="B847" s="3">
        <f t="shared" si="83"/>
        <v>213.42704574317298</v>
      </c>
      <c r="C847" s="8"/>
      <c r="D847" s="3">
        <f t="shared" si="84"/>
        <v>207.08719574028839</v>
      </c>
      <c r="F847" s="3">
        <f t="shared" si="85"/>
        <v>-113.42704574317298</v>
      </c>
      <c r="G847" s="3">
        <f t="shared" si="86"/>
        <v>6.3398500028845888</v>
      </c>
      <c r="H847" s="3">
        <f t="shared" si="87"/>
        <v>207.08719574028839</v>
      </c>
      <c r="M847" s="1">
        <f t="shared" si="88"/>
        <v>96</v>
      </c>
      <c r="N847" s="38">
        <f>+M847*'Failure Data'!F$3</f>
        <v>2.48</v>
      </c>
    </row>
    <row r="848" spans="1:14" x14ac:dyDescent="0.15">
      <c r="A848" s="1">
        <v>839</v>
      </c>
      <c r="B848" s="3">
        <f t="shared" si="83"/>
        <v>213.67794922854497</v>
      </c>
      <c r="C848" s="8"/>
      <c r="D848" s="3">
        <f t="shared" si="84"/>
        <v>207.33809922566039</v>
      </c>
      <c r="F848" s="3">
        <f t="shared" si="85"/>
        <v>-113.67794922854497</v>
      </c>
      <c r="G848" s="3">
        <f t="shared" si="86"/>
        <v>6.3398500028845888</v>
      </c>
      <c r="H848" s="3">
        <f t="shared" si="87"/>
        <v>207.33809922566039</v>
      </c>
      <c r="M848" s="1">
        <f t="shared" si="88"/>
        <v>97</v>
      </c>
      <c r="N848" s="38">
        <f>+M848*'Failure Data'!F$3</f>
        <v>2.5058333333333334</v>
      </c>
    </row>
    <row r="849" spans="1:14" x14ac:dyDescent="0.15">
      <c r="A849" s="1">
        <v>840</v>
      </c>
      <c r="B849" s="3">
        <f t="shared" si="83"/>
        <v>213.92885271391697</v>
      </c>
      <c r="C849" s="8"/>
      <c r="D849" s="3">
        <f t="shared" si="84"/>
        <v>207.58900271103238</v>
      </c>
      <c r="F849" s="3">
        <f t="shared" si="85"/>
        <v>-113.92885271391697</v>
      </c>
      <c r="G849" s="3">
        <f t="shared" si="86"/>
        <v>6.3398500028845888</v>
      </c>
      <c r="H849" s="3">
        <f t="shared" si="87"/>
        <v>207.58900271103238</v>
      </c>
      <c r="M849" s="1">
        <f t="shared" si="88"/>
        <v>98</v>
      </c>
      <c r="N849" s="38">
        <f>+M849*'Failure Data'!F$3</f>
        <v>2.5316666666666667</v>
      </c>
    </row>
    <row r="850" spans="1:14" x14ac:dyDescent="0.15">
      <c r="A850" s="1">
        <v>841</v>
      </c>
      <c r="B850" s="3">
        <f t="shared" si="83"/>
        <v>214.17975619928896</v>
      </c>
      <c r="C850" s="8"/>
      <c r="D850" s="3">
        <f t="shared" si="84"/>
        <v>207.83990619640437</v>
      </c>
      <c r="F850" s="3">
        <f t="shared" si="85"/>
        <v>-114.17975619928896</v>
      </c>
      <c r="G850" s="3">
        <f t="shared" si="86"/>
        <v>6.3398500028845888</v>
      </c>
      <c r="H850" s="3">
        <f t="shared" si="87"/>
        <v>207.83990619640437</v>
      </c>
      <c r="M850" s="1">
        <f t="shared" si="88"/>
        <v>99</v>
      </c>
      <c r="N850" s="38">
        <f>+M850*'Failure Data'!F$3</f>
        <v>2.5575000000000001</v>
      </c>
    </row>
    <row r="851" spans="1:14" x14ac:dyDescent="0.15">
      <c r="A851" s="1">
        <v>842</v>
      </c>
      <c r="B851" s="3">
        <f t="shared" si="83"/>
        <v>214.43065968466098</v>
      </c>
      <c r="C851" s="8"/>
      <c r="D851" s="3">
        <f t="shared" si="84"/>
        <v>208.09080968177636</v>
      </c>
      <c r="F851" s="3">
        <f t="shared" si="85"/>
        <v>-114.43065968466098</v>
      </c>
      <c r="G851" s="3">
        <f t="shared" si="86"/>
        <v>6.3398500028846172</v>
      </c>
      <c r="H851" s="3">
        <f t="shared" si="87"/>
        <v>208.09080968177636</v>
      </c>
      <c r="M851" s="1">
        <f t="shared" si="88"/>
        <v>100</v>
      </c>
      <c r="N851" s="38">
        <f>+M851*'Failure Data'!F$3</f>
        <v>2.5833333333333335</v>
      </c>
    </row>
    <row r="852" spans="1:14" x14ac:dyDescent="0.15">
      <c r="A852" s="1">
        <v>843</v>
      </c>
      <c r="B852" s="3">
        <f t="shared" si="83"/>
        <v>214.68156317003297</v>
      </c>
      <c r="C852" s="8"/>
      <c r="D852" s="3">
        <f t="shared" si="84"/>
        <v>208.34171316714836</v>
      </c>
      <c r="F852" s="3">
        <f t="shared" si="85"/>
        <v>-114.68156317003297</v>
      </c>
      <c r="G852" s="3">
        <f t="shared" si="86"/>
        <v>6.3398500028846172</v>
      </c>
      <c r="H852" s="3">
        <f t="shared" si="87"/>
        <v>208.34171316714836</v>
      </c>
      <c r="M852" s="1">
        <f t="shared" si="88"/>
        <v>101</v>
      </c>
      <c r="N852" s="38">
        <f>+M852*'Failure Data'!F$3</f>
        <v>2.6091666666666669</v>
      </c>
    </row>
    <row r="853" spans="1:14" x14ac:dyDescent="0.15">
      <c r="A853" s="1">
        <v>844</v>
      </c>
      <c r="B853" s="3">
        <f t="shared" si="83"/>
        <v>214.93246665540497</v>
      </c>
      <c r="C853" s="8"/>
      <c r="D853" s="3">
        <f t="shared" si="84"/>
        <v>208.59261665252035</v>
      </c>
      <c r="F853" s="3">
        <f t="shared" si="85"/>
        <v>-114.93246665540497</v>
      </c>
      <c r="G853" s="3">
        <f t="shared" si="86"/>
        <v>6.3398500028846172</v>
      </c>
      <c r="H853" s="3">
        <f t="shared" si="87"/>
        <v>208.59261665252035</v>
      </c>
      <c r="M853" s="1">
        <f t="shared" si="88"/>
        <v>102</v>
      </c>
      <c r="N853" s="38">
        <f>+M853*'Failure Data'!F$3</f>
        <v>2.6349999999999998</v>
      </c>
    </row>
    <row r="854" spans="1:14" x14ac:dyDescent="0.15">
      <c r="A854" s="1">
        <v>845</v>
      </c>
      <c r="B854" s="3">
        <f t="shared" si="83"/>
        <v>215.18337014077696</v>
      </c>
      <c r="C854" s="8"/>
      <c r="D854" s="3">
        <f t="shared" si="84"/>
        <v>208.84352013789234</v>
      </c>
      <c r="F854" s="3">
        <f t="shared" si="85"/>
        <v>-115.18337014077696</v>
      </c>
      <c r="G854" s="3">
        <f t="shared" si="86"/>
        <v>6.3398500028846172</v>
      </c>
      <c r="H854" s="3">
        <f t="shared" si="87"/>
        <v>208.84352013789234</v>
      </c>
      <c r="M854" s="1">
        <f t="shared" si="88"/>
        <v>103</v>
      </c>
      <c r="N854" s="38">
        <f>+M854*'Failure Data'!F$3</f>
        <v>2.6608333333333332</v>
      </c>
    </row>
    <row r="855" spans="1:14" x14ac:dyDescent="0.15">
      <c r="A855" s="1">
        <v>846</v>
      </c>
      <c r="B855" s="3">
        <f t="shared" si="83"/>
        <v>215.43427362614895</v>
      </c>
      <c r="C855" s="8"/>
      <c r="D855" s="3">
        <f t="shared" si="84"/>
        <v>209.09442362326433</v>
      </c>
      <c r="F855" s="3">
        <f t="shared" si="85"/>
        <v>-115.43427362614895</v>
      </c>
      <c r="G855" s="3">
        <f t="shared" si="86"/>
        <v>6.3398500028846172</v>
      </c>
      <c r="H855" s="3">
        <f t="shared" si="87"/>
        <v>209.09442362326433</v>
      </c>
      <c r="M855" s="1">
        <f t="shared" si="88"/>
        <v>104</v>
      </c>
      <c r="N855" s="38">
        <f>+M855*'Failure Data'!F$3</f>
        <v>2.6866666666666665</v>
      </c>
    </row>
    <row r="856" spans="1:14" x14ac:dyDescent="0.15">
      <c r="A856" s="1">
        <v>847</v>
      </c>
      <c r="B856" s="3">
        <f t="shared" si="83"/>
        <v>215.68517711152094</v>
      </c>
      <c r="C856" s="8"/>
      <c r="D856" s="3">
        <f t="shared" si="84"/>
        <v>209.34532710863633</v>
      </c>
      <c r="F856" s="3">
        <f t="shared" si="85"/>
        <v>-115.68517711152094</v>
      </c>
      <c r="G856" s="3">
        <f t="shared" si="86"/>
        <v>6.3398500028846172</v>
      </c>
      <c r="H856" s="3">
        <f t="shared" si="87"/>
        <v>209.34532710863633</v>
      </c>
      <c r="M856" s="1">
        <f t="shared" si="88"/>
        <v>105</v>
      </c>
      <c r="N856" s="38">
        <f>+M856*'Failure Data'!F$3</f>
        <v>2.7124999999999999</v>
      </c>
    </row>
    <row r="857" spans="1:14" x14ac:dyDescent="0.15">
      <c r="A857" s="1">
        <v>848</v>
      </c>
      <c r="B857" s="3">
        <f t="shared" si="83"/>
        <v>215.93608059689294</v>
      </c>
      <c r="C857" s="8"/>
      <c r="D857" s="3">
        <f t="shared" si="84"/>
        <v>209.59623059400832</v>
      </c>
      <c r="F857" s="3">
        <f t="shared" si="85"/>
        <v>-115.93608059689294</v>
      </c>
      <c r="G857" s="3">
        <f t="shared" si="86"/>
        <v>6.3398500028846172</v>
      </c>
      <c r="H857" s="3">
        <f t="shared" si="87"/>
        <v>209.59623059400832</v>
      </c>
      <c r="M857" s="1">
        <f t="shared" si="88"/>
        <v>106</v>
      </c>
      <c r="N857" s="38">
        <f>+M857*'Failure Data'!F$3</f>
        <v>2.7383333333333333</v>
      </c>
    </row>
    <row r="858" spans="1:14" x14ac:dyDescent="0.15">
      <c r="A858" s="1">
        <v>849</v>
      </c>
      <c r="B858" s="3">
        <f t="shared" si="83"/>
        <v>216.18698408226493</v>
      </c>
      <c r="C858" s="8"/>
      <c r="D858" s="3">
        <f t="shared" si="84"/>
        <v>209.84713407938031</v>
      </c>
      <c r="F858" s="3">
        <f t="shared" si="85"/>
        <v>-116.18698408226493</v>
      </c>
      <c r="G858" s="3">
        <f t="shared" si="86"/>
        <v>6.3398500028846172</v>
      </c>
      <c r="H858" s="3">
        <f t="shared" si="87"/>
        <v>209.84713407938031</v>
      </c>
      <c r="M858" s="1">
        <f t="shared" si="88"/>
        <v>107</v>
      </c>
      <c r="N858" s="38">
        <f>+M858*'Failure Data'!F$3</f>
        <v>2.7641666666666667</v>
      </c>
    </row>
    <row r="859" spans="1:14" x14ac:dyDescent="0.15">
      <c r="A859" s="1">
        <v>850</v>
      </c>
      <c r="B859" s="3">
        <f t="shared" si="83"/>
        <v>216.43788756763692</v>
      </c>
      <c r="C859" s="8"/>
      <c r="D859" s="3">
        <f t="shared" si="84"/>
        <v>210.09803756475233</v>
      </c>
      <c r="F859" s="3">
        <f t="shared" si="85"/>
        <v>-116.43788756763692</v>
      </c>
      <c r="G859" s="3">
        <f t="shared" si="86"/>
        <v>6.3398500028845888</v>
      </c>
      <c r="H859" s="3">
        <f t="shared" si="87"/>
        <v>210.09803756475233</v>
      </c>
      <c r="M859" s="1">
        <f t="shared" si="88"/>
        <v>108</v>
      </c>
      <c r="N859" s="38">
        <f>+M859*'Failure Data'!F$3</f>
        <v>2.79</v>
      </c>
    </row>
    <row r="860" spans="1:14" x14ac:dyDescent="0.15">
      <c r="A860" s="1">
        <v>851</v>
      </c>
      <c r="B860" s="3">
        <f t="shared" si="83"/>
        <v>216.68879105300891</v>
      </c>
      <c r="C860" s="8"/>
      <c r="D860" s="3">
        <f t="shared" si="84"/>
        <v>210.34894105012432</v>
      </c>
      <c r="F860" s="3">
        <f t="shared" si="85"/>
        <v>-116.68879105300891</v>
      </c>
      <c r="G860" s="3">
        <f t="shared" si="86"/>
        <v>6.3398500028845888</v>
      </c>
      <c r="H860" s="3">
        <f t="shared" si="87"/>
        <v>210.34894105012432</v>
      </c>
      <c r="M860" s="1">
        <f t="shared" si="88"/>
        <v>109</v>
      </c>
      <c r="N860" s="38">
        <f>+M860*'Failure Data'!F$3</f>
        <v>2.8158333333333334</v>
      </c>
    </row>
    <row r="861" spans="1:14" x14ac:dyDescent="0.15">
      <c r="A861" s="1">
        <v>852</v>
      </c>
      <c r="B861" s="3">
        <f t="shared" si="83"/>
        <v>216.93969453838091</v>
      </c>
      <c r="C861" s="8"/>
      <c r="D861" s="3">
        <f t="shared" si="84"/>
        <v>210.59984453549632</v>
      </c>
      <c r="F861" s="3">
        <f t="shared" si="85"/>
        <v>-116.93969453838091</v>
      </c>
      <c r="G861" s="3">
        <f t="shared" si="86"/>
        <v>6.3398500028845888</v>
      </c>
      <c r="H861" s="3">
        <f t="shared" si="87"/>
        <v>210.59984453549632</v>
      </c>
      <c r="M861" s="1">
        <f t="shared" si="88"/>
        <v>110</v>
      </c>
      <c r="N861" s="38">
        <f>+M861*'Failure Data'!F$3</f>
        <v>2.8416666666666668</v>
      </c>
    </row>
    <row r="862" spans="1:14" x14ac:dyDescent="0.15">
      <c r="A862" s="1">
        <v>853</v>
      </c>
      <c r="B862" s="3">
        <f t="shared" si="83"/>
        <v>217.1905980237529</v>
      </c>
      <c r="C862" s="8"/>
      <c r="D862" s="3">
        <f t="shared" si="84"/>
        <v>210.85074802086831</v>
      </c>
      <c r="F862" s="3">
        <f t="shared" si="85"/>
        <v>-117.1905980237529</v>
      </c>
      <c r="G862" s="3">
        <f t="shared" si="86"/>
        <v>6.3398500028845888</v>
      </c>
      <c r="H862" s="3">
        <f t="shared" si="87"/>
        <v>210.85074802086831</v>
      </c>
      <c r="M862" s="1">
        <f t="shared" si="88"/>
        <v>111</v>
      </c>
      <c r="N862" s="38">
        <f>+M862*'Failure Data'!F$3</f>
        <v>2.8675000000000002</v>
      </c>
    </row>
    <row r="863" spans="1:14" x14ac:dyDescent="0.15">
      <c r="A863" s="1">
        <v>854</v>
      </c>
      <c r="B863" s="3">
        <f t="shared" si="83"/>
        <v>217.44150150912489</v>
      </c>
      <c r="C863" s="8"/>
      <c r="D863" s="3">
        <f t="shared" si="84"/>
        <v>211.1016515062403</v>
      </c>
      <c r="F863" s="3">
        <f t="shared" si="85"/>
        <v>-117.44150150912489</v>
      </c>
      <c r="G863" s="3">
        <f t="shared" si="86"/>
        <v>6.3398500028845888</v>
      </c>
      <c r="H863" s="3">
        <f t="shared" si="87"/>
        <v>211.1016515062403</v>
      </c>
      <c r="M863" s="1">
        <f t="shared" si="88"/>
        <v>112</v>
      </c>
      <c r="N863" s="38">
        <f>+M863*'Failure Data'!F$3</f>
        <v>2.8933333333333335</v>
      </c>
    </row>
    <row r="864" spans="1:14" x14ac:dyDescent="0.15">
      <c r="A864" s="1">
        <v>855</v>
      </c>
      <c r="B864" s="3">
        <f t="shared" si="83"/>
        <v>217.69240499449688</v>
      </c>
      <c r="C864" s="8"/>
      <c r="D864" s="3">
        <f t="shared" si="84"/>
        <v>211.35255499161229</v>
      </c>
      <c r="F864" s="3">
        <f t="shared" si="85"/>
        <v>-117.69240499449688</v>
      </c>
      <c r="G864" s="3">
        <f t="shared" si="86"/>
        <v>6.3398500028845888</v>
      </c>
      <c r="H864" s="3">
        <f t="shared" si="87"/>
        <v>211.35255499161229</v>
      </c>
      <c r="M864" s="1">
        <f t="shared" si="88"/>
        <v>113</v>
      </c>
      <c r="N864" s="38">
        <f>+M864*'Failure Data'!F$3</f>
        <v>2.9191666666666665</v>
      </c>
    </row>
    <row r="865" spans="1:14" x14ac:dyDescent="0.15">
      <c r="A865" s="1">
        <v>856</v>
      </c>
      <c r="B865" s="3">
        <f t="shared" si="83"/>
        <v>217.94330847986888</v>
      </c>
      <c r="C865" s="8"/>
      <c r="D865" s="3">
        <f t="shared" si="84"/>
        <v>211.60345847698429</v>
      </c>
      <c r="F865" s="3">
        <f t="shared" si="85"/>
        <v>-117.94330847986888</v>
      </c>
      <c r="G865" s="3">
        <f t="shared" si="86"/>
        <v>6.3398500028845888</v>
      </c>
      <c r="H865" s="3">
        <f t="shared" si="87"/>
        <v>211.60345847698429</v>
      </c>
      <c r="M865" s="1">
        <f t="shared" si="88"/>
        <v>114</v>
      </c>
      <c r="N865" s="38">
        <f>+M865*'Failure Data'!F$3</f>
        <v>2.9449999999999998</v>
      </c>
    </row>
    <row r="866" spans="1:14" x14ac:dyDescent="0.15">
      <c r="A866" s="1">
        <v>857</v>
      </c>
      <c r="B866" s="3">
        <f t="shared" si="83"/>
        <v>218.19421196524087</v>
      </c>
      <c r="C866" s="8"/>
      <c r="D866" s="3">
        <f t="shared" si="84"/>
        <v>211.85436196235628</v>
      </c>
      <c r="F866" s="3">
        <f t="shared" si="85"/>
        <v>-118.19421196524087</v>
      </c>
      <c r="G866" s="3">
        <f t="shared" si="86"/>
        <v>6.3398500028845888</v>
      </c>
      <c r="H866" s="3">
        <f t="shared" si="87"/>
        <v>211.85436196235628</v>
      </c>
      <c r="M866" s="1">
        <f t="shared" si="88"/>
        <v>115</v>
      </c>
      <c r="N866" s="38">
        <f>+M866*'Failure Data'!F$3</f>
        <v>2.9708333333333332</v>
      </c>
    </row>
    <row r="867" spans="1:14" x14ac:dyDescent="0.15">
      <c r="A867" s="1">
        <v>858</v>
      </c>
      <c r="B867" s="3">
        <f t="shared" si="83"/>
        <v>218.44511545061286</v>
      </c>
      <c r="C867" s="8"/>
      <c r="D867" s="3">
        <f t="shared" si="84"/>
        <v>212.10526544772827</v>
      </c>
      <c r="F867" s="3">
        <f t="shared" si="85"/>
        <v>-118.44511545061286</v>
      </c>
      <c r="G867" s="3">
        <f t="shared" si="86"/>
        <v>6.3398500028845888</v>
      </c>
      <c r="H867" s="3">
        <f t="shared" si="87"/>
        <v>212.10526544772827</v>
      </c>
      <c r="M867" s="1">
        <f t="shared" si="88"/>
        <v>116</v>
      </c>
      <c r="N867" s="38">
        <f>+M867*'Failure Data'!F$3</f>
        <v>2.9966666666666666</v>
      </c>
    </row>
    <row r="868" spans="1:14" x14ac:dyDescent="0.15">
      <c r="A868" s="1">
        <v>859</v>
      </c>
      <c r="B868" s="3">
        <f t="shared" si="83"/>
        <v>218.69601893598485</v>
      </c>
      <c r="C868" s="8"/>
      <c r="D868" s="3">
        <f t="shared" si="84"/>
        <v>212.35616893310026</v>
      </c>
      <c r="F868" s="3">
        <f t="shared" si="85"/>
        <v>-118.69601893598485</v>
      </c>
      <c r="G868" s="3">
        <f t="shared" si="86"/>
        <v>6.3398500028845888</v>
      </c>
      <c r="H868" s="3">
        <f t="shared" si="87"/>
        <v>212.35616893310026</v>
      </c>
      <c r="M868" s="1">
        <f t="shared" si="88"/>
        <v>117</v>
      </c>
      <c r="N868" s="38">
        <f>+M868*'Failure Data'!F$3</f>
        <v>3.0225</v>
      </c>
    </row>
    <row r="869" spans="1:14" x14ac:dyDescent="0.15">
      <c r="A869" s="1">
        <v>860</v>
      </c>
      <c r="B869" s="3">
        <f t="shared" si="83"/>
        <v>218.94692242135685</v>
      </c>
      <c r="C869" s="8"/>
      <c r="D869" s="3">
        <f t="shared" si="84"/>
        <v>212.60707241847226</v>
      </c>
      <c r="F869" s="3">
        <f t="shared" si="85"/>
        <v>-118.94692242135685</v>
      </c>
      <c r="G869" s="3">
        <f t="shared" si="86"/>
        <v>6.3398500028845888</v>
      </c>
      <c r="H869" s="3">
        <f t="shared" si="87"/>
        <v>212.60707241847226</v>
      </c>
      <c r="M869" s="1">
        <f t="shared" si="88"/>
        <v>118</v>
      </c>
      <c r="N869" s="38">
        <f>+M869*'Failure Data'!F$3</f>
        <v>3.0483333333333333</v>
      </c>
    </row>
    <row r="870" spans="1:14" x14ac:dyDescent="0.15">
      <c r="A870" s="1">
        <v>861</v>
      </c>
      <c r="B870" s="3">
        <f t="shared" si="83"/>
        <v>219.19782590672884</v>
      </c>
      <c r="C870" s="8"/>
      <c r="D870" s="3">
        <f t="shared" si="84"/>
        <v>212.85797590384425</v>
      </c>
      <c r="F870" s="3">
        <f t="shared" si="85"/>
        <v>-119.19782590672884</v>
      </c>
      <c r="G870" s="3">
        <f t="shared" si="86"/>
        <v>6.3398500028845888</v>
      </c>
      <c r="H870" s="3">
        <f t="shared" si="87"/>
        <v>212.85797590384425</v>
      </c>
      <c r="M870" s="1">
        <f t="shared" si="88"/>
        <v>119</v>
      </c>
      <c r="N870" s="38">
        <f>+M870*'Failure Data'!F$3</f>
        <v>3.0741666666666667</v>
      </c>
    </row>
    <row r="871" spans="1:14" x14ac:dyDescent="0.15">
      <c r="A871" s="1">
        <v>862</v>
      </c>
      <c r="B871" s="3">
        <f t="shared" si="83"/>
        <v>219.44872939210083</v>
      </c>
      <c r="C871" s="8"/>
      <c r="D871" s="3">
        <f t="shared" si="84"/>
        <v>213.10887938921624</v>
      </c>
      <c r="F871" s="3">
        <f t="shared" si="85"/>
        <v>-119.44872939210083</v>
      </c>
      <c r="G871" s="3">
        <f t="shared" si="86"/>
        <v>6.3398500028845888</v>
      </c>
      <c r="H871" s="3">
        <f t="shared" si="87"/>
        <v>213.10887938921624</v>
      </c>
      <c r="M871" s="1">
        <f t="shared" si="88"/>
        <v>120</v>
      </c>
      <c r="N871" s="38">
        <f>+M871*'Failure Data'!F$3</f>
        <v>3.1</v>
      </c>
    </row>
    <row r="872" spans="1:14" x14ac:dyDescent="0.15">
      <c r="A872" s="1">
        <v>863</v>
      </c>
      <c r="B872" s="3">
        <f t="shared" si="83"/>
        <v>219.69963287747282</v>
      </c>
      <c r="C872" s="8"/>
      <c r="D872" s="3">
        <f t="shared" si="84"/>
        <v>213.35978287458823</v>
      </c>
      <c r="F872" s="3">
        <f t="shared" si="85"/>
        <v>-119.69963287747282</v>
      </c>
      <c r="G872" s="3">
        <f t="shared" si="86"/>
        <v>6.3398500028845888</v>
      </c>
      <c r="H872" s="3">
        <f t="shared" si="87"/>
        <v>213.35978287458823</v>
      </c>
      <c r="M872" s="1">
        <f t="shared" si="88"/>
        <v>121</v>
      </c>
      <c r="N872" s="38">
        <f>+M872*'Failure Data'!F$3</f>
        <v>3.1258333333333335</v>
      </c>
    </row>
    <row r="873" spans="1:14" x14ac:dyDescent="0.15">
      <c r="A873" s="1">
        <v>864</v>
      </c>
      <c r="B873" s="3">
        <f t="shared" si="83"/>
        <v>219.95053636284482</v>
      </c>
      <c r="C873" s="8"/>
      <c r="D873" s="3">
        <f t="shared" si="84"/>
        <v>213.61068635996023</v>
      </c>
      <c r="F873" s="3">
        <f t="shared" si="85"/>
        <v>-119.95053636284482</v>
      </c>
      <c r="G873" s="3">
        <f t="shared" si="86"/>
        <v>6.3398500028845888</v>
      </c>
      <c r="H873" s="3">
        <f t="shared" si="87"/>
        <v>213.61068635996023</v>
      </c>
      <c r="M873" s="1">
        <f t="shared" si="88"/>
        <v>122</v>
      </c>
      <c r="N873" s="38">
        <f>+M873*'Failure Data'!F$3</f>
        <v>3.1516666666666668</v>
      </c>
    </row>
    <row r="874" spans="1:14" x14ac:dyDescent="0.15">
      <c r="A874" s="1">
        <v>865</v>
      </c>
      <c r="B874" s="3">
        <f t="shared" si="83"/>
        <v>220.20143984821681</v>
      </c>
      <c r="C874" s="8"/>
      <c r="D874" s="3">
        <f t="shared" si="84"/>
        <v>213.86158984533222</v>
      </c>
      <c r="F874" s="3">
        <f t="shared" si="85"/>
        <v>-120.20143984821681</v>
      </c>
      <c r="G874" s="3">
        <f t="shared" si="86"/>
        <v>6.3398500028845888</v>
      </c>
      <c r="H874" s="3">
        <f t="shared" si="87"/>
        <v>213.86158984533222</v>
      </c>
      <c r="M874" s="1">
        <f t="shared" si="88"/>
        <v>123</v>
      </c>
      <c r="N874" s="38">
        <f>+M874*'Failure Data'!F$3</f>
        <v>3.1774999999999998</v>
      </c>
    </row>
    <row r="875" spans="1:14" x14ac:dyDescent="0.15">
      <c r="A875" s="1">
        <v>866</v>
      </c>
      <c r="B875" s="3">
        <f t="shared" si="83"/>
        <v>220.45234333358883</v>
      </c>
      <c r="C875" s="8"/>
      <c r="D875" s="3">
        <f t="shared" si="84"/>
        <v>214.11249333070421</v>
      </c>
      <c r="F875" s="3">
        <f t="shared" si="85"/>
        <v>-120.45234333358883</v>
      </c>
      <c r="G875" s="3">
        <f t="shared" si="86"/>
        <v>6.3398500028846172</v>
      </c>
      <c r="H875" s="3">
        <f t="shared" si="87"/>
        <v>214.11249333070421</v>
      </c>
      <c r="M875" s="1">
        <f t="shared" si="88"/>
        <v>124</v>
      </c>
      <c r="N875" s="38">
        <f>+M875*'Failure Data'!F$3</f>
        <v>3.2033333333333331</v>
      </c>
    </row>
    <row r="876" spans="1:14" x14ac:dyDescent="0.15">
      <c r="A876" s="1">
        <v>867</v>
      </c>
      <c r="B876" s="3">
        <f t="shared" si="83"/>
        <v>220.70324681896082</v>
      </c>
      <c r="C876" s="8"/>
      <c r="D876" s="3">
        <f t="shared" si="84"/>
        <v>214.3633968160762</v>
      </c>
      <c r="F876" s="3">
        <f t="shared" si="85"/>
        <v>-120.70324681896082</v>
      </c>
      <c r="G876" s="3">
        <f t="shared" si="86"/>
        <v>6.3398500028846172</v>
      </c>
      <c r="H876" s="3">
        <f t="shared" si="87"/>
        <v>214.3633968160762</v>
      </c>
      <c r="M876" s="1">
        <f t="shared" si="88"/>
        <v>125</v>
      </c>
      <c r="N876" s="38">
        <f>+M876*'Failure Data'!F$3</f>
        <v>3.2291666666666665</v>
      </c>
    </row>
    <row r="877" spans="1:14" x14ac:dyDescent="0.15">
      <c r="A877" s="1">
        <v>868</v>
      </c>
      <c r="B877" s="3">
        <f t="shared" si="83"/>
        <v>220.95415030433281</v>
      </c>
      <c r="C877" s="8"/>
      <c r="D877" s="3">
        <f t="shared" si="84"/>
        <v>214.6143003014482</v>
      </c>
      <c r="F877" s="3">
        <f t="shared" si="85"/>
        <v>-120.95415030433281</v>
      </c>
      <c r="G877" s="3">
        <f t="shared" si="86"/>
        <v>6.3398500028846172</v>
      </c>
      <c r="H877" s="3">
        <f t="shared" si="87"/>
        <v>214.6143003014482</v>
      </c>
      <c r="M877" s="1">
        <f t="shared" si="88"/>
        <v>126</v>
      </c>
      <c r="N877" s="38">
        <f>+M877*'Failure Data'!F$3</f>
        <v>3.2549999999999999</v>
      </c>
    </row>
    <row r="878" spans="1:14" x14ac:dyDescent="0.15">
      <c r="A878" s="1">
        <v>869</v>
      </c>
      <c r="B878" s="3">
        <f t="shared" ref="B878:B941" si="89">+(B$4*A878)+B$5</f>
        <v>221.20505378970481</v>
      </c>
      <c r="C878" s="8"/>
      <c r="D878" s="3">
        <f t="shared" ref="D878:D941" si="90">+(D$4*A878)+D$5</f>
        <v>214.86520378682019</v>
      </c>
      <c r="F878" s="3">
        <f t="shared" ref="F878:F941" si="91">+xmax-B878</f>
        <v>-121.20505378970481</v>
      </c>
      <c r="G878" s="3">
        <f t="shared" ref="G878:G941" si="92">+B878-D878</f>
        <v>6.3398500028846172</v>
      </c>
      <c r="H878" s="3">
        <f t="shared" ref="H878:H941" si="93">D878</f>
        <v>214.86520378682019</v>
      </c>
      <c r="M878" s="1">
        <f t="shared" si="88"/>
        <v>127</v>
      </c>
      <c r="N878" s="38">
        <f>+M878*'Failure Data'!F$3</f>
        <v>3.2808333333333333</v>
      </c>
    </row>
    <row r="879" spans="1:14" x14ac:dyDescent="0.15">
      <c r="A879" s="1">
        <v>870</v>
      </c>
      <c r="B879" s="3">
        <f t="shared" si="89"/>
        <v>221.4559572750768</v>
      </c>
      <c r="C879" s="8"/>
      <c r="D879" s="3">
        <f t="shared" si="90"/>
        <v>215.11610727219218</v>
      </c>
      <c r="F879" s="3">
        <f t="shared" si="91"/>
        <v>-121.4559572750768</v>
      </c>
      <c r="G879" s="3">
        <f t="shared" si="92"/>
        <v>6.3398500028846172</v>
      </c>
      <c r="H879" s="3">
        <f t="shared" si="93"/>
        <v>215.11610727219218</v>
      </c>
      <c r="M879" s="1">
        <f t="shared" si="88"/>
        <v>128</v>
      </c>
      <c r="N879" s="38">
        <f>+M879*'Failure Data'!F$3</f>
        <v>3.3066666666666666</v>
      </c>
    </row>
    <row r="880" spans="1:14" x14ac:dyDescent="0.15">
      <c r="A880" s="1">
        <v>871</v>
      </c>
      <c r="B880" s="3">
        <f t="shared" si="89"/>
        <v>221.70686076044879</v>
      </c>
      <c r="C880" s="8"/>
      <c r="D880" s="3">
        <f t="shared" si="90"/>
        <v>215.36701075756417</v>
      </c>
      <c r="F880" s="3">
        <f t="shared" si="91"/>
        <v>-121.70686076044879</v>
      </c>
      <c r="G880" s="3">
        <f t="shared" si="92"/>
        <v>6.3398500028846172</v>
      </c>
      <c r="H880" s="3">
        <f t="shared" si="93"/>
        <v>215.36701075756417</v>
      </c>
      <c r="M880" s="1">
        <f t="shared" si="88"/>
        <v>129</v>
      </c>
      <c r="N880" s="38">
        <f>+M880*'Failure Data'!F$3</f>
        <v>3.3325</v>
      </c>
    </row>
    <row r="881" spans="1:14" x14ac:dyDescent="0.15">
      <c r="A881" s="1">
        <v>872</v>
      </c>
      <c r="B881" s="3">
        <f t="shared" si="89"/>
        <v>221.95776424582078</v>
      </c>
      <c r="C881" s="8"/>
      <c r="D881" s="3">
        <f t="shared" si="90"/>
        <v>215.61791424293617</v>
      </c>
      <c r="F881" s="3">
        <f t="shared" si="91"/>
        <v>-121.95776424582078</v>
      </c>
      <c r="G881" s="3">
        <f t="shared" si="92"/>
        <v>6.3398500028846172</v>
      </c>
      <c r="H881" s="3">
        <f t="shared" si="93"/>
        <v>215.61791424293617</v>
      </c>
      <c r="M881" s="1">
        <f t="shared" si="88"/>
        <v>130</v>
      </c>
      <c r="N881" s="38">
        <f>+M881*'Failure Data'!F$3</f>
        <v>3.3583333333333334</v>
      </c>
    </row>
    <row r="882" spans="1:14" x14ac:dyDescent="0.15">
      <c r="A882" s="1">
        <v>873</v>
      </c>
      <c r="B882" s="3">
        <f t="shared" si="89"/>
        <v>222.20866773119278</v>
      </c>
      <c r="C882" s="8"/>
      <c r="D882" s="3">
        <f t="shared" si="90"/>
        <v>215.86881772830819</v>
      </c>
      <c r="F882" s="3">
        <f t="shared" si="91"/>
        <v>-122.20866773119278</v>
      </c>
      <c r="G882" s="3">
        <f t="shared" si="92"/>
        <v>6.3398500028845888</v>
      </c>
      <c r="H882" s="3">
        <f t="shared" si="93"/>
        <v>215.86881772830819</v>
      </c>
      <c r="M882" s="1">
        <f t="shared" si="88"/>
        <v>131</v>
      </c>
      <c r="N882" s="38">
        <f>+M882*'Failure Data'!F$3</f>
        <v>3.3841666666666668</v>
      </c>
    </row>
    <row r="883" spans="1:14" x14ac:dyDescent="0.15">
      <c r="A883" s="1">
        <v>874</v>
      </c>
      <c r="B883" s="3">
        <f t="shared" si="89"/>
        <v>222.45957121656477</v>
      </c>
      <c r="C883" s="8"/>
      <c r="D883" s="3">
        <f t="shared" si="90"/>
        <v>216.11972121368018</v>
      </c>
      <c r="F883" s="3">
        <f t="shared" si="91"/>
        <v>-122.45957121656477</v>
      </c>
      <c r="G883" s="3">
        <f t="shared" si="92"/>
        <v>6.3398500028845888</v>
      </c>
      <c r="H883" s="3">
        <f t="shared" si="93"/>
        <v>216.11972121368018</v>
      </c>
      <c r="M883" s="1">
        <f t="shared" si="88"/>
        <v>132</v>
      </c>
      <c r="N883" s="38">
        <f>+M883*'Failure Data'!F$3</f>
        <v>3.41</v>
      </c>
    </row>
    <row r="884" spans="1:14" x14ac:dyDescent="0.15">
      <c r="A884" s="1">
        <v>875</v>
      </c>
      <c r="B884" s="3">
        <f t="shared" si="89"/>
        <v>222.71047470193676</v>
      </c>
      <c r="C884" s="8"/>
      <c r="D884" s="3">
        <f t="shared" si="90"/>
        <v>216.37062469905217</v>
      </c>
      <c r="F884" s="3">
        <f t="shared" si="91"/>
        <v>-122.71047470193676</v>
      </c>
      <c r="G884" s="3">
        <f t="shared" si="92"/>
        <v>6.3398500028845888</v>
      </c>
      <c r="H884" s="3">
        <f t="shared" si="93"/>
        <v>216.37062469905217</v>
      </c>
      <c r="M884" s="1">
        <f t="shared" si="88"/>
        <v>133</v>
      </c>
      <c r="N884" s="38">
        <f>+M884*'Failure Data'!F$3</f>
        <v>3.4358333333333335</v>
      </c>
    </row>
    <row r="885" spans="1:14" x14ac:dyDescent="0.15">
      <c r="A885" s="1">
        <v>876</v>
      </c>
      <c r="B885" s="3">
        <f t="shared" si="89"/>
        <v>222.96137818730875</v>
      </c>
      <c r="C885" s="8"/>
      <c r="D885" s="3">
        <f t="shared" si="90"/>
        <v>216.62152818442416</v>
      </c>
      <c r="F885" s="3">
        <f t="shared" si="91"/>
        <v>-122.96137818730875</v>
      </c>
      <c r="G885" s="3">
        <f t="shared" si="92"/>
        <v>6.3398500028845888</v>
      </c>
      <c r="H885" s="3">
        <f t="shared" si="93"/>
        <v>216.62152818442416</v>
      </c>
      <c r="M885" s="1">
        <f t="shared" si="88"/>
        <v>134</v>
      </c>
      <c r="N885" s="38">
        <f>+M885*'Failure Data'!F$3</f>
        <v>3.4616666666666664</v>
      </c>
    </row>
    <row r="886" spans="1:14" x14ac:dyDescent="0.15">
      <c r="A886" s="1">
        <v>877</v>
      </c>
      <c r="B886" s="3">
        <f t="shared" si="89"/>
        <v>223.21228167268075</v>
      </c>
      <c r="C886" s="8"/>
      <c r="D886" s="3">
        <f t="shared" si="90"/>
        <v>216.87243166979616</v>
      </c>
      <c r="F886" s="3">
        <f t="shared" si="91"/>
        <v>-123.21228167268075</v>
      </c>
      <c r="G886" s="3">
        <f t="shared" si="92"/>
        <v>6.3398500028845888</v>
      </c>
      <c r="H886" s="3">
        <f t="shared" si="93"/>
        <v>216.87243166979616</v>
      </c>
      <c r="M886" s="1">
        <f t="shared" si="88"/>
        <v>135</v>
      </c>
      <c r="N886" s="38">
        <f>+M886*'Failure Data'!F$3</f>
        <v>3.4874999999999998</v>
      </c>
    </row>
    <row r="887" spans="1:14" x14ac:dyDescent="0.15">
      <c r="A887" s="1">
        <v>878</v>
      </c>
      <c r="B887" s="3">
        <f t="shared" si="89"/>
        <v>223.46318515805274</v>
      </c>
      <c r="C887" s="8"/>
      <c r="D887" s="3">
        <f t="shared" si="90"/>
        <v>217.12333515516815</v>
      </c>
      <c r="F887" s="3">
        <f t="shared" si="91"/>
        <v>-123.46318515805274</v>
      </c>
      <c r="G887" s="3">
        <f t="shared" si="92"/>
        <v>6.3398500028845888</v>
      </c>
      <c r="H887" s="3">
        <f t="shared" si="93"/>
        <v>217.12333515516815</v>
      </c>
      <c r="M887" s="1">
        <f t="shared" si="88"/>
        <v>136</v>
      </c>
      <c r="N887" s="38">
        <f>+M887*'Failure Data'!F$3</f>
        <v>3.5133333333333332</v>
      </c>
    </row>
    <row r="888" spans="1:14" x14ac:dyDescent="0.15">
      <c r="A888" s="1">
        <v>879</v>
      </c>
      <c r="B888" s="3">
        <f t="shared" si="89"/>
        <v>223.71408864342473</v>
      </c>
      <c r="C888" s="8"/>
      <c r="D888" s="3">
        <f t="shared" si="90"/>
        <v>217.37423864054014</v>
      </c>
      <c r="F888" s="3">
        <f t="shared" si="91"/>
        <v>-123.71408864342473</v>
      </c>
      <c r="G888" s="3">
        <f t="shared" si="92"/>
        <v>6.3398500028845888</v>
      </c>
      <c r="H888" s="3">
        <f t="shared" si="93"/>
        <v>217.37423864054014</v>
      </c>
      <c r="M888" s="1">
        <f t="shared" si="88"/>
        <v>137</v>
      </c>
      <c r="N888" s="38">
        <f>+M888*'Failure Data'!F$3</f>
        <v>3.5391666666666666</v>
      </c>
    </row>
    <row r="889" spans="1:14" x14ac:dyDescent="0.15">
      <c r="A889" s="1">
        <v>880</v>
      </c>
      <c r="B889" s="3">
        <f t="shared" si="89"/>
        <v>223.96499212879672</v>
      </c>
      <c r="C889" s="8"/>
      <c r="D889" s="3">
        <f t="shared" si="90"/>
        <v>217.62514212591213</v>
      </c>
      <c r="F889" s="3">
        <f t="shared" si="91"/>
        <v>-123.96499212879672</v>
      </c>
      <c r="G889" s="3">
        <f t="shared" si="92"/>
        <v>6.3398500028845888</v>
      </c>
      <c r="H889" s="3">
        <f t="shared" si="93"/>
        <v>217.62514212591213</v>
      </c>
      <c r="M889" s="1">
        <f t="shared" si="88"/>
        <v>138</v>
      </c>
      <c r="N889" s="38">
        <f>+M889*'Failure Data'!F$3</f>
        <v>3.5649999999999999</v>
      </c>
    </row>
    <row r="890" spans="1:14" x14ac:dyDescent="0.15">
      <c r="A890" s="1">
        <v>881</v>
      </c>
      <c r="B890" s="3">
        <f t="shared" si="89"/>
        <v>224.21589561416872</v>
      </c>
      <c r="C890" s="8"/>
      <c r="D890" s="3">
        <f t="shared" si="90"/>
        <v>217.87604561128413</v>
      </c>
      <c r="F890" s="3">
        <f t="shared" si="91"/>
        <v>-124.21589561416872</v>
      </c>
      <c r="G890" s="3">
        <f t="shared" si="92"/>
        <v>6.3398500028845888</v>
      </c>
      <c r="H890" s="3">
        <f t="shared" si="93"/>
        <v>217.87604561128413</v>
      </c>
      <c r="M890" s="1">
        <f t="shared" si="88"/>
        <v>139</v>
      </c>
      <c r="N890" s="38">
        <f>+M890*'Failure Data'!F$3</f>
        <v>3.5908333333333333</v>
      </c>
    </row>
    <row r="891" spans="1:14" x14ac:dyDescent="0.15">
      <c r="A891" s="1">
        <v>882</v>
      </c>
      <c r="B891" s="3">
        <f t="shared" si="89"/>
        <v>224.46679909954071</v>
      </c>
      <c r="C891" s="8"/>
      <c r="D891" s="3">
        <f t="shared" si="90"/>
        <v>218.12694909665612</v>
      </c>
      <c r="F891" s="3">
        <f t="shared" si="91"/>
        <v>-124.46679909954071</v>
      </c>
      <c r="G891" s="3">
        <f t="shared" si="92"/>
        <v>6.3398500028845888</v>
      </c>
      <c r="H891" s="3">
        <f t="shared" si="93"/>
        <v>218.12694909665612</v>
      </c>
      <c r="M891" s="1">
        <f t="shared" si="88"/>
        <v>140</v>
      </c>
      <c r="N891" s="38">
        <f>+M891*'Failure Data'!F$3</f>
        <v>3.6166666666666667</v>
      </c>
    </row>
    <row r="892" spans="1:14" x14ac:dyDescent="0.15">
      <c r="A892" s="1">
        <v>883</v>
      </c>
      <c r="B892" s="3">
        <f t="shared" si="89"/>
        <v>224.7177025849127</v>
      </c>
      <c r="C892" s="8"/>
      <c r="D892" s="3">
        <f t="shared" si="90"/>
        <v>218.37785258202811</v>
      </c>
      <c r="F892" s="3">
        <f t="shared" si="91"/>
        <v>-124.7177025849127</v>
      </c>
      <c r="G892" s="3">
        <f t="shared" si="92"/>
        <v>6.3398500028845888</v>
      </c>
      <c r="H892" s="3">
        <f t="shared" si="93"/>
        <v>218.37785258202811</v>
      </c>
      <c r="M892" s="1">
        <f t="shared" si="88"/>
        <v>141</v>
      </c>
      <c r="N892" s="38">
        <f>+M892*'Failure Data'!F$3</f>
        <v>3.6425000000000001</v>
      </c>
    </row>
    <row r="893" spans="1:14" x14ac:dyDescent="0.15">
      <c r="A893" s="1">
        <v>884</v>
      </c>
      <c r="B893" s="3">
        <f t="shared" si="89"/>
        <v>224.96860607028469</v>
      </c>
      <c r="C893" s="8"/>
      <c r="D893" s="3">
        <f t="shared" si="90"/>
        <v>218.6287560674001</v>
      </c>
      <c r="F893" s="3">
        <f t="shared" si="91"/>
        <v>-124.96860607028469</v>
      </c>
      <c r="G893" s="3">
        <f t="shared" si="92"/>
        <v>6.3398500028845888</v>
      </c>
      <c r="H893" s="3">
        <f t="shared" si="93"/>
        <v>218.6287560674001</v>
      </c>
      <c r="M893" s="1">
        <f t="shared" si="88"/>
        <v>142</v>
      </c>
      <c r="N893" s="38">
        <f>+M893*'Failure Data'!F$3</f>
        <v>3.6683333333333334</v>
      </c>
    </row>
    <row r="894" spans="1:14" x14ac:dyDescent="0.15">
      <c r="A894" s="1">
        <v>885</v>
      </c>
      <c r="B894" s="3">
        <f t="shared" si="89"/>
        <v>225.21950955565669</v>
      </c>
      <c r="C894" s="8"/>
      <c r="D894" s="3">
        <f t="shared" si="90"/>
        <v>218.8796595527721</v>
      </c>
      <c r="F894" s="3">
        <f t="shared" si="91"/>
        <v>-125.21950955565669</v>
      </c>
      <c r="G894" s="3">
        <f t="shared" si="92"/>
        <v>6.3398500028845888</v>
      </c>
      <c r="H894" s="3">
        <f t="shared" si="93"/>
        <v>218.8796595527721</v>
      </c>
      <c r="M894" s="1">
        <f t="shared" si="88"/>
        <v>143</v>
      </c>
      <c r="N894" s="38">
        <f>+M894*'Failure Data'!F$3</f>
        <v>3.6941666666666668</v>
      </c>
    </row>
    <row r="895" spans="1:14" x14ac:dyDescent="0.15">
      <c r="A895" s="1">
        <v>886</v>
      </c>
      <c r="B895" s="3">
        <f t="shared" si="89"/>
        <v>225.47041304102868</v>
      </c>
      <c r="C895" s="8"/>
      <c r="D895" s="3">
        <f t="shared" si="90"/>
        <v>219.13056303814409</v>
      </c>
      <c r="F895" s="3">
        <f t="shared" si="91"/>
        <v>-125.47041304102868</v>
      </c>
      <c r="G895" s="3">
        <f t="shared" si="92"/>
        <v>6.3398500028845888</v>
      </c>
      <c r="H895" s="3">
        <f t="shared" si="93"/>
        <v>219.13056303814409</v>
      </c>
      <c r="M895" s="1">
        <f t="shared" si="88"/>
        <v>144</v>
      </c>
      <c r="N895" s="38">
        <f>+M895*'Failure Data'!F$3</f>
        <v>3.7199999999999998</v>
      </c>
    </row>
    <row r="896" spans="1:14" x14ac:dyDescent="0.15">
      <c r="A896" s="1">
        <v>887</v>
      </c>
      <c r="B896" s="3">
        <f t="shared" si="89"/>
        <v>225.72131652640067</v>
      </c>
      <c r="C896" s="8"/>
      <c r="D896" s="3">
        <f t="shared" si="90"/>
        <v>219.38146652351608</v>
      </c>
      <c r="F896" s="3">
        <f t="shared" si="91"/>
        <v>-125.72131652640067</v>
      </c>
      <c r="G896" s="3">
        <f t="shared" si="92"/>
        <v>6.3398500028845888</v>
      </c>
      <c r="H896" s="3">
        <f t="shared" si="93"/>
        <v>219.38146652351608</v>
      </c>
      <c r="M896" s="1">
        <f t="shared" si="88"/>
        <v>145</v>
      </c>
      <c r="N896" s="38">
        <f>+M896*'Failure Data'!F$3</f>
        <v>3.7458333333333331</v>
      </c>
    </row>
    <row r="897" spans="1:14" x14ac:dyDescent="0.15">
      <c r="A897" s="1">
        <v>888</v>
      </c>
      <c r="B897" s="3">
        <f t="shared" si="89"/>
        <v>225.97222001177266</v>
      </c>
      <c r="C897" s="8"/>
      <c r="D897" s="3">
        <f t="shared" si="90"/>
        <v>219.63237000888807</v>
      </c>
      <c r="F897" s="3">
        <f t="shared" si="91"/>
        <v>-125.97222001177266</v>
      </c>
      <c r="G897" s="3">
        <f t="shared" si="92"/>
        <v>6.3398500028845888</v>
      </c>
      <c r="H897" s="3">
        <f t="shared" si="93"/>
        <v>219.63237000888807</v>
      </c>
      <c r="M897" s="1">
        <f t="shared" ref="M897:M960" si="94">M896+1</f>
        <v>146</v>
      </c>
      <c r="N897" s="38">
        <f>+M897*'Failure Data'!F$3</f>
        <v>3.7716666666666665</v>
      </c>
    </row>
    <row r="898" spans="1:14" x14ac:dyDescent="0.15">
      <c r="A898" s="1">
        <v>889</v>
      </c>
      <c r="B898" s="3">
        <f t="shared" si="89"/>
        <v>226.22312349714466</v>
      </c>
      <c r="C898" s="8"/>
      <c r="D898" s="3">
        <f t="shared" si="90"/>
        <v>219.88327349426007</v>
      </c>
      <c r="F898" s="3">
        <f t="shared" si="91"/>
        <v>-126.22312349714466</v>
      </c>
      <c r="G898" s="3">
        <f t="shared" si="92"/>
        <v>6.3398500028845888</v>
      </c>
      <c r="H898" s="3">
        <f t="shared" si="93"/>
        <v>219.88327349426007</v>
      </c>
      <c r="M898" s="1">
        <f t="shared" si="94"/>
        <v>147</v>
      </c>
      <c r="N898" s="38">
        <f>+M898*'Failure Data'!F$3</f>
        <v>3.7974999999999999</v>
      </c>
    </row>
    <row r="899" spans="1:14" x14ac:dyDescent="0.15">
      <c r="A899" s="1">
        <v>890</v>
      </c>
      <c r="B899" s="3">
        <f t="shared" si="89"/>
        <v>226.47402698251668</v>
      </c>
      <c r="C899" s="8"/>
      <c r="D899" s="3">
        <f t="shared" si="90"/>
        <v>220.13417697963206</v>
      </c>
      <c r="F899" s="3">
        <f t="shared" si="91"/>
        <v>-126.47402698251668</v>
      </c>
      <c r="G899" s="3">
        <f t="shared" si="92"/>
        <v>6.3398500028846172</v>
      </c>
      <c r="H899" s="3">
        <f t="shared" si="93"/>
        <v>220.13417697963206</v>
      </c>
      <c r="M899" s="1">
        <f t="shared" si="94"/>
        <v>148</v>
      </c>
      <c r="N899" s="38">
        <f>+M899*'Failure Data'!F$3</f>
        <v>3.8233333333333333</v>
      </c>
    </row>
    <row r="900" spans="1:14" x14ac:dyDescent="0.15">
      <c r="A900" s="1">
        <v>891</v>
      </c>
      <c r="B900" s="3">
        <f t="shared" si="89"/>
        <v>226.72493046788867</v>
      </c>
      <c r="C900" s="8"/>
      <c r="D900" s="3">
        <f t="shared" si="90"/>
        <v>220.38508046500405</v>
      </c>
      <c r="F900" s="3">
        <f t="shared" si="91"/>
        <v>-126.72493046788867</v>
      </c>
      <c r="G900" s="3">
        <f t="shared" si="92"/>
        <v>6.3398500028846172</v>
      </c>
      <c r="H900" s="3">
        <f t="shared" si="93"/>
        <v>220.38508046500405</v>
      </c>
      <c r="M900" s="1">
        <f t="shared" si="94"/>
        <v>149</v>
      </c>
      <c r="N900" s="38">
        <f>+M900*'Failure Data'!F$3</f>
        <v>3.8491666666666666</v>
      </c>
    </row>
    <row r="901" spans="1:14" x14ac:dyDescent="0.15">
      <c r="A901" s="1">
        <v>892</v>
      </c>
      <c r="B901" s="3">
        <f t="shared" si="89"/>
        <v>226.97583395326066</v>
      </c>
      <c r="C901" s="8"/>
      <c r="D901" s="3">
        <f t="shared" si="90"/>
        <v>220.63598395037604</v>
      </c>
      <c r="F901" s="3">
        <f t="shared" si="91"/>
        <v>-126.97583395326066</v>
      </c>
      <c r="G901" s="3">
        <f t="shared" si="92"/>
        <v>6.3398500028846172</v>
      </c>
      <c r="H901" s="3">
        <f t="shared" si="93"/>
        <v>220.63598395037604</v>
      </c>
      <c r="M901" s="1">
        <f t="shared" si="94"/>
        <v>150</v>
      </c>
      <c r="N901" s="38">
        <f>+M901*'Failure Data'!F$3</f>
        <v>3.875</v>
      </c>
    </row>
    <row r="902" spans="1:14" x14ac:dyDescent="0.15">
      <c r="A902" s="1">
        <v>893</v>
      </c>
      <c r="B902" s="3">
        <f t="shared" si="89"/>
        <v>227.22673743863265</v>
      </c>
      <c r="C902" s="8"/>
      <c r="D902" s="3">
        <f t="shared" si="90"/>
        <v>220.88688743574804</v>
      </c>
      <c r="F902" s="3">
        <f t="shared" si="91"/>
        <v>-127.22673743863265</v>
      </c>
      <c r="G902" s="3">
        <f t="shared" si="92"/>
        <v>6.3398500028846172</v>
      </c>
      <c r="H902" s="3">
        <f t="shared" si="93"/>
        <v>220.88688743574804</v>
      </c>
      <c r="M902" s="1">
        <f t="shared" si="94"/>
        <v>151</v>
      </c>
      <c r="N902" s="38">
        <f>+M902*'Failure Data'!F$3</f>
        <v>3.9008333333333334</v>
      </c>
    </row>
    <row r="903" spans="1:14" x14ac:dyDescent="0.15">
      <c r="A903" s="1">
        <v>894</v>
      </c>
      <c r="B903" s="3">
        <f t="shared" si="89"/>
        <v>227.47764092400465</v>
      </c>
      <c r="C903" s="8"/>
      <c r="D903" s="3">
        <f t="shared" si="90"/>
        <v>221.13779092112003</v>
      </c>
      <c r="F903" s="3">
        <f t="shared" si="91"/>
        <v>-127.47764092400465</v>
      </c>
      <c r="G903" s="3">
        <f t="shared" si="92"/>
        <v>6.3398500028846172</v>
      </c>
      <c r="H903" s="3">
        <f t="shared" si="93"/>
        <v>221.13779092112003</v>
      </c>
      <c r="M903" s="1">
        <f t="shared" si="94"/>
        <v>152</v>
      </c>
      <c r="N903" s="38">
        <f>+M903*'Failure Data'!F$3</f>
        <v>3.9266666666666667</v>
      </c>
    </row>
    <row r="904" spans="1:14" x14ac:dyDescent="0.15">
      <c r="A904" s="1">
        <v>895</v>
      </c>
      <c r="B904" s="3">
        <f t="shared" si="89"/>
        <v>227.72854440937664</v>
      </c>
      <c r="C904" s="8"/>
      <c r="D904" s="3">
        <f t="shared" si="90"/>
        <v>221.38869440649202</v>
      </c>
      <c r="F904" s="3">
        <f t="shared" si="91"/>
        <v>-127.72854440937664</v>
      </c>
      <c r="G904" s="3">
        <f t="shared" si="92"/>
        <v>6.3398500028846172</v>
      </c>
      <c r="H904" s="3">
        <f t="shared" si="93"/>
        <v>221.38869440649202</v>
      </c>
      <c r="M904" s="1">
        <f t="shared" si="94"/>
        <v>153</v>
      </c>
      <c r="N904" s="38">
        <f>+M904*'Failure Data'!F$3</f>
        <v>3.9525000000000001</v>
      </c>
    </row>
    <row r="905" spans="1:14" x14ac:dyDescent="0.15">
      <c r="A905" s="1">
        <v>896</v>
      </c>
      <c r="B905" s="3">
        <f t="shared" si="89"/>
        <v>227.97944789474863</v>
      </c>
      <c r="C905" s="8"/>
      <c r="D905" s="3">
        <f t="shared" si="90"/>
        <v>221.63959789186401</v>
      </c>
      <c r="F905" s="3">
        <f t="shared" si="91"/>
        <v>-127.97944789474863</v>
      </c>
      <c r="G905" s="3">
        <f t="shared" si="92"/>
        <v>6.3398500028846172</v>
      </c>
      <c r="H905" s="3">
        <f t="shared" si="93"/>
        <v>221.63959789186401</v>
      </c>
      <c r="M905" s="1">
        <f t="shared" si="94"/>
        <v>154</v>
      </c>
      <c r="N905" s="38">
        <f>+M905*'Failure Data'!F$3</f>
        <v>3.9783333333333335</v>
      </c>
    </row>
    <row r="906" spans="1:14" x14ac:dyDescent="0.15">
      <c r="A906" s="1">
        <v>897</v>
      </c>
      <c r="B906" s="3">
        <f t="shared" si="89"/>
        <v>228.23035138012062</v>
      </c>
      <c r="C906" s="8"/>
      <c r="D906" s="3">
        <f t="shared" si="90"/>
        <v>221.89050137723603</v>
      </c>
      <c r="F906" s="3">
        <f t="shared" si="91"/>
        <v>-128.23035138012062</v>
      </c>
      <c r="G906" s="3">
        <f t="shared" si="92"/>
        <v>6.3398500028845888</v>
      </c>
      <c r="H906" s="3">
        <f t="shared" si="93"/>
        <v>221.89050137723603</v>
      </c>
      <c r="M906" s="1">
        <f t="shared" si="94"/>
        <v>155</v>
      </c>
      <c r="N906" s="38">
        <f>+M906*'Failure Data'!F$3</f>
        <v>4.0041666666666664</v>
      </c>
    </row>
    <row r="907" spans="1:14" x14ac:dyDescent="0.15">
      <c r="A907" s="1">
        <v>898</v>
      </c>
      <c r="B907" s="3">
        <f t="shared" si="89"/>
        <v>228.48125486549262</v>
      </c>
      <c r="C907" s="8"/>
      <c r="D907" s="3">
        <f t="shared" si="90"/>
        <v>222.14140486260803</v>
      </c>
      <c r="F907" s="3">
        <f t="shared" si="91"/>
        <v>-128.48125486549262</v>
      </c>
      <c r="G907" s="3">
        <f t="shared" si="92"/>
        <v>6.3398500028845888</v>
      </c>
      <c r="H907" s="3">
        <f t="shared" si="93"/>
        <v>222.14140486260803</v>
      </c>
      <c r="M907" s="1">
        <f t="shared" si="94"/>
        <v>156</v>
      </c>
      <c r="N907" s="38">
        <f>+M907*'Failure Data'!F$3</f>
        <v>4.03</v>
      </c>
    </row>
    <row r="908" spans="1:14" x14ac:dyDescent="0.15">
      <c r="A908" s="1">
        <v>899</v>
      </c>
      <c r="B908" s="3">
        <f t="shared" si="89"/>
        <v>228.73215835086461</v>
      </c>
      <c r="C908" s="8"/>
      <c r="D908" s="3">
        <f t="shared" si="90"/>
        <v>222.39230834798002</v>
      </c>
      <c r="F908" s="3">
        <f t="shared" si="91"/>
        <v>-128.73215835086461</v>
      </c>
      <c r="G908" s="3">
        <f t="shared" si="92"/>
        <v>6.3398500028845888</v>
      </c>
      <c r="H908" s="3">
        <f t="shared" si="93"/>
        <v>222.39230834798002</v>
      </c>
      <c r="M908" s="1">
        <f t="shared" si="94"/>
        <v>157</v>
      </c>
      <c r="N908" s="38">
        <f>+M908*'Failure Data'!F$3</f>
        <v>4.0558333333333332</v>
      </c>
    </row>
    <row r="909" spans="1:14" x14ac:dyDescent="0.15">
      <c r="A909" s="1">
        <v>900</v>
      </c>
      <c r="B909" s="3">
        <f t="shared" si="89"/>
        <v>228.9830618362366</v>
      </c>
      <c r="C909" s="8"/>
      <c r="D909" s="3">
        <f t="shared" si="90"/>
        <v>222.64321183335201</v>
      </c>
      <c r="F909" s="3">
        <f t="shared" si="91"/>
        <v>-128.9830618362366</v>
      </c>
      <c r="G909" s="3">
        <f t="shared" si="92"/>
        <v>6.3398500028845888</v>
      </c>
      <c r="H909" s="3">
        <f t="shared" si="93"/>
        <v>222.64321183335201</v>
      </c>
      <c r="M909" s="1">
        <f t="shared" si="94"/>
        <v>158</v>
      </c>
      <c r="N909" s="38">
        <f>+M909*'Failure Data'!F$3</f>
        <v>4.081666666666667</v>
      </c>
    </row>
    <row r="910" spans="1:14" x14ac:dyDescent="0.15">
      <c r="A910" s="1">
        <v>901</v>
      </c>
      <c r="B910" s="3">
        <f t="shared" si="89"/>
        <v>229.23396532160859</v>
      </c>
      <c r="C910" s="8"/>
      <c r="D910" s="3">
        <f t="shared" si="90"/>
        <v>222.894115318724</v>
      </c>
      <c r="F910" s="3">
        <f t="shared" si="91"/>
        <v>-129.23396532160859</v>
      </c>
      <c r="G910" s="3">
        <f t="shared" si="92"/>
        <v>6.3398500028845888</v>
      </c>
      <c r="H910" s="3">
        <f t="shared" si="93"/>
        <v>222.894115318724</v>
      </c>
      <c r="M910" s="1">
        <f t="shared" si="94"/>
        <v>159</v>
      </c>
      <c r="N910" s="38">
        <f>+M910*'Failure Data'!F$3</f>
        <v>4.1074999999999999</v>
      </c>
    </row>
    <row r="911" spans="1:14" x14ac:dyDescent="0.15">
      <c r="A911" s="1">
        <v>902</v>
      </c>
      <c r="B911" s="3">
        <f t="shared" si="89"/>
        <v>229.48486880698059</v>
      </c>
      <c r="C911" s="8"/>
      <c r="D911" s="3">
        <f t="shared" si="90"/>
        <v>223.145018804096</v>
      </c>
      <c r="F911" s="3">
        <f t="shared" si="91"/>
        <v>-129.48486880698059</v>
      </c>
      <c r="G911" s="3">
        <f t="shared" si="92"/>
        <v>6.3398500028845888</v>
      </c>
      <c r="H911" s="3">
        <f t="shared" si="93"/>
        <v>223.145018804096</v>
      </c>
      <c r="M911" s="1">
        <f t="shared" si="94"/>
        <v>160</v>
      </c>
      <c r="N911" s="38">
        <f>+M911*'Failure Data'!F$3</f>
        <v>4.1333333333333329</v>
      </c>
    </row>
    <row r="912" spans="1:14" x14ac:dyDescent="0.15">
      <c r="A912" s="1">
        <v>903</v>
      </c>
      <c r="B912" s="3">
        <f t="shared" si="89"/>
        <v>229.73577229235258</v>
      </c>
      <c r="C912" s="8"/>
      <c r="D912" s="3">
        <f t="shared" si="90"/>
        <v>223.39592228946799</v>
      </c>
      <c r="F912" s="3">
        <f t="shared" si="91"/>
        <v>-129.73577229235258</v>
      </c>
      <c r="G912" s="3">
        <f t="shared" si="92"/>
        <v>6.3398500028845888</v>
      </c>
      <c r="H912" s="3">
        <f t="shared" si="93"/>
        <v>223.39592228946799</v>
      </c>
      <c r="M912" s="1">
        <f t="shared" si="94"/>
        <v>161</v>
      </c>
      <c r="N912" s="38">
        <f>+M912*'Failure Data'!F$3</f>
        <v>4.1591666666666667</v>
      </c>
    </row>
    <row r="913" spans="1:14" x14ac:dyDescent="0.15">
      <c r="A913" s="1">
        <v>904</v>
      </c>
      <c r="B913" s="3">
        <f t="shared" si="89"/>
        <v>229.98667577772457</v>
      </c>
      <c r="C913" s="8"/>
      <c r="D913" s="3">
        <f t="shared" si="90"/>
        <v>223.64682577483998</v>
      </c>
      <c r="F913" s="3">
        <f t="shared" si="91"/>
        <v>-129.98667577772457</v>
      </c>
      <c r="G913" s="3">
        <f t="shared" si="92"/>
        <v>6.3398500028845888</v>
      </c>
      <c r="H913" s="3">
        <f t="shared" si="93"/>
        <v>223.64682577483998</v>
      </c>
      <c r="M913" s="1">
        <f t="shared" si="94"/>
        <v>162</v>
      </c>
      <c r="N913" s="38">
        <f>+M913*'Failure Data'!F$3</f>
        <v>4.1849999999999996</v>
      </c>
    </row>
    <row r="914" spans="1:14" x14ac:dyDescent="0.15">
      <c r="A914" s="1">
        <v>905</v>
      </c>
      <c r="B914" s="3">
        <f t="shared" si="89"/>
        <v>230.23757926309656</v>
      </c>
      <c r="C914" s="8"/>
      <c r="D914" s="3">
        <f t="shared" si="90"/>
        <v>223.89772926021197</v>
      </c>
      <c r="F914" s="3">
        <f t="shared" si="91"/>
        <v>-130.23757926309656</v>
      </c>
      <c r="G914" s="3">
        <f t="shared" si="92"/>
        <v>6.3398500028845888</v>
      </c>
      <c r="H914" s="3">
        <f t="shared" si="93"/>
        <v>223.89772926021197</v>
      </c>
      <c r="M914" s="1">
        <f t="shared" si="94"/>
        <v>163</v>
      </c>
      <c r="N914" s="38">
        <f>+M914*'Failure Data'!F$3</f>
        <v>4.2108333333333334</v>
      </c>
    </row>
    <row r="915" spans="1:14" x14ac:dyDescent="0.15">
      <c r="A915" s="1">
        <v>906</v>
      </c>
      <c r="B915" s="3">
        <f t="shared" si="89"/>
        <v>230.48848274846856</v>
      </c>
      <c r="C915" s="8"/>
      <c r="D915" s="3">
        <f t="shared" si="90"/>
        <v>224.14863274558397</v>
      </c>
      <c r="F915" s="3">
        <f t="shared" si="91"/>
        <v>-130.48848274846856</v>
      </c>
      <c r="G915" s="3">
        <f t="shared" si="92"/>
        <v>6.3398500028845888</v>
      </c>
      <c r="H915" s="3">
        <f t="shared" si="93"/>
        <v>224.14863274558397</v>
      </c>
      <c r="M915" s="1">
        <f t="shared" si="94"/>
        <v>164</v>
      </c>
      <c r="N915" s="38">
        <f>+M915*'Failure Data'!F$3</f>
        <v>4.2366666666666664</v>
      </c>
    </row>
    <row r="916" spans="1:14" x14ac:dyDescent="0.15">
      <c r="A916" s="1">
        <v>907</v>
      </c>
      <c r="B916" s="3">
        <f t="shared" si="89"/>
        <v>230.73938623384055</v>
      </c>
      <c r="C916" s="8"/>
      <c r="D916" s="3">
        <f t="shared" si="90"/>
        <v>224.39953623095596</v>
      </c>
      <c r="F916" s="3">
        <f t="shared" si="91"/>
        <v>-130.73938623384055</v>
      </c>
      <c r="G916" s="3">
        <f t="shared" si="92"/>
        <v>6.3398500028845888</v>
      </c>
      <c r="H916" s="3">
        <f t="shared" si="93"/>
        <v>224.39953623095596</v>
      </c>
      <c r="M916" s="1">
        <f t="shared" si="94"/>
        <v>165</v>
      </c>
      <c r="N916" s="38">
        <f>+M916*'Failure Data'!F$3</f>
        <v>4.2625000000000002</v>
      </c>
    </row>
    <row r="917" spans="1:14" x14ac:dyDescent="0.15">
      <c r="A917" s="1">
        <v>908</v>
      </c>
      <c r="B917" s="3">
        <f t="shared" si="89"/>
        <v>230.99028971921254</v>
      </c>
      <c r="C917" s="8"/>
      <c r="D917" s="3">
        <f t="shared" si="90"/>
        <v>224.65043971632795</v>
      </c>
      <c r="F917" s="3">
        <f t="shared" si="91"/>
        <v>-130.99028971921254</v>
      </c>
      <c r="G917" s="3">
        <f t="shared" si="92"/>
        <v>6.3398500028845888</v>
      </c>
      <c r="H917" s="3">
        <f t="shared" si="93"/>
        <v>224.65043971632795</v>
      </c>
      <c r="M917" s="1">
        <f t="shared" si="94"/>
        <v>166</v>
      </c>
      <c r="N917" s="38">
        <f>+M917*'Failure Data'!F$3</f>
        <v>4.2883333333333331</v>
      </c>
    </row>
    <row r="918" spans="1:14" x14ac:dyDescent="0.15">
      <c r="A918" s="1">
        <v>909</v>
      </c>
      <c r="B918" s="3">
        <f t="shared" si="89"/>
        <v>231.24119320458453</v>
      </c>
      <c r="C918" s="8"/>
      <c r="D918" s="3">
        <f t="shared" si="90"/>
        <v>224.90134320169994</v>
      </c>
      <c r="F918" s="3">
        <f t="shared" si="91"/>
        <v>-131.24119320458453</v>
      </c>
      <c r="G918" s="3">
        <f t="shared" si="92"/>
        <v>6.3398500028845888</v>
      </c>
      <c r="H918" s="3">
        <f t="shared" si="93"/>
        <v>224.90134320169994</v>
      </c>
      <c r="M918" s="1">
        <f t="shared" si="94"/>
        <v>167</v>
      </c>
      <c r="N918" s="38">
        <f>+M918*'Failure Data'!F$3</f>
        <v>4.3141666666666669</v>
      </c>
    </row>
    <row r="919" spans="1:14" x14ac:dyDescent="0.15">
      <c r="A919" s="1">
        <v>910</v>
      </c>
      <c r="B919" s="3">
        <f t="shared" si="89"/>
        <v>231.49209668995653</v>
      </c>
      <c r="C919" s="8"/>
      <c r="D919" s="3">
        <f t="shared" si="90"/>
        <v>225.15224668707194</v>
      </c>
      <c r="F919" s="3">
        <f t="shared" si="91"/>
        <v>-131.49209668995653</v>
      </c>
      <c r="G919" s="3">
        <f t="shared" si="92"/>
        <v>6.3398500028845888</v>
      </c>
      <c r="H919" s="3">
        <f t="shared" si="93"/>
        <v>225.15224668707194</v>
      </c>
      <c r="M919" s="1">
        <f t="shared" si="94"/>
        <v>168</v>
      </c>
      <c r="N919" s="38">
        <f>+M919*'Failure Data'!F$3</f>
        <v>4.34</v>
      </c>
    </row>
    <row r="920" spans="1:14" x14ac:dyDescent="0.15">
      <c r="A920" s="1">
        <v>911</v>
      </c>
      <c r="B920" s="3">
        <f t="shared" si="89"/>
        <v>231.74300017532852</v>
      </c>
      <c r="C920" s="8"/>
      <c r="D920" s="3">
        <f t="shared" si="90"/>
        <v>225.40315017244393</v>
      </c>
      <c r="F920" s="3">
        <f t="shared" si="91"/>
        <v>-131.74300017532852</v>
      </c>
      <c r="G920" s="3">
        <f t="shared" si="92"/>
        <v>6.3398500028845888</v>
      </c>
      <c r="H920" s="3">
        <f t="shared" si="93"/>
        <v>225.40315017244393</v>
      </c>
      <c r="M920" s="1">
        <f t="shared" si="94"/>
        <v>169</v>
      </c>
      <c r="N920" s="38">
        <f>+M920*'Failure Data'!F$3</f>
        <v>4.3658333333333337</v>
      </c>
    </row>
    <row r="921" spans="1:14" x14ac:dyDescent="0.15">
      <c r="A921" s="1">
        <v>912</v>
      </c>
      <c r="B921" s="3">
        <f t="shared" si="89"/>
        <v>231.99390366070051</v>
      </c>
      <c r="C921" s="8"/>
      <c r="D921" s="3">
        <f t="shared" si="90"/>
        <v>225.65405365781592</v>
      </c>
      <c r="F921" s="3">
        <f t="shared" si="91"/>
        <v>-131.99390366070051</v>
      </c>
      <c r="G921" s="3">
        <f t="shared" si="92"/>
        <v>6.3398500028845888</v>
      </c>
      <c r="H921" s="3">
        <f t="shared" si="93"/>
        <v>225.65405365781592</v>
      </c>
      <c r="M921" s="1">
        <f t="shared" si="94"/>
        <v>170</v>
      </c>
      <c r="N921" s="38">
        <f>+M921*'Failure Data'!F$3</f>
        <v>4.3916666666666666</v>
      </c>
    </row>
    <row r="922" spans="1:14" x14ac:dyDescent="0.15">
      <c r="A922" s="1">
        <v>913</v>
      </c>
      <c r="B922" s="3">
        <f t="shared" si="89"/>
        <v>232.2448071460725</v>
      </c>
      <c r="C922" s="8"/>
      <c r="D922" s="3">
        <f t="shared" si="90"/>
        <v>225.90495714318791</v>
      </c>
      <c r="F922" s="3">
        <f t="shared" si="91"/>
        <v>-132.2448071460725</v>
      </c>
      <c r="G922" s="3">
        <f t="shared" si="92"/>
        <v>6.3398500028845888</v>
      </c>
      <c r="H922" s="3">
        <f t="shared" si="93"/>
        <v>225.90495714318791</v>
      </c>
      <c r="M922" s="1">
        <f t="shared" si="94"/>
        <v>171</v>
      </c>
      <c r="N922" s="38">
        <f>+M922*'Failure Data'!F$3</f>
        <v>4.4174999999999995</v>
      </c>
    </row>
    <row r="923" spans="1:14" x14ac:dyDescent="0.15">
      <c r="A923" s="1">
        <v>914</v>
      </c>
      <c r="B923" s="3">
        <f t="shared" si="89"/>
        <v>232.4957106314445</v>
      </c>
      <c r="C923" s="8"/>
      <c r="D923" s="3">
        <f t="shared" si="90"/>
        <v>226.15586062855991</v>
      </c>
      <c r="F923" s="3">
        <f t="shared" si="91"/>
        <v>-132.4957106314445</v>
      </c>
      <c r="G923" s="3">
        <f t="shared" si="92"/>
        <v>6.3398500028845888</v>
      </c>
      <c r="H923" s="3">
        <f t="shared" si="93"/>
        <v>226.15586062855991</v>
      </c>
      <c r="M923" s="1">
        <f t="shared" si="94"/>
        <v>172</v>
      </c>
      <c r="N923" s="38">
        <f>+M923*'Failure Data'!F$3</f>
        <v>4.4433333333333334</v>
      </c>
    </row>
    <row r="924" spans="1:14" x14ac:dyDescent="0.15">
      <c r="A924" s="1">
        <v>915</v>
      </c>
      <c r="B924" s="3">
        <f t="shared" si="89"/>
        <v>232.74661411681652</v>
      </c>
      <c r="C924" s="8"/>
      <c r="D924" s="3">
        <f t="shared" si="90"/>
        <v>226.4067641139319</v>
      </c>
      <c r="F924" s="3">
        <f t="shared" si="91"/>
        <v>-132.74661411681652</v>
      </c>
      <c r="G924" s="3">
        <f t="shared" si="92"/>
        <v>6.3398500028846172</v>
      </c>
      <c r="H924" s="3">
        <f t="shared" si="93"/>
        <v>226.4067641139319</v>
      </c>
      <c r="M924" s="1">
        <f t="shared" si="94"/>
        <v>173</v>
      </c>
      <c r="N924" s="38">
        <f>+M924*'Failure Data'!F$3</f>
        <v>4.4691666666666663</v>
      </c>
    </row>
    <row r="925" spans="1:14" x14ac:dyDescent="0.15">
      <c r="A925" s="1">
        <v>916</v>
      </c>
      <c r="B925" s="3">
        <f t="shared" si="89"/>
        <v>232.99751760218851</v>
      </c>
      <c r="C925" s="8"/>
      <c r="D925" s="3">
        <f t="shared" si="90"/>
        <v>226.65766759930389</v>
      </c>
      <c r="F925" s="3">
        <f t="shared" si="91"/>
        <v>-132.99751760218851</v>
      </c>
      <c r="G925" s="3">
        <f t="shared" si="92"/>
        <v>6.3398500028846172</v>
      </c>
      <c r="H925" s="3">
        <f t="shared" si="93"/>
        <v>226.65766759930389</v>
      </c>
      <c r="M925" s="1">
        <f t="shared" si="94"/>
        <v>174</v>
      </c>
      <c r="N925" s="38">
        <f>+M925*'Failure Data'!F$3</f>
        <v>4.4950000000000001</v>
      </c>
    </row>
    <row r="926" spans="1:14" x14ac:dyDescent="0.15">
      <c r="A926" s="1">
        <v>917</v>
      </c>
      <c r="B926" s="3">
        <f t="shared" si="89"/>
        <v>233.2484210875605</v>
      </c>
      <c r="C926" s="8"/>
      <c r="D926" s="3">
        <f t="shared" si="90"/>
        <v>226.90857108467588</v>
      </c>
      <c r="F926" s="3">
        <f t="shared" si="91"/>
        <v>-133.2484210875605</v>
      </c>
      <c r="G926" s="3">
        <f t="shared" si="92"/>
        <v>6.3398500028846172</v>
      </c>
      <c r="H926" s="3">
        <f t="shared" si="93"/>
        <v>226.90857108467588</v>
      </c>
      <c r="M926" s="1">
        <f t="shared" si="94"/>
        <v>175</v>
      </c>
      <c r="N926" s="38">
        <f>+M926*'Failure Data'!F$3</f>
        <v>4.520833333333333</v>
      </c>
    </row>
    <row r="927" spans="1:14" x14ac:dyDescent="0.15">
      <c r="A927" s="1">
        <v>918</v>
      </c>
      <c r="B927" s="3">
        <f t="shared" si="89"/>
        <v>233.49932457293249</v>
      </c>
      <c r="C927" s="8"/>
      <c r="D927" s="3">
        <f t="shared" si="90"/>
        <v>227.15947457004788</v>
      </c>
      <c r="F927" s="3">
        <f t="shared" si="91"/>
        <v>-133.49932457293249</v>
      </c>
      <c r="G927" s="3">
        <f t="shared" si="92"/>
        <v>6.3398500028846172</v>
      </c>
      <c r="H927" s="3">
        <f t="shared" si="93"/>
        <v>227.15947457004788</v>
      </c>
      <c r="M927" s="1">
        <f t="shared" si="94"/>
        <v>176</v>
      </c>
      <c r="N927" s="38">
        <f>+M927*'Failure Data'!F$3</f>
        <v>4.5466666666666669</v>
      </c>
    </row>
    <row r="928" spans="1:14" x14ac:dyDescent="0.15">
      <c r="A928" s="1">
        <v>919</v>
      </c>
      <c r="B928" s="3">
        <f t="shared" si="89"/>
        <v>233.75022805830449</v>
      </c>
      <c r="C928" s="8"/>
      <c r="D928" s="3">
        <f t="shared" si="90"/>
        <v>227.41037805541987</v>
      </c>
      <c r="F928" s="3">
        <f t="shared" si="91"/>
        <v>-133.75022805830449</v>
      </c>
      <c r="G928" s="3">
        <f t="shared" si="92"/>
        <v>6.3398500028846172</v>
      </c>
      <c r="H928" s="3">
        <f t="shared" si="93"/>
        <v>227.41037805541987</v>
      </c>
      <c r="M928" s="1">
        <f t="shared" si="94"/>
        <v>177</v>
      </c>
      <c r="N928" s="38">
        <f>+M928*'Failure Data'!F$3</f>
        <v>4.5724999999999998</v>
      </c>
    </row>
    <row r="929" spans="1:14" x14ac:dyDescent="0.15">
      <c r="A929" s="1">
        <v>920</v>
      </c>
      <c r="B929" s="3">
        <f t="shared" si="89"/>
        <v>234.00113154367648</v>
      </c>
      <c r="C929" s="8"/>
      <c r="D929" s="3">
        <f t="shared" si="90"/>
        <v>227.66128154079189</v>
      </c>
      <c r="F929" s="3">
        <f t="shared" si="91"/>
        <v>-134.00113154367648</v>
      </c>
      <c r="G929" s="3">
        <f t="shared" si="92"/>
        <v>6.3398500028845888</v>
      </c>
      <c r="H929" s="3">
        <f t="shared" si="93"/>
        <v>227.66128154079189</v>
      </c>
      <c r="M929" s="1">
        <f t="shared" si="94"/>
        <v>178</v>
      </c>
      <c r="N929" s="38">
        <f>+M929*'Failure Data'!F$3</f>
        <v>4.5983333333333336</v>
      </c>
    </row>
    <row r="930" spans="1:14" x14ac:dyDescent="0.15">
      <c r="A930" s="1">
        <v>921</v>
      </c>
      <c r="B930" s="3">
        <f t="shared" si="89"/>
        <v>234.25203502904847</v>
      </c>
      <c r="C930" s="8"/>
      <c r="D930" s="3">
        <f t="shared" si="90"/>
        <v>227.91218502616388</v>
      </c>
      <c r="F930" s="3">
        <f t="shared" si="91"/>
        <v>-134.25203502904847</v>
      </c>
      <c r="G930" s="3">
        <f t="shared" si="92"/>
        <v>6.3398500028845888</v>
      </c>
      <c r="H930" s="3">
        <f t="shared" si="93"/>
        <v>227.91218502616388</v>
      </c>
      <c r="M930" s="1">
        <f t="shared" si="94"/>
        <v>179</v>
      </c>
      <c r="N930" s="38">
        <f>+M930*'Failure Data'!F$3</f>
        <v>4.6241666666666665</v>
      </c>
    </row>
    <row r="931" spans="1:14" x14ac:dyDescent="0.15">
      <c r="A931" s="1">
        <v>922</v>
      </c>
      <c r="B931" s="3">
        <f t="shared" si="89"/>
        <v>234.50293851442046</v>
      </c>
      <c r="C931" s="8"/>
      <c r="D931" s="3">
        <f t="shared" si="90"/>
        <v>228.16308851153588</v>
      </c>
      <c r="F931" s="3">
        <f t="shared" si="91"/>
        <v>-134.50293851442046</v>
      </c>
      <c r="G931" s="3">
        <f t="shared" si="92"/>
        <v>6.3398500028845888</v>
      </c>
      <c r="H931" s="3">
        <f t="shared" si="93"/>
        <v>228.16308851153588</v>
      </c>
      <c r="M931" s="1">
        <f t="shared" si="94"/>
        <v>180</v>
      </c>
      <c r="N931" s="38">
        <f>+M931*'Failure Data'!F$3</f>
        <v>4.6500000000000004</v>
      </c>
    </row>
    <row r="932" spans="1:14" x14ac:dyDescent="0.15">
      <c r="A932" s="1">
        <v>923</v>
      </c>
      <c r="B932" s="3">
        <f t="shared" si="89"/>
        <v>234.75384199979246</v>
      </c>
      <c r="C932" s="8"/>
      <c r="D932" s="3">
        <f t="shared" si="90"/>
        <v>228.41399199690787</v>
      </c>
      <c r="F932" s="3">
        <f t="shared" si="91"/>
        <v>-134.75384199979246</v>
      </c>
      <c r="G932" s="3">
        <f t="shared" si="92"/>
        <v>6.3398500028845888</v>
      </c>
      <c r="H932" s="3">
        <f t="shared" si="93"/>
        <v>228.41399199690787</v>
      </c>
      <c r="M932" s="1">
        <f t="shared" si="94"/>
        <v>181</v>
      </c>
      <c r="N932" s="38">
        <f>+M932*'Failure Data'!F$3</f>
        <v>4.6758333333333333</v>
      </c>
    </row>
    <row r="933" spans="1:14" x14ac:dyDescent="0.15">
      <c r="A933" s="1">
        <v>924</v>
      </c>
      <c r="B933" s="3">
        <f t="shared" si="89"/>
        <v>235.00474548516445</v>
      </c>
      <c r="C933" s="8"/>
      <c r="D933" s="3">
        <f t="shared" si="90"/>
        <v>228.66489548227986</v>
      </c>
      <c r="F933" s="3">
        <f t="shared" si="91"/>
        <v>-135.00474548516445</v>
      </c>
      <c r="G933" s="3">
        <f t="shared" si="92"/>
        <v>6.3398500028845888</v>
      </c>
      <c r="H933" s="3">
        <f t="shared" si="93"/>
        <v>228.66489548227986</v>
      </c>
      <c r="M933" s="1">
        <f t="shared" si="94"/>
        <v>182</v>
      </c>
      <c r="N933" s="38">
        <f>+M933*'Failure Data'!F$3</f>
        <v>4.7016666666666662</v>
      </c>
    </row>
    <row r="934" spans="1:14" x14ac:dyDescent="0.15">
      <c r="A934" s="1">
        <v>925</v>
      </c>
      <c r="B934" s="3">
        <f t="shared" si="89"/>
        <v>235.25564897053644</v>
      </c>
      <c r="C934" s="8"/>
      <c r="D934" s="3">
        <f t="shared" si="90"/>
        <v>228.91579896765185</v>
      </c>
      <c r="F934" s="3">
        <f t="shared" si="91"/>
        <v>-135.25564897053644</v>
      </c>
      <c r="G934" s="3">
        <f t="shared" si="92"/>
        <v>6.3398500028845888</v>
      </c>
      <c r="H934" s="3">
        <f t="shared" si="93"/>
        <v>228.91579896765185</v>
      </c>
      <c r="M934" s="1">
        <f t="shared" si="94"/>
        <v>183</v>
      </c>
      <c r="N934" s="38">
        <f>+M934*'Failure Data'!F$3</f>
        <v>4.7275</v>
      </c>
    </row>
    <row r="935" spans="1:14" x14ac:dyDescent="0.15">
      <c r="A935" s="1">
        <v>926</v>
      </c>
      <c r="B935" s="3">
        <f t="shared" si="89"/>
        <v>235.50655245590843</v>
      </c>
      <c r="C935" s="8"/>
      <c r="D935" s="3">
        <f t="shared" si="90"/>
        <v>229.16670245302385</v>
      </c>
      <c r="F935" s="3">
        <f t="shared" si="91"/>
        <v>-135.50655245590843</v>
      </c>
      <c r="G935" s="3">
        <f t="shared" si="92"/>
        <v>6.3398500028845888</v>
      </c>
      <c r="H935" s="3">
        <f t="shared" si="93"/>
        <v>229.16670245302385</v>
      </c>
      <c r="M935" s="1">
        <f t="shared" si="94"/>
        <v>184</v>
      </c>
      <c r="N935" s="38">
        <f>+M935*'Failure Data'!F$3</f>
        <v>4.753333333333333</v>
      </c>
    </row>
    <row r="936" spans="1:14" x14ac:dyDescent="0.15">
      <c r="A936" s="1">
        <v>927</v>
      </c>
      <c r="B936" s="3">
        <f t="shared" si="89"/>
        <v>235.75745594128043</v>
      </c>
      <c r="C936" s="8"/>
      <c r="D936" s="3">
        <f t="shared" si="90"/>
        <v>229.41760593839584</v>
      </c>
      <c r="F936" s="3">
        <f t="shared" si="91"/>
        <v>-135.75745594128043</v>
      </c>
      <c r="G936" s="3">
        <f t="shared" si="92"/>
        <v>6.3398500028845888</v>
      </c>
      <c r="H936" s="3">
        <f t="shared" si="93"/>
        <v>229.41760593839584</v>
      </c>
      <c r="M936" s="1">
        <f t="shared" si="94"/>
        <v>185</v>
      </c>
      <c r="N936" s="38">
        <f>+M936*'Failure Data'!F$3</f>
        <v>4.7791666666666668</v>
      </c>
    </row>
    <row r="937" spans="1:14" x14ac:dyDescent="0.15">
      <c r="A937" s="1">
        <v>928</v>
      </c>
      <c r="B937" s="3">
        <f t="shared" si="89"/>
        <v>236.00835942665242</v>
      </c>
      <c r="C937" s="8"/>
      <c r="D937" s="3">
        <f t="shared" si="90"/>
        <v>229.66850942376783</v>
      </c>
      <c r="F937" s="3">
        <f t="shared" si="91"/>
        <v>-136.00835942665242</v>
      </c>
      <c r="G937" s="3">
        <f t="shared" si="92"/>
        <v>6.3398500028845888</v>
      </c>
      <c r="H937" s="3">
        <f t="shared" si="93"/>
        <v>229.66850942376783</v>
      </c>
      <c r="M937" s="1">
        <f t="shared" si="94"/>
        <v>186</v>
      </c>
      <c r="N937" s="38">
        <f>+M937*'Failure Data'!F$3</f>
        <v>4.8049999999999997</v>
      </c>
    </row>
    <row r="938" spans="1:14" x14ac:dyDescent="0.15">
      <c r="A938" s="1">
        <v>929</v>
      </c>
      <c r="B938" s="3">
        <f t="shared" si="89"/>
        <v>236.25926291202441</v>
      </c>
      <c r="C938" s="8"/>
      <c r="D938" s="3">
        <f t="shared" si="90"/>
        <v>229.91941290913982</v>
      </c>
      <c r="F938" s="3">
        <f t="shared" si="91"/>
        <v>-136.25926291202441</v>
      </c>
      <c r="G938" s="3">
        <f t="shared" si="92"/>
        <v>6.3398500028845888</v>
      </c>
      <c r="H938" s="3">
        <f t="shared" si="93"/>
        <v>229.91941290913982</v>
      </c>
      <c r="M938" s="1">
        <f t="shared" si="94"/>
        <v>187</v>
      </c>
      <c r="N938" s="38">
        <f>+M938*'Failure Data'!F$3</f>
        <v>4.8308333333333335</v>
      </c>
    </row>
    <row r="939" spans="1:14" x14ac:dyDescent="0.15">
      <c r="A939" s="1">
        <v>930</v>
      </c>
      <c r="B939" s="3">
        <f t="shared" si="89"/>
        <v>236.5101663973964</v>
      </c>
      <c r="C939" s="8"/>
      <c r="D939" s="3">
        <f t="shared" si="90"/>
        <v>230.17031639451181</v>
      </c>
      <c r="F939" s="3">
        <f t="shared" si="91"/>
        <v>-136.5101663973964</v>
      </c>
      <c r="G939" s="3">
        <f t="shared" si="92"/>
        <v>6.3398500028845888</v>
      </c>
      <c r="H939" s="3">
        <f t="shared" si="93"/>
        <v>230.17031639451181</v>
      </c>
      <c r="M939" s="1">
        <f t="shared" si="94"/>
        <v>188</v>
      </c>
      <c r="N939" s="38">
        <f>+M939*'Failure Data'!F$3</f>
        <v>4.8566666666666665</v>
      </c>
    </row>
    <row r="940" spans="1:14" x14ac:dyDescent="0.15">
      <c r="A940" s="1">
        <v>931</v>
      </c>
      <c r="B940" s="3">
        <f t="shared" si="89"/>
        <v>236.7610698827684</v>
      </c>
      <c r="C940" s="8"/>
      <c r="D940" s="3">
        <f t="shared" si="90"/>
        <v>230.42121987988381</v>
      </c>
      <c r="F940" s="3">
        <f t="shared" si="91"/>
        <v>-136.7610698827684</v>
      </c>
      <c r="G940" s="3">
        <f t="shared" si="92"/>
        <v>6.3398500028845888</v>
      </c>
      <c r="H940" s="3">
        <f t="shared" si="93"/>
        <v>230.42121987988381</v>
      </c>
      <c r="M940" s="1">
        <f t="shared" si="94"/>
        <v>189</v>
      </c>
      <c r="N940" s="38">
        <f>+M940*'Failure Data'!F$3</f>
        <v>4.8825000000000003</v>
      </c>
    </row>
    <row r="941" spans="1:14" x14ac:dyDescent="0.15">
      <c r="A941" s="1">
        <v>932</v>
      </c>
      <c r="B941" s="3">
        <f t="shared" si="89"/>
        <v>237.01197336814039</v>
      </c>
      <c r="C941" s="8"/>
      <c r="D941" s="3">
        <f t="shared" si="90"/>
        <v>230.6721233652558</v>
      </c>
      <c r="F941" s="3">
        <f t="shared" si="91"/>
        <v>-137.01197336814039</v>
      </c>
      <c r="G941" s="3">
        <f t="shared" si="92"/>
        <v>6.3398500028845888</v>
      </c>
      <c r="H941" s="3">
        <f t="shared" si="93"/>
        <v>230.6721233652558</v>
      </c>
      <c r="M941" s="1">
        <f t="shared" si="94"/>
        <v>190</v>
      </c>
      <c r="N941" s="38">
        <f>+M941*'Failure Data'!F$3</f>
        <v>4.9083333333333332</v>
      </c>
    </row>
    <row r="942" spans="1:14" x14ac:dyDescent="0.15">
      <c r="A942" s="1">
        <v>933</v>
      </c>
      <c r="B942" s="3">
        <f t="shared" ref="B942:B1005" si="95">+(B$4*A942)+B$5</f>
        <v>237.26287685351238</v>
      </c>
      <c r="C942" s="8"/>
      <c r="D942" s="3">
        <f t="shared" ref="D942:D1005" si="96">+(D$4*A942)+D$5</f>
        <v>230.92302685062779</v>
      </c>
      <c r="F942" s="3">
        <f t="shared" ref="F942:F1005" si="97">+xmax-B942</f>
        <v>-137.26287685351238</v>
      </c>
      <c r="G942" s="3">
        <f t="shared" ref="G942:G1005" si="98">+B942-D942</f>
        <v>6.3398500028845888</v>
      </c>
      <c r="H942" s="3">
        <f t="shared" ref="H942:H1005" si="99">D942</f>
        <v>230.92302685062779</v>
      </c>
      <c r="M942" s="1">
        <f t="shared" si="94"/>
        <v>191</v>
      </c>
      <c r="N942" s="38">
        <f>+M942*'Failure Data'!F$3</f>
        <v>4.934166666666667</v>
      </c>
    </row>
    <row r="943" spans="1:14" x14ac:dyDescent="0.15">
      <c r="A943" s="1">
        <v>934</v>
      </c>
      <c r="B943" s="3">
        <f t="shared" si="95"/>
        <v>237.51378033888437</v>
      </c>
      <c r="C943" s="8"/>
      <c r="D943" s="3">
        <f t="shared" si="96"/>
        <v>231.17393033599978</v>
      </c>
      <c r="F943" s="3">
        <f t="shared" si="97"/>
        <v>-137.51378033888437</v>
      </c>
      <c r="G943" s="3">
        <f t="shared" si="98"/>
        <v>6.3398500028845888</v>
      </c>
      <c r="H943" s="3">
        <f t="shared" si="99"/>
        <v>231.17393033599978</v>
      </c>
      <c r="M943" s="1">
        <f t="shared" si="94"/>
        <v>192</v>
      </c>
      <c r="N943" s="38">
        <f>+M943*'Failure Data'!F$3</f>
        <v>4.96</v>
      </c>
    </row>
    <row r="944" spans="1:14" x14ac:dyDescent="0.15">
      <c r="A944" s="1">
        <v>935</v>
      </c>
      <c r="B944" s="3">
        <f t="shared" si="95"/>
        <v>237.76468382425637</v>
      </c>
      <c r="C944" s="8"/>
      <c r="D944" s="3">
        <f t="shared" si="96"/>
        <v>231.42483382137178</v>
      </c>
      <c r="F944" s="3">
        <f t="shared" si="97"/>
        <v>-137.76468382425637</v>
      </c>
      <c r="G944" s="3">
        <f t="shared" si="98"/>
        <v>6.3398500028845888</v>
      </c>
      <c r="H944" s="3">
        <f t="shared" si="99"/>
        <v>231.42483382137178</v>
      </c>
      <c r="M944" s="1">
        <f t="shared" si="94"/>
        <v>193</v>
      </c>
      <c r="N944" s="38">
        <f>+M944*'Failure Data'!F$3</f>
        <v>4.9858333333333329</v>
      </c>
    </row>
    <row r="945" spans="1:14" x14ac:dyDescent="0.15">
      <c r="A945" s="1">
        <v>936</v>
      </c>
      <c r="B945" s="3">
        <f t="shared" si="95"/>
        <v>238.01558730962836</v>
      </c>
      <c r="C945" s="8"/>
      <c r="D945" s="3">
        <f t="shared" si="96"/>
        <v>231.67573730674377</v>
      </c>
      <c r="F945" s="3">
        <f t="shared" si="97"/>
        <v>-138.01558730962836</v>
      </c>
      <c r="G945" s="3">
        <f t="shared" si="98"/>
        <v>6.3398500028845888</v>
      </c>
      <c r="H945" s="3">
        <f t="shared" si="99"/>
        <v>231.67573730674377</v>
      </c>
      <c r="M945" s="1">
        <f t="shared" si="94"/>
        <v>194</v>
      </c>
      <c r="N945" s="38">
        <f>+M945*'Failure Data'!F$3</f>
        <v>5.0116666666666667</v>
      </c>
    </row>
    <row r="946" spans="1:14" x14ac:dyDescent="0.15">
      <c r="A946" s="1">
        <v>937</v>
      </c>
      <c r="B946" s="3">
        <f t="shared" si="95"/>
        <v>238.26649079500035</v>
      </c>
      <c r="C946" s="8"/>
      <c r="D946" s="3">
        <f t="shared" si="96"/>
        <v>231.92664079211576</v>
      </c>
      <c r="F946" s="3">
        <f t="shared" si="97"/>
        <v>-138.26649079500035</v>
      </c>
      <c r="G946" s="3">
        <f t="shared" si="98"/>
        <v>6.3398500028845888</v>
      </c>
      <c r="H946" s="3">
        <f t="shared" si="99"/>
        <v>231.92664079211576</v>
      </c>
      <c r="M946" s="1">
        <f t="shared" si="94"/>
        <v>195</v>
      </c>
      <c r="N946" s="38">
        <f>+M946*'Failure Data'!F$3</f>
        <v>5.0374999999999996</v>
      </c>
    </row>
    <row r="947" spans="1:14" x14ac:dyDescent="0.15">
      <c r="A947" s="1">
        <v>938</v>
      </c>
      <c r="B947" s="3">
        <f t="shared" si="95"/>
        <v>238.51739428037234</v>
      </c>
      <c r="C947" s="8"/>
      <c r="D947" s="3">
        <f t="shared" si="96"/>
        <v>232.17754427748775</v>
      </c>
      <c r="F947" s="3">
        <f t="shared" si="97"/>
        <v>-138.51739428037234</v>
      </c>
      <c r="G947" s="3">
        <f t="shared" si="98"/>
        <v>6.3398500028845888</v>
      </c>
      <c r="H947" s="3">
        <f t="shared" si="99"/>
        <v>232.17754427748775</v>
      </c>
      <c r="M947" s="1">
        <f t="shared" si="94"/>
        <v>196</v>
      </c>
      <c r="N947" s="38">
        <f>+M947*'Failure Data'!F$3</f>
        <v>5.0633333333333335</v>
      </c>
    </row>
    <row r="948" spans="1:14" x14ac:dyDescent="0.15">
      <c r="A948" s="1">
        <v>939</v>
      </c>
      <c r="B948" s="3">
        <f t="shared" si="95"/>
        <v>238.76829776574436</v>
      </c>
      <c r="C948" s="8"/>
      <c r="D948" s="3">
        <f t="shared" si="96"/>
        <v>232.42844776285975</v>
      </c>
      <c r="F948" s="3">
        <f t="shared" si="97"/>
        <v>-138.76829776574436</v>
      </c>
      <c r="G948" s="3">
        <f t="shared" si="98"/>
        <v>6.3398500028846172</v>
      </c>
      <c r="H948" s="3">
        <f t="shared" si="99"/>
        <v>232.42844776285975</v>
      </c>
      <c r="M948" s="1">
        <f t="shared" si="94"/>
        <v>197</v>
      </c>
      <c r="N948" s="38">
        <f>+M948*'Failure Data'!F$3</f>
        <v>5.0891666666666664</v>
      </c>
    </row>
    <row r="949" spans="1:14" x14ac:dyDescent="0.15">
      <c r="A949" s="1">
        <v>940</v>
      </c>
      <c r="B949" s="3">
        <f t="shared" si="95"/>
        <v>239.01920125111636</v>
      </c>
      <c r="C949" s="8"/>
      <c r="D949" s="3">
        <f t="shared" si="96"/>
        <v>232.67935124823174</v>
      </c>
      <c r="F949" s="3">
        <f t="shared" si="97"/>
        <v>-139.01920125111636</v>
      </c>
      <c r="G949" s="3">
        <f t="shared" si="98"/>
        <v>6.3398500028846172</v>
      </c>
      <c r="H949" s="3">
        <f t="shared" si="99"/>
        <v>232.67935124823174</v>
      </c>
      <c r="M949" s="1">
        <f t="shared" si="94"/>
        <v>198</v>
      </c>
      <c r="N949" s="38">
        <f>+M949*'Failure Data'!F$3</f>
        <v>5.1150000000000002</v>
      </c>
    </row>
    <row r="950" spans="1:14" x14ac:dyDescent="0.15">
      <c r="A950" s="1">
        <v>941</v>
      </c>
      <c r="B950" s="3">
        <f t="shared" si="95"/>
        <v>239.27010473648835</v>
      </c>
      <c r="C950" s="8"/>
      <c r="D950" s="3">
        <f t="shared" si="96"/>
        <v>232.93025473360373</v>
      </c>
      <c r="F950" s="3">
        <f t="shared" si="97"/>
        <v>-139.27010473648835</v>
      </c>
      <c r="G950" s="3">
        <f t="shared" si="98"/>
        <v>6.3398500028846172</v>
      </c>
      <c r="H950" s="3">
        <f t="shared" si="99"/>
        <v>232.93025473360373</v>
      </c>
      <c r="M950" s="1">
        <f t="shared" si="94"/>
        <v>199</v>
      </c>
      <c r="N950" s="38">
        <f>+M950*'Failure Data'!F$3</f>
        <v>5.1408333333333331</v>
      </c>
    </row>
    <row r="951" spans="1:14" x14ac:dyDescent="0.15">
      <c r="A951" s="1">
        <v>942</v>
      </c>
      <c r="B951" s="3">
        <f t="shared" si="95"/>
        <v>239.52100822186034</v>
      </c>
      <c r="C951" s="8"/>
      <c r="D951" s="3">
        <f t="shared" si="96"/>
        <v>233.18115821897572</v>
      </c>
      <c r="F951" s="3">
        <f t="shared" si="97"/>
        <v>-139.52100822186034</v>
      </c>
      <c r="G951" s="3">
        <f t="shared" si="98"/>
        <v>6.3398500028846172</v>
      </c>
      <c r="H951" s="3">
        <f t="shared" si="99"/>
        <v>233.18115821897572</v>
      </c>
      <c r="M951" s="1">
        <f t="shared" si="94"/>
        <v>200</v>
      </c>
      <c r="N951" s="38">
        <f>+M951*'Failure Data'!F$3</f>
        <v>5.166666666666667</v>
      </c>
    </row>
    <row r="952" spans="1:14" x14ac:dyDescent="0.15">
      <c r="A952" s="1">
        <v>943</v>
      </c>
      <c r="B952" s="3">
        <f t="shared" si="95"/>
        <v>239.77191170723233</v>
      </c>
      <c r="C952" s="8"/>
      <c r="D952" s="3">
        <f t="shared" si="96"/>
        <v>233.43206170434775</v>
      </c>
      <c r="F952" s="3">
        <f t="shared" si="97"/>
        <v>-139.77191170723233</v>
      </c>
      <c r="G952" s="3">
        <f t="shared" si="98"/>
        <v>6.3398500028845888</v>
      </c>
      <c r="H952" s="3">
        <f t="shared" si="99"/>
        <v>233.43206170434775</v>
      </c>
      <c r="M952" s="1">
        <f t="shared" si="94"/>
        <v>201</v>
      </c>
      <c r="N952" s="38">
        <f>+M952*'Failure Data'!F$3</f>
        <v>5.1924999999999999</v>
      </c>
    </row>
    <row r="953" spans="1:14" x14ac:dyDescent="0.15">
      <c r="A953" s="1">
        <v>944</v>
      </c>
      <c r="B953" s="3">
        <f t="shared" si="95"/>
        <v>240.02281519260433</v>
      </c>
      <c r="C953" s="8"/>
      <c r="D953" s="3">
        <f t="shared" si="96"/>
        <v>233.68296518971974</v>
      </c>
      <c r="F953" s="3">
        <f t="shared" si="97"/>
        <v>-140.02281519260433</v>
      </c>
      <c r="G953" s="3">
        <f t="shared" si="98"/>
        <v>6.3398500028845888</v>
      </c>
      <c r="H953" s="3">
        <f t="shared" si="99"/>
        <v>233.68296518971974</v>
      </c>
      <c r="M953" s="1">
        <f t="shared" si="94"/>
        <v>202</v>
      </c>
      <c r="N953" s="38">
        <f>+M953*'Failure Data'!F$3</f>
        <v>5.2183333333333337</v>
      </c>
    </row>
    <row r="954" spans="1:14" x14ac:dyDescent="0.15">
      <c r="A954" s="1">
        <v>945</v>
      </c>
      <c r="B954" s="3">
        <f t="shared" si="95"/>
        <v>240.27371867797632</v>
      </c>
      <c r="C954" s="8"/>
      <c r="D954" s="3">
        <f t="shared" si="96"/>
        <v>233.93386867509173</v>
      </c>
      <c r="F954" s="3">
        <f t="shared" si="97"/>
        <v>-140.27371867797632</v>
      </c>
      <c r="G954" s="3">
        <f t="shared" si="98"/>
        <v>6.3398500028845888</v>
      </c>
      <c r="H954" s="3">
        <f t="shared" si="99"/>
        <v>233.93386867509173</v>
      </c>
      <c r="M954" s="1">
        <f t="shared" si="94"/>
        <v>203</v>
      </c>
      <c r="N954" s="38">
        <f>+M954*'Failure Data'!F$3</f>
        <v>5.2441666666666666</v>
      </c>
    </row>
    <row r="955" spans="1:14" x14ac:dyDescent="0.15">
      <c r="A955" s="1">
        <v>946</v>
      </c>
      <c r="B955" s="3">
        <f t="shared" si="95"/>
        <v>240.52462216334831</v>
      </c>
      <c r="C955" s="8"/>
      <c r="D955" s="3">
        <f t="shared" si="96"/>
        <v>234.18477216046372</v>
      </c>
      <c r="F955" s="3">
        <f t="shared" si="97"/>
        <v>-140.52462216334831</v>
      </c>
      <c r="G955" s="3">
        <f t="shared" si="98"/>
        <v>6.3398500028845888</v>
      </c>
      <c r="H955" s="3">
        <f t="shared" si="99"/>
        <v>234.18477216046372</v>
      </c>
      <c r="M955" s="1">
        <f t="shared" si="94"/>
        <v>204</v>
      </c>
      <c r="N955" s="38">
        <f>+M955*'Failure Data'!F$3</f>
        <v>5.27</v>
      </c>
    </row>
    <row r="956" spans="1:14" x14ac:dyDescent="0.15">
      <c r="A956" s="1">
        <v>947</v>
      </c>
      <c r="B956" s="3">
        <f t="shared" si="95"/>
        <v>240.7755256487203</v>
      </c>
      <c r="C956" s="8"/>
      <c r="D956" s="3">
        <f t="shared" si="96"/>
        <v>234.43567564583572</v>
      </c>
      <c r="F956" s="3">
        <f t="shared" si="97"/>
        <v>-140.7755256487203</v>
      </c>
      <c r="G956" s="3">
        <f t="shared" si="98"/>
        <v>6.3398500028845888</v>
      </c>
      <c r="H956" s="3">
        <f t="shared" si="99"/>
        <v>234.43567564583572</v>
      </c>
      <c r="M956" s="1">
        <f t="shared" si="94"/>
        <v>205</v>
      </c>
      <c r="N956" s="38">
        <f>+M956*'Failure Data'!F$3</f>
        <v>5.2958333333333334</v>
      </c>
    </row>
    <row r="957" spans="1:14" x14ac:dyDescent="0.15">
      <c r="A957" s="1">
        <v>948</v>
      </c>
      <c r="B957" s="3">
        <f t="shared" si="95"/>
        <v>241.0264291340923</v>
      </c>
      <c r="C957" s="8"/>
      <c r="D957" s="3">
        <f t="shared" si="96"/>
        <v>234.68657913120771</v>
      </c>
      <c r="F957" s="3">
        <f t="shared" si="97"/>
        <v>-141.0264291340923</v>
      </c>
      <c r="G957" s="3">
        <f t="shared" si="98"/>
        <v>6.3398500028845888</v>
      </c>
      <c r="H957" s="3">
        <f t="shared" si="99"/>
        <v>234.68657913120771</v>
      </c>
      <c r="M957" s="1">
        <f t="shared" si="94"/>
        <v>206</v>
      </c>
      <c r="N957" s="38">
        <f>+M957*'Failure Data'!F$3</f>
        <v>5.3216666666666663</v>
      </c>
    </row>
    <row r="958" spans="1:14" x14ac:dyDescent="0.15">
      <c r="A958" s="1">
        <v>949</v>
      </c>
      <c r="B958" s="3">
        <f t="shared" si="95"/>
        <v>241.27733261946429</v>
      </c>
      <c r="C958" s="8"/>
      <c r="D958" s="3">
        <f t="shared" si="96"/>
        <v>234.9374826165797</v>
      </c>
      <c r="F958" s="3">
        <f t="shared" si="97"/>
        <v>-141.27733261946429</v>
      </c>
      <c r="G958" s="3">
        <f t="shared" si="98"/>
        <v>6.3398500028845888</v>
      </c>
      <c r="H958" s="3">
        <f t="shared" si="99"/>
        <v>234.9374826165797</v>
      </c>
      <c r="M958" s="1">
        <f t="shared" si="94"/>
        <v>207</v>
      </c>
      <c r="N958" s="38">
        <f>+M958*'Failure Data'!F$3</f>
        <v>5.3475000000000001</v>
      </c>
    </row>
    <row r="959" spans="1:14" x14ac:dyDescent="0.15">
      <c r="A959" s="1">
        <v>950</v>
      </c>
      <c r="B959" s="3">
        <f t="shared" si="95"/>
        <v>241.52823610483628</v>
      </c>
      <c r="C959" s="8"/>
      <c r="D959" s="3">
        <f t="shared" si="96"/>
        <v>235.18838610195169</v>
      </c>
      <c r="F959" s="3">
        <f t="shared" si="97"/>
        <v>-141.52823610483628</v>
      </c>
      <c r="G959" s="3">
        <f t="shared" si="98"/>
        <v>6.3398500028845888</v>
      </c>
      <c r="H959" s="3">
        <f t="shared" si="99"/>
        <v>235.18838610195169</v>
      </c>
      <c r="M959" s="1">
        <f t="shared" si="94"/>
        <v>208</v>
      </c>
      <c r="N959" s="38">
        <f>+M959*'Failure Data'!F$3</f>
        <v>5.3733333333333331</v>
      </c>
    </row>
    <row r="960" spans="1:14" x14ac:dyDescent="0.15">
      <c r="A960" s="1">
        <v>951</v>
      </c>
      <c r="B960" s="3">
        <f t="shared" si="95"/>
        <v>241.77913959020827</v>
      </c>
      <c r="C960" s="8"/>
      <c r="D960" s="3">
        <f t="shared" si="96"/>
        <v>235.43928958732369</v>
      </c>
      <c r="F960" s="3">
        <f t="shared" si="97"/>
        <v>-141.77913959020827</v>
      </c>
      <c r="G960" s="3">
        <f t="shared" si="98"/>
        <v>6.3398500028845888</v>
      </c>
      <c r="H960" s="3">
        <f t="shared" si="99"/>
        <v>235.43928958732369</v>
      </c>
      <c r="M960" s="1">
        <f t="shared" si="94"/>
        <v>209</v>
      </c>
      <c r="N960" s="38">
        <f>+M960*'Failure Data'!F$3</f>
        <v>5.3991666666666669</v>
      </c>
    </row>
    <row r="961" spans="1:14" x14ac:dyDescent="0.15">
      <c r="A961" s="1">
        <v>952</v>
      </c>
      <c r="B961" s="3">
        <f t="shared" si="95"/>
        <v>242.03004307558027</v>
      </c>
      <c r="C961" s="8"/>
      <c r="D961" s="3">
        <f t="shared" si="96"/>
        <v>235.69019307269568</v>
      </c>
      <c r="F961" s="3">
        <f t="shared" si="97"/>
        <v>-142.03004307558027</v>
      </c>
      <c r="G961" s="3">
        <f t="shared" si="98"/>
        <v>6.3398500028845888</v>
      </c>
      <c r="H961" s="3">
        <f t="shared" si="99"/>
        <v>235.69019307269568</v>
      </c>
      <c r="M961" s="1">
        <f t="shared" ref="M961:M1024" si="100">M960+1</f>
        <v>210</v>
      </c>
      <c r="N961" s="38">
        <f>+M961*'Failure Data'!F$3</f>
        <v>5.4249999999999998</v>
      </c>
    </row>
    <row r="962" spans="1:14" x14ac:dyDescent="0.15">
      <c r="A962" s="1">
        <v>953</v>
      </c>
      <c r="B962" s="3">
        <f t="shared" si="95"/>
        <v>242.28094656095226</v>
      </c>
      <c r="C962" s="8"/>
      <c r="D962" s="3">
        <f t="shared" si="96"/>
        <v>235.94109655806767</v>
      </c>
      <c r="F962" s="3">
        <f t="shared" si="97"/>
        <v>-142.28094656095226</v>
      </c>
      <c r="G962" s="3">
        <f t="shared" si="98"/>
        <v>6.3398500028845888</v>
      </c>
      <c r="H962" s="3">
        <f t="shared" si="99"/>
        <v>235.94109655806767</v>
      </c>
      <c r="M962" s="1">
        <f t="shared" si="100"/>
        <v>211</v>
      </c>
      <c r="N962" s="38">
        <f>+M962*'Failure Data'!F$3</f>
        <v>5.4508333333333336</v>
      </c>
    </row>
    <row r="963" spans="1:14" x14ac:dyDescent="0.15">
      <c r="A963" s="1">
        <v>954</v>
      </c>
      <c r="B963" s="3">
        <f t="shared" si="95"/>
        <v>242.53185004632425</v>
      </c>
      <c r="C963" s="8"/>
      <c r="D963" s="3">
        <f t="shared" si="96"/>
        <v>236.19200004343966</v>
      </c>
      <c r="F963" s="3">
        <f t="shared" si="97"/>
        <v>-142.53185004632425</v>
      </c>
      <c r="G963" s="3">
        <f t="shared" si="98"/>
        <v>6.3398500028845888</v>
      </c>
      <c r="H963" s="3">
        <f t="shared" si="99"/>
        <v>236.19200004343966</v>
      </c>
      <c r="M963" s="1">
        <f t="shared" si="100"/>
        <v>212</v>
      </c>
      <c r="N963" s="38">
        <f>+M963*'Failure Data'!F$3</f>
        <v>5.4766666666666666</v>
      </c>
    </row>
    <row r="964" spans="1:14" x14ac:dyDescent="0.15">
      <c r="A964" s="1">
        <v>955</v>
      </c>
      <c r="B964" s="3">
        <f t="shared" si="95"/>
        <v>242.78275353169624</v>
      </c>
      <c r="C964" s="8"/>
      <c r="D964" s="3">
        <f t="shared" si="96"/>
        <v>236.44290352881166</v>
      </c>
      <c r="F964" s="3">
        <f t="shared" si="97"/>
        <v>-142.78275353169624</v>
      </c>
      <c r="G964" s="3">
        <f t="shared" si="98"/>
        <v>6.3398500028845888</v>
      </c>
      <c r="H964" s="3">
        <f t="shared" si="99"/>
        <v>236.44290352881166</v>
      </c>
      <c r="M964" s="1">
        <f t="shared" si="100"/>
        <v>213</v>
      </c>
      <c r="N964" s="38">
        <f>+M964*'Failure Data'!F$3</f>
        <v>5.5025000000000004</v>
      </c>
    </row>
    <row r="965" spans="1:14" x14ac:dyDescent="0.15">
      <c r="A965" s="1">
        <v>956</v>
      </c>
      <c r="B965" s="3">
        <f t="shared" si="95"/>
        <v>243.03365701706824</v>
      </c>
      <c r="C965" s="8"/>
      <c r="D965" s="3">
        <f t="shared" si="96"/>
        <v>236.69380701418365</v>
      </c>
      <c r="F965" s="3">
        <f t="shared" si="97"/>
        <v>-143.03365701706824</v>
      </c>
      <c r="G965" s="3">
        <f t="shared" si="98"/>
        <v>6.3398500028845888</v>
      </c>
      <c r="H965" s="3">
        <f t="shared" si="99"/>
        <v>236.69380701418365</v>
      </c>
      <c r="M965" s="1">
        <f t="shared" si="100"/>
        <v>214</v>
      </c>
      <c r="N965" s="38">
        <f>+M965*'Failure Data'!F$3</f>
        <v>5.5283333333333333</v>
      </c>
    </row>
    <row r="966" spans="1:14" x14ac:dyDescent="0.15">
      <c r="A966" s="1">
        <v>957</v>
      </c>
      <c r="B966" s="3">
        <f t="shared" si="95"/>
        <v>243.28456050244023</v>
      </c>
      <c r="C966" s="8"/>
      <c r="D966" s="3">
        <f t="shared" si="96"/>
        <v>236.94471049955564</v>
      </c>
      <c r="F966" s="3">
        <f t="shared" si="97"/>
        <v>-143.28456050244023</v>
      </c>
      <c r="G966" s="3">
        <f t="shared" si="98"/>
        <v>6.3398500028845888</v>
      </c>
      <c r="H966" s="3">
        <f t="shared" si="99"/>
        <v>236.94471049955564</v>
      </c>
      <c r="M966" s="1">
        <f t="shared" si="100"/>
        <v>215</v>
      </c>
      <c r="N966" s="38">
        <f>+M966*'Failure Data'!F$3</f>
        <v>5.5541666666666663</v>
      </c>
    </row>
    <row r="967" spans="1:14" x14ac:dyDescent="0.15">
      <c r="A967" s="1">
        <v>958</v>
      </c>
      <c r="B967" s="3">
        <f t="shared" si="95"/>
        <v>243.53546398781222</v>
      </c>
      <c r="C967" s="8"/>
      <c r="D967" s="3">
        <f t="shared" si="96"/>
        <v>237.19561398492763</v>
      </c>
      <c r="F967" s="3">
        <f t="shared" si="97"/>
        <v>-143.53546398781222</v>
      </c>
      <c r="G967" s="3">
        <f t="shared" si="98"/>
        <v>6.3398500028845888</v>
      </c>
      <c r="H967" s="3">
        <f t="shared" si="99"/>
        <v>237.19561398492763</v>
      </c>
      <c r="M967" s="1">
        <f t="shared" si="100"/>
        <v>216</v>
      </c>
      <c r="N967" s="38">
        <f>+M967*'Failure Data'!F$3</f>
        <v>5.58</v>
      </c>
    </row>
    <row r="968" spans="1:14" x14ac:dyDescent="0.15">
      <c r="A968" s="1">
        <v>959</v>
      </c>
      <c r="B968" s="3">
        <f t="shared" si="95"/>
        <v>243.78636747318421</v>
      </c>
      <c r="C968" s="8"/>
      <c r="D968" s="3">
        <f t="shared" si="96"/>
        <v>237.44651747029963</v>
      </c>
      <c r="F968" s="3">
        <f t="shared" si="97"/>
        <v>-143.78636747318421</v>
      </c>
      <c r="G968" s="3">
        <f t="shared" si="98"/>
        <v>6.3398500028845888</v>
      </c>
      <c r="H968" s="3">
        <f t="shared" si="99"/>
        <v>237.44651747029963</v>
      </c>
      <c r="M968" s="1">
        <f t="shared" si="100"/>
        <v>217</v>
      </c>
      <c r="N968" s="38">
        <f>+M968*'Failure Data'!F$3</f>
        <v>5.605833333333333</v>
      </c>
    </row>
    <row r="969" spans="1:14" x14ac:dyDescent="0.15">
      <c r="A969" s="1">
        <v>960</v>
      </c>
      <c r="B969" s="3">
        <f t="shared" si="95"/>
        <v>244.03727095855621</v>
      </c>
      <c r="C969" s="8"/>
      <c r="D969" s="3">
        <f t="shared" si="96"/>
        <v>237.69742095567162</v>
      </c>
      <c r="F969" s="3">
        <f t="shared" si="97"/>
        <v>-144.03727095855621</v>
      </c>
      <c r="G969" s="3">
        <f t="shared" si="98"/>
        <v>6.3398500028845888</v>
      </c>
      <c r="H969" s="3">
        <f t="shared" si="99"/>
        <v>237.69742095567162</v>
      </c>
      <c r="M969" s="1">
        <f t="shared" si="100"/>
        <v>218</v>
      </c>
      <c r="N969" s="38">
        <f>+M969*'Failure Data'!F$3</f>
        <v>5.6316666666666668</v>
      </c>
    </row>
    <row r="970" spans="1:14" x14ac:dyDescent="0.15">
      <c r="A970" s="1">
        <v>961</v>
      </c>
      <c r="B970" s="3">
        <f t="shared" si="95"/>
        <v>244.2881744439282</v>
      </c>
      <c r="C970" s="8"/>
      <c r="D970" s="3">
        <f t="shared" si="96"/>
        <v>237.94832444104361</v>
      </c>
      <c r="F970" s="3">
        <f t="shared" si="97"/>
        <v>-144.2881744439282</v>
      </c>
      <c r="G970" s="3">
        <f t="shared" si="98"/>
        <v>6.3398500028845888</v>
      </c>
      <c r="H970" s="3">
        <f t="shared" si="99"/>
        <v>237.94832444104361</v>
      </c>
      <c r="M970" s="1">
        <f t="shared" si="100"/>
        <v>219</v>
      </c>
      <c r="N970" s="38">
        <f>+M970*'Failure Data'!F$3</f>
        <v>5.6574999999999998</v>
      </c>
    </row>
    <row r="971" spans="1:14" x14ac:dyDescent="0.15">
      <c r="A971" s="1">
        <v>962</v>
      </c>
      <c r="B971" s="3">
        <f t="shared" si="95"/>
        <v>244.53907792930019</v>
      </c>
      <c r="C971" s="8"/>
      <c r="D971" s="3">
        <f t="shared" si="96"/>
        <v>238.1992279264156</v>
      </c>
      <c r="F971" s="3">
        <f t="shared" si="97"/>
        <v>-144.53907792930019</v>
      </c>
      <c r="G971" s="3">
        <f t="shared" si="98"/>
        <v>6.3398500028845888</v>
      </c>
      <c r="H971" s="3">
        <f t="shared" si="99"/>
        <v>238.1992279264156</v>
      </c>
      <c r="M971" s="1">
        <f t="shared" si="100"/>
        <v>220</v>
      </c>
      <c r="N971" s="38">
        <f>+M971*'Failure Data'!F$3</f>
        <v>5.6833333333333336</v>
      </c>
    </row>
    <row r="972" spans="1:14" x14ac:dyDescent="0.15">
      <c r="A972" s="1">
        <v>963</v>
      </c>
      <c r="B972" s="3">
        <f t="shared" si="95"/>
        <v>244.78998141467218</v>
      </c>
      <c r="C972" s="8"/>
      <c r="D972" s="3">
        <f t="shared" si="96"/>
        <v>238.45013141178759</v>
      </c>
      <c r="F972" s="3">
        <f t="shared" si="97"/>
        <v>-144.78998141467218</v>
      </c>
      <c r="G972" s="3">
        <f t="shared" si="98"/>
        <v>6.3398500028845888</v>
      </c>
      <c r="H972" s="3">
        <f t="shared" si="99"/>
        <v>238.45013141178759</v>
      </c>
      <c r="M972" s="1">
        <f t="shared" si="100"/>
        <v>221</v>
      </c>
      <c r="N972" s="38">
        <f>+M972*'Failure Data'!F$3</f>
        <v>5.7091666666666665</v>
      </c>
    </row>
    <row r="973" spans="1:14" x14ac:dyDescent="0.15">
      <c r="A973" s="1">
        <v>964</v>
      </c>
      <c r="B973" s="3">
        <f t="shared" si="95"/>
        <v>245.0408849000442</v>
      </c>
      <c r="C973" s="8"/>
      <c r="D973" s="3">
        <f t="shared" si="96"/>
        <v>238.70103489715959</v>
      </c>
      <c r="F973" s="3">
        <f t="shared" si="97"/>
        <v>-145.0408849000442</v>
      </c>
      <c r="G973" s="3">
        <f t="shared" si="98"/>
        <v>6.3398500028846172</v>
      </c>
      <c r="H973" s="3">
        <f t="shared" si="99"/>
        <v>238.70103489715959</v>
      </c>
      <c r="M973" s="1">
        <f t="shared" si="100"/>
        <v>222</v>
      </c>
      <c r="N973" s="38">
        <f>+M973*'Failure Data'!F$3</f>
        <v>5.7350000000000003</v>
      </c>
    </row>
    <row r="974" spans="1:14" x14ac:dyDescent="0.15">
      <c r="A974" s="1">
        <v>965</v>
      </c>
      <c r="B974" s="3">
        <f t="shared" si="95"/>
        <v>245.2917883854162</v>
      </c>
      <c r="C974" s="8"/>
      <c r="D974" s="3">
        <f t="shared" si="96"/>
        <v>238.95193838253158</v>
      </c>
      <c r="F974" s="3">
        <f t="shared" si="97"/>
        <v>-145.2917883854162</v>
      </c>
      <c r="G974" s="3">
        <f t="shared" si="98"/>
        <v>6.3398500028846172</v>
      </c>
      <c r="H974" s="3">
        <f t="shared" si="99"/>
        <v>238.95193838253158</v>
      </c>
      <c r="M974" s="1">
        <f t="shared" si="100"/>
        <v>223</v>
      </c>
      <c r="N974" s="38">
        <f>+M974*'Failure Data'!F$3</f>
        <v>5.7608333333333333</v>
      </c>
    </row>
    <row r="975" spans="1:14" x14ac:dyDescent="0.15">
      <c r="A975" s="1">
        <v>966</v>
      </c>
      <c r="B975" s="3">
        <f t="shared" si="95"/>
        <v>245.54269187078819</v>
      </c>
      <c r="C975" s="8"/>
      <c r="D975" s="3">
        <f t="shared" si="96"/>
        <v>239.2028418679036</v>
      </c>
      <c r="F975" s="3">
        <f t="shared" si="97"/>
        <v>-145.54269187078819</v>
      </c>
      <c r="G975" s="3">
        <f t="shared" si="98"/>
        <v>6.3398500028845888</v>
      </c>
      <c r="H975" s="3">
        <f t="shared" si="99"/>
        <v>239.2028418679036</v>
      </c>
      <c r="M975" s="1">
        <f t="shared" si="100"/>
        <v>224</v>
      </c>
      <c r="N975" s="38">
        <f>+M975*'Failure Data'!F$3</f>
        <v>5.7866666666666671</v>
      </c>
    </row>
    <row r="976" spans="1:14" x14ac:dyDescent="0.15">
      <c r="A976" s="1">
        <v>967</v>
      </c>
      <c r="B976" s="3">
        <f t="shared" si="95"/>
        <v>245.79359535616018</v>
      </c>
      <c r="C976" s="8"/>
      <c r="D976" s="3">
        <f t="shared" si="96"/>
        <v>239.45374535327559</v>
      </c>
      <c r="F976" s="3">
        <f t="shared" si="97"/>
        <v>-145.79359535616018</v>
      </c>
      <c r="G976" s="3">
        <f t="shared" si="98"/>
        <v>6.3398500028845888</v>
      </c>
      <c r="H976" s="3">
        <f t="shared" si="99"/>
        <v>239.45374535327559</v>
      </c>
      <c r="M976" s="1">
        <f t="shared" si="100"/>
        <v>225</v>
      </c>
      <c r="N976" s="38">
        <f>+M976*'Failure Data'!F$3</f>
        <v>5.8125</v>
      </c>
    </row>
    <row r="977" spans="1:14" x14ac:dyDescent="0.15">
      <c r="A977" s="1">
        <v>968</v>
      </c>
      <c r="B977" s="3">
        <f t="shared" si="95"/>
        <v>246.04449884153217</v>
      </c>
      <c r="C977" s="8"/>
      <c r="D977" s="3">
        <f t="shared" si="96"/>
        <v>239.70464883864759</v>
      </c>
      <c r="F977" s="3">
        <f t="shared" si="97"/>
        <v>-146.04449884153217</v>
      </c>
      <c r="G977" s="3">
        <f t="shared" si="98"/>
        <v>6.3398500028845888</v>
      </c>
      <c r="H977" s="3">
        <f t="shared" si="99"/>
        <v>239.70464883864759</v>
      </c>
      <c r="M977" s="1">
        <f t="shared" si="100"/>
        <v>226</v>
      </c>
      <c r="N977" s="38">
        <f>+M977*'Failure Data'!F$3</f>
        <v>5.8383333333333329</v>
      </c>
    </row>
    <row r="978" spans="1:14" x14ac:dyDescent="0.15">
      <c r="A978" s="1">
        <v>969</v>
      </c>
      <c r="B978" s="3">
        <f t="shared" si="95"/>
        <v>246.29540232690417</v>
      </c>
      <c r="C978" s="8"/>
      <c r="D978" s="3">
        <f t="shared" si="96"/>
        <v>239.95555232401958</v>
      </c>
      <c r="F978" s="3">
        <f t="shared" si="97"/>
        <v>-146.29540232690417</v>
      </c>
      <c r="G978" s="3">
        <f t="shared" si="98"/>
        <v>6.3398500028845888</v>
      </c>
      <c r="H978" s="3">
        <f t="shared" si="99"/>
        <v>239.95555232401958</v>
      </c>
      <c r="M978" s="1">
        <f t="shared" si="100"/>
        <v>227</v>
      </c>
      <c r="N978" s="38">
        <f>+M978*'Failure Data'!F$3</f>
        <v>5.8641666666666667</v>
      </c>
    </row>
    <row r="979" spans="1:14" x14ac:dyDescent="0.15">
      <c r="A979" s="1">
        <v>970</v>
      </c>
      <c r="B979" s="3">
        <f t="shared" si="95"/>
        <v>246.54630581227616</v>
      </c>
      <c r="C979" s="8"/>
      <c r="D979" s="3">
        <f t="shared" si="96"/>
        <v>240.20645580939157</v>
      </c>
      <c r="F979" s="3">
        <f t="shared" si="97"/>
        <v>-146.54630581227616</v>
      </c>
      <c r="G979" s="3">
        <f t="shared" si="98"/>
        <v>6.3398500028845888</v>
      </c>
      <c r="H979" s="3">
        <f t="shared" si="99"/>
        <v>240.20645580939157</v>
      </c>
      <c r="M979" s="1">
        <f t="shared" si="100"/>
        <v>228</v>
      </c>
      <c r="N979" s="38">
        <f>+M979*'Failure Data'!F$3</f>
        <v>5.89</v>
      </c>
    </row>
    <row r="980" spans="1:14" x14ac:dyDescent="0.15">
      <c r="A980" s="1">
        <v>971</v>
      </c>
      <c r="B980" s="3">
        <f t="shared" si="95"/>
        <v>246.79720929764815</v>
      </c>
      <c r="C980" s="8"/>
      <c r="D980" s="3">
        <f t="shared" si="96"/>
        <v>240.45735929476356</v>
      </c>
      <c r="F980" s="3">
        <f t="shared" si="97"/>
        <v>-146.79720929764815</v>
      </c>
      <c r="G980" s="3">
        <f t="shared" si="98"/>
        <v>6.3398500028845888</v>
      </c>
      <c r="H980" s="3">
        <f t="shared" si="99"/>
        <v>240.45735929476356</v>
      </c>
      <c r="M980" s="1">
        <f t="shared" si="100"/>
        <v>229</v>
      </c>
      <c r="N980" s="38">
        <f>+M980*'Failure Data'!F$3</f>
        <v>5.9158333333333335</v>
      </c>
    </row>
    <row r="981" spans="1:14" x14ac:dyDescent="0.15">
      <c r="A981" s="1">
        <v>972</v>
      </c>
      <c r="B981" s="3">
        <f t="shared" si="95"/>
        <v>247.04811278302014</v>
      </c>
      <c r="C981" s="8"/>
      <c r="D981" s="3">
        <f t="shared" si="96"/>
        <v>240.70826278013556</v>
      </c>
      <c r="F981" s="3">
        <f t="shared" si="97"/>
        <v>-147.04811278302014</v>
      </c>
      <c r="G981" s="3">
        <f t="shared" si="98"/>
        <v>6.3398500028845888</v>
      </c>
      <c r="H981" s="3">
        <f t="shared" si="99"/>
        <v>240.70826278013556</v>
      </c>
      <c r="M981" s="1">
        <f t="shared" si="100"/>
        <v>230</v>
      </c>
      <c r="N981" s="38">
        <f>+M981*'Failure Data'!F$3</f>
        <v>5.9416666666666664</v>
      </c>
    </row>
    <row r="982" spans="1:14" x14ac:dyDescent="0.15">
      <c r="A982" s="1">
        <v>973</v>
      </c>
      <c r="B982" s="3">
        <f t="shared" si="95"/>
        <v>247.29901626839214</v>
      </c>
      <c r="C982" s="8"/>
      <c r="D982" s="3">
        <f t="shared" si="96"/>
        <v>240.95916626550755</v>
      </c>
      <c r="F982" s="3">
        <f t="shared" si="97"/>
        <v>-147.29901626839214</v>
      </c>
      <c r="G982" s="3">
        <f t="shared" si="98"/>
        <v>6.3398500028845888</v>
      </c>
      <c r="H982" s="3">
        <f t="shared" si="99"/>
        <v>240.95916626550755</v>
      </c>
      <c r="M982" s="1">
        <f t="shared" si="100"/>
        <v>231</v>
      </c>
      <c r="N982" s="38">
        <f>+M982*'Failure Data'!F$3</f>
        <v>5.9675000000000002</v>
      </c>
    </row>
    <row r="983" spans="1:14" x14ac:dyDescent="0.15">
      <c r="A983" s="1">
        <v>974</v>
      </c>
      <c r="B983" s="3">
        <f t="shared" si="95"/>
        <v>247.54991975376413</v>
      </c>
      <c r="C983" s="8"/>
      <c r="D983" s="3">
        <f t="shared" si="96"/>
        <v>241.21006975087954</v>
      </c>
      <c r="F983" s="3">
        <f t="shared" si="97"/>
        <v>-147.54991975376413</v>
      </c>
      <c r="G983" s="3">
        <f t="shared" si="98"/>
        <v>6.3398500028845888</v>
      </c>
      <c r="H983" s="3">
        <f t="shared" si="99"/>
        <v>241.21006975087954</v>
      </c>
      <c r="M983" s="1">
        <f t="shared" si="100"/>
        <v>232</v>
      </c>
      <c r="N983" s="38">
        <f>+M983*'Failure Data'!F$3</f>
        <v>5.9933333333333332</v>
      </c>
    </row>
    <row r="984" spans="1:14" x14ac:dyDescent="0.15">
      <c r="A984" s="1">
        <v>975</v>
      </c>
      <c r="B984" s="3">
        <f t="shared" si="95"/>
        <v>247.80082323913612</v>
      </c>
      <c r="C984" s="8"/>
      <c r="D984" s="3">
        <f t="shared" si="96"/>
        <v>241.46097323625153</v>
      </c>
      <c r="F984" s="3">
        <f t="shared" si="97"/>
        <v>-147.80082323913612</v>
      </c>
      <c r="G984" s="3">
        <f t="shared" si="98"/>
        <v>6.3398500028845888</v>
      </c>
      <c r="H984" s="3">
        <f t="shared" si="99"/>
        <v>241.46097323625153</v>
      </c>
      <c r="M984" s="1">
        <f t="shared" si="100"/>
        <v>233</v>
      </c>
      <c r="N984" s="38">
        <f>+M984*'Failure Data'!F$3</f>
        <v>6.019166666666667</v>
      </c>
    </row>
    <row r="985" spans="1:14" x14ac:dyDescent="0.15">
      <c r="A985" s="1">
        <v>976</v>
      </c>
      <c r="B985" s="3">
        <f t="shared" si="95"/>
        <v>248.05172672450811</v>
      </c>
      <c r="C985" s="8"/>
      <c r="D985" s="3">
        <f t="shared" si="96"/>
        <v>241.71187672162353</v>
      </c>
      <c r="F985" s="3">
        <f t="shared" si="97"/>
        <v>-148.05172672450811</v>
      </c>
      <c r="G985" s="3">
        <f t="shared" si="98"/>
        <v>6.3398500028845888</v>
      </c>
      <c r="H985" s="3">
        <f t="shared" si="99"/>
        <v>241.71187672162353</v>
      </c>
      <c r="M985" s="1">
        <f t="shared" si="100"/>
        <v>234</v>
      </c>
      <c r="N985" s="38">
        <f>+M985*'Failure Data'!F$3</f>
        <v>6.0449999999999999</v>
      </c>
    </row>
    <row r="986" spans="1:14" x14ac:dyDescent="0.15">
      <c r="A986" s="1">
        <v>977</v>
      </c>
      <c r="B986" s="3">
        <f t="shared" si="95"/>
        <v>248.30263020988011</v>
      </c>
      <c r="C986" s="8"/>
      <c r="D986" s="3">
        <f t="shared" si="96"/>
        <v>241.96278020699552</v>
      </c>
      <c r="F986" s="3">
        <f t="shared" si="97"/>
        <v>-148.30263020988011</v>
      </c>
      <c r="G986" s="3">
        <f t="shared" si="98"/>
        <v>6.3398500028845888</v>
      </c>
      <c r="H986" s="3">
        <f t="shared" si="99"/>
        <v>241.96278020699552</v>
      </c>
      <c r="M986" s="1">
        <f t="shared" si="100"/>
        <v>235</v>
      </c>
      <c r="N986" s="38">
        <f>+M986*'Failure Data'!F$3</f>
        <v>6.0708333333333329</v>
      </c>
    </row>
    <row r="987" spans="1:14" x14ac:dyDescent="0.15">
      <c r="A987" s="1">
        <v>978</v>
      </c>
      <c r="B987" s="3">
        <f t="shared" si="95"/>
        <v>248.5535336952521</v>
      </c>
      <c r="C987" s="8"/>
      <c r="D987" s="3">
        <f t="shared" si="96"/>
        <v>242.21368369236751</v>
      </c>
      <c r="F987" s="3">
        <f t="shared" si="97"/>
        <v>-148.5535336952521</v>
      </c>
      <c r="G987" s="3">
        <f t="shared" si="98"/>
        <v>6.3398500028845888</v>
      </c>
      <c r="H987" s="3">
        <f t="shared" si="99"/>
        <v>242.21368369236751</v>
      </c>
      <c r="M987" s="1">
        <f t="shared" si="100"/>
        <v>236</v>
      </c>
      <c r="N987" s="38">
        <f>+M987*'Failure Data'!F$3</f>
        <v>6.0966666666666667</v>
      </c>
    </row>
    <row r="988" spans="1:14" x14ac:dyDescent="0.15">
      <c r="A988" s="1">
        <v>979</v>
      </c>
      <c r="B988" s="3">
        <f t="shared" si="95"/>
        <v>248.80443718062409</v>
      </c>
      <c r="C988" s="8"/>
      <c r="D988" s="3">
        <f t="shared" si="96"/>
        <v>242.4645871777395</v>
      </c>
      <c r="F988" s="3">
        <f t="shared" si="97"/>
        <v>-148.80443718062409</v>
      </c>
      <c r="G988" s="3">
        <f t="shared" si="98"/>
        <v>6.3398500028845888</v>
      </c>
      <c r="H988" s="3">
        <f t="shared" si="99"/>
        <v>242.4645871777395</v>
      </c>
      <c r="M988" s="1">
        <f t="shared" si="100"/>
        <v>237</v>
      </c>
      <c r="N988" s="38">
        <f>+M988*'Failure Data'!F$3</f>
        <v>6.1224999999999996</v>
      </c>
    </row>
    <row r="989" spans="1:14" x14ac:dyDescent="0.15">
      <c r="A989" s="1">
        <v>980</v>
      </c>
      <c r="B989" s="3">
        <f t="shared" si="95"/>
        <v>249.05534066599608</v>
      </c>
      <c r="C989" s="8"/>
      <c r="D989" s="3">
        <f t="shared" si="96"/>
        <v>242.7154906631115</v>
      </c>
      <c r="F989" s="3">
        <f t="shared" si="97"/>
        <v>-149.05534066599608</v>
      </c>
      <c r="G989" s="3">
        <f t="shared" si="98"/>
        <v>6.3398500028845888</v>
      </c>
      <c r="H989" s="3">
        <f t="shared" si="99"/>
        <v>242.7154906631115</v>
      </c>
      <c r="M989" s="1">
        <f t="shared" si="100"/>
        <v>238</v>
      </c>
      <c r="N989" s="38">
        <f>+M989*'Failure Data'!F$3</f>
        <v>6.1483333333333334</v>
      </c>
    </row>
    <row r="990" spans="1:14" x14ac:dyDescent="0.15">
      <c r="A990" s="1">
        <v>981</v>
      </c>
      <c r="B990" s="3">
        <f t="shared" si="95"/>
        <v>249.30624415136808</v>
      </c>
      <c r="C990" s="8"/>
      <c r="D990" s="3">
        <f t="shared" si="96"/>
        <v>242.96639414848349</v>
      </c>
      <c r="F990" s="3">
        <f t="shared" si="97"/>
        <v>-149.30624415136808</v>
      </c>
      <c r="G990" s="3">
        <f t="shared" si="98"/>
        <v>6.3398500028845888</v>
      </c>
      <c r="H990" s="3">
        <f t="shared" si="99"/>
        <v>242.96639414848349</v>
      </c>
      <c r="M990" s="1">
        <f t="shared" si="100"/>
        <v>239</v>
      </c>
      <c r="N990" s="38">
        <f>+M990*'Failure Data'!F$3</f>
        <v>6.1741666666666664</v>
      </c>
    </row>
    <row r="991" spans="1:14" x14ac:dyDescent="0.15">
      <c r="A991" s="1">
        <v>982</v>
      </c>
      <c r="B991" s="3">
        <f t="shared" si="95"/>
        <v>249.55714763674007</v>
      </c>
      <c r="C991" s="8"/>
      <c r="D991" s="3">
        <f t="shared" si="96"/>
        <v>243.21729763385548</v>
      </c>
      <c r="F991" s="3">
        <f t="shared" si="97"/>
        <v>-149.55714763674007</v>
      </c>
      <c r="G991" s="3">
        <f t="shared" si="98"/>
        <v>6.3398500028845888</v>
      </c>
      <c r="H991" s="3">
        <f t="shared" si="99"/>
        <v>243.21729763385548</v>
      </c>
      <c r="M991" s="1">
        <f t="shared" si="100"/>
        <v>240</v>
      </c>
      <c r="N991" s="38">
        <f>+M991*'Failure Data'!F$3</f>
        <v>6.2</v>
      </c>
    </row>
    <row r="992" spans="1:14" x14ac:dyDescent="0.15">
      <c r="A992" s="1">
        <v>983</v>
      </c>
      <c r="B992" s="3">
        <f t="shared" si="95"/>
        <v>249.80805112211206</v>
      </c>
      <c r="C992" s="8"/>
      <c r="D992" s="3">
        <f t="shared" si="96"/>
        <v>243.46820111922747</v>
      </c>
      <c r="F992" s="3">
        <f t="shared" si="97"/>
        <v>-149.80805112211206</v>
      </c>
      <c r="G992" s="3">
        <f t="shared" si="98"/>
        <v>6.3398500028845888</v>
      </c>
      <c r="H992" s="3">
        <f t="shared" si="99"/>
        <v>243.46820111922747</v>
      </c>
      <c r="M992" s="1">
        <f t="shared" si="100"/>
        <v>241</v>
      </c>
      <c r="N992" s="38">
        <f>+M992*'Failure Data'!F$3</f>
        <v>6.2258333333333331</v>
      </c>
    </row>
    <row r="993" spans="1:14" x14ac:dyDescent="0.15">
      <c r="A993" s="1">
        <v>984</v>
      </c>
      <c r="B993" s="3">
        <f t="shared" si="95"/>
        <v>250.05895460748405</v>
      </c>
      <c r="C993" s="8"/>
      <c r="D993" s="3">
        <f t="shared" si="96"/>
        <v>243.71910460459947</v>
      </c>
      <c r="F993" s="3">
        <f t="shared" si="97"/>
        <v>-150.05895460748405</v>
      </c>
      <c r="G993" s="3">
        <f t="shared" si="98"/>
        <v>6.3398500028845888</v>
      </c>
      <c r="H993" s="3">
        <f t="shared" si="99"/>
        <v>243.71910460459947</v>
      </c>
      <c r="M993" s="1">
        <f t="shared" si="100"/>
        <v>242</v>
      </c>
      <c r="N993" s="38">
        <f>+M993*'Failure Data'!F$3</f>
        <v>6.2516666666666669</v>
      </c>
    </row>
    <row r="994" spans="1:14" x14ac:dyDescent="0.15">
      <c r="A994" s="1">
        <v>985</v>
      </c>
      <c r="B994" s="3">
        <f t="shared" si="95"/>
        <v>250.30985809285605</v>
      </c>
      <c r="C994" s="8"/>
      <c r="D994" s="3">
        <f t="shared" si="96"/>
        <v>243.97000808997146</v>
      </c>
      <c r="F994" s="3">
        <f t="shared" si="97"/>
        <v>-150.30985809285605</v>
      </c>
      <c r="G994" s="3">
        <f t="shared" si="98"/>
        <v>6.3398500028845888</v>
      </c>
      <c r="H994" s="3">
        <f t="shared" si="99"/>
        <v>243.97000808997146</v>
      </c>
      <c r="M994" s="1">
        <f t="shared" si="100"/>
        <v>243</v>
      </c>
      <c r="N994" s="38">
        <f>+M994*'Failure Data'!F$3</f>
        <v>6.2774999999999999</v>
      </c>
    </row>
    <row r="995" spans="1:14" x14ac:dyDescent="0.15">
      <c r="A995" s="1">
        <v>986</v>
      </c>
      <c r="B995" s="3">
        <f t="shared" si="95"/>
        <v>250.56076157822804</v>
      </c>
      <c r="C995" s="8"/>
      <c r="D995" s="3">
        <f t="shared" si="96"/>
        <v>244.22091157534345</v>
      </c>
      <c r="F995" s="3">
        <f t="shared" si="97"/>
        <v>-150.56076157822804</v>
      </c>
      <c r="G995" s="3">
        <f t="shared" si="98"/>
        <v>6.3398500028845888</v>
      </c>
      <c r="H995" s="3">
        <f t="shared" si="99"/>
        <v>244.22091157534345</v>
      </c>
      <c r="M995" s="1">
        <f t="shared" si="100"/>
        <v>244</v>
      </c>
      <c r="N995" s="38">
        <f>+M995*'Failure Data'!F$3</f>
        <v>6.3033333333333337</v>
      </c>
    </row>
    <row r="996" spans="1:14" x14ac:dyDescent="0.15">
      <c r="A996" s="1">
        <v>987</v>
      </c>
      <c r="B996" s="3">
        <f t="shared" si="95"/>
        <v>250.81166506360003</v>
      </c>
      <c r="C996" s="8"/>
      <c r="D996" s="3">
        <f t="shared" si="96"/>
        <v>244.47181506071544</v>
      </c>
      <c r="F996" s="3">
        <f t="shared" si="97"/>
        <v>-150.81166506360003</v>
      </c>
      <c r="G996" s="3">
        <f t="shared" si="98"/>
        <v>6.3398500028845888</v>
      </c>
      <c r="H996" s="3">
        <f t="shared" si="99"/>
        <v>244.47181506071544</v>
      </c>
      <c r="M996" s="1">
        <f t="shared" si="100"/>
        <v>245</v>
      </c>
      <c r="N996" s="38">
        <f>+M996*'Failure Data'!F$3</f>
        <v>6.3291666666666666</v>
      </c>
    </row>
    <row r="997" spans="1:14" x14ac:dyDescent="0.15">
      <c r="A997" s="1">
        <v>988</v>
      </c>
      <c r="B997" s="3">
        <f t="shared" si="95"/>
        <v>251.06256854897205</v>
      </c>
      <c r="C997" s="8"/>
      <c r="D997" s="3">
        <f t="shared" si="96"/>
        <v>244.72271854608744</v>
      </c>
      <c r="F997" s="3">
        <f t="shared" si="97"/>
        <v>-151.06256854897205</v>
      </c>
      <c r="G997" s="3">
        <f t="shared" si="98"/>
        <v>6.3398500028846172</v>
      </c>
      <c r="H997" s="3">
        <f t="shared" si="99"/>
        <v>244.72271854608744</v>
      </c>
      <c r="M997" s="1">
        <f t="shared" si="100"/>
        <v>246</v>
      </c>
      <c r="N997" s="38">
        <f>+M997*'Failure Data'!F$3</f>
        <v>6.3549999999999995</v>
      </c>
    </row>
    <row r="998" spans="1:14" x14ac:dyDescent="0.15">
      <c r="A998" s="1">
        <v>989</v>
      </c>
      <c r="B998" s="3">
        <f t="shared" si="95"/>
        <v>251.31347203434404</v>
      </c>
      <c r="C998" s="8"/>
      <c r="D998" s="3">
        <f t="shared" si="96"/>
        <v>244.97362203145943</v>
      </c>
      <c r="F998" s="3">
        <f t="shared" si="97"/>
        <v>-151.31347203434404</v>
      </c>
      <c r="G998" s="3">
        <f t="shared" si="98"/>
        <v>6.3398500028846172</v>
      </c>
      <c r="H998" s="3">
        <f t="shared" si="99"/>
        <v>244.97362203145943</v>
      </c>
      <c r="M998" s="1">
        <f t="shared" si="100"/>
        <v>247</v>
      </c>
      <c r="N998" s="38">
        <f>+M998*'Failure Data'!F$3</f>
        <v>6.3808333333333334</v>
      </c>
    </row>
    <row r="999" spans="1:14" x14ac:dyDescent="0.15">
      <c r="A999" s="1">
        <v>990</v>
      </c>
      <c r="B999" s="3">
        <f t="shared" si="95"/>
        <v>251.56437551971604</v>
      </c>
      <c r="C999" s="8"/>
      <c r="D999" s="3">
        <f t="shared" si="96"/>
        <v>245.22452551683145</v>
      </c>
      <c r="F999" s="3">
        <f t="shared" si="97"/>
        <v>-151.56437551971604</v>
      </c>
      <c r="G999" s="3">
        <f t="shared" si="98"/>
        <v>6.3398500028845888</v>
      </c>
      <c r="H999" s="3">
        <f t="shared" si="99"/>
        <v>245.22452551683145</v>
      </c>
      <c r="M999" s="1">
        <f t="shared" si="100"/>
        <v>248</v>
      </c>
      <c r="N999" s="38">
        <f>+M999*'Failure Data'!F$3</f>
        <v>6.4066666666666663</v>
      </c>
    </row>
    <row r="1000" spans="1:14" x14ac:dyDescent="0.15">
      <c r="A1000" s="1">
        <v>991</v>
      </c>
      <c r="B1000" s="3">
        <f t="shared" si="95"/>
        <v>251.81527900508803</v>
      </c>
      <c r="C1000" s="8"/>
      <c r="D1000" s="3">
        <f t="shared" si="96"/>
        <v>245.47542900220344</v>
      </c>
      <c r="F1000" s="3">
        <f t="shared" si="97"/>
        <v>-151.81527900508803</v>
      </c>
      <c r="G1000" s="3">
        <f t="shared" si="98"/>
        <v>6.3398500028845888</v>
      </c>
      <c r="H1000" s="3">
        <f t="shared" si="99"/>
        <v>245.47542900220344</v>
      </c>
      <c r="M1000" s="1">
        <f t="shared" si="100"/>
        <v>249</v>
      </c>
      <c r="N1000" s="38">
        <f>+M1000*'Failure Data'!F$3</f>
        <v>6.4325000000000001</v>
      </c>
    </row>
    <row r="1001" spans="1:14" x14ac:dyDescent="0.15">
      <c r="A1001" s="1">
        <v>992</v>
      </c>
      <c r="B1001" s="3">
        <f t="shared" si="95"/>
        <v>252.06618249046002</v>
      </c>
      <c r="C1001" s="8"/>
      <c r="D1001" s="3">
        <f t="shared" si="96"/>
        <v>245.72633248757543</v>
      </c>
      <c r="F1001" s="3">
        <f t="shared" si="97"/>
        <v>-152.06618249046002</v>
      </c>
      <c r="G1001" s="3">
        <f t="shared" si="98"/>
        <v>6.3398500028845888</v>
      </c>
      <c r="H1001" s="3">
        <f t="shared" si="99"/>
        <v>245.72633248757543</v>
      </c>
      <c r="M1001" s="1">
        <f t="shared" si="100"/>
        <v>250</v>
      </c>
      <c r="N1001" s="38">
        <f>+M1001*'Failure Data'!F$3</f>
        <v>6.458333333333333</v>
      </c>
    </row>
    <row r="1002" spans="1:14" x14ac:dyDescent="0.15">
      <c r="A1002" s="1">
        <v>993</v>
      </c>
      <c r="B1002" s="3">
        <f t="shared" si="95"/>
        <v>252.31708597583201</v>
      </c>
      <c r="C1002" s="8"/>
      <c r="D1002" s="3">
        <f t="shared" si="96"/>
        <v>245.97723597294743</v>
      </c>
      <c r="F1002" s="3">
        <f t="shared" si="97"/>
        <v>-152.31708597583201</v>
      </c>
      <c r="G1002" s="3">
        <f t="shared" si="98"/>
        <v>6.3398500028845888</v>
      </c>
      <c r="H1002" s="3">
        <f t="shared" si="99"/>
        <v>245.97723597294743</v>
      </c>
      <c r="M1002" s="1">
        <f t="shared" si="100"/>
        <v>251</v>
      </c>
      <c r="N1002" s="38">
        <f>+M1002*'Failure Data'!F$3</f>
        <v>6.4841666666666669</v>
      </c>
    </row>
    <row r="1003" spans="1:14" x14ac:dyDescent="0.15">
      <c r="A1003" s="1">
        <v>994</v>
      </c>
      <c r="B1003" s="3">
        <f t="shared" si="95"/>
        <v>252.56798946120401</v>
      </c>
      <c r="C1003" s="8"/>
      <c r="D1003" s="3">
        <f t="shared" si="96"/>
        <v>246.22813945831942</v>
      </c>
      <c r="F1003" s="3">
        <f t="shared" si="97"/>
        <v>-152.56798946120401</v>
      </c>
      <c r="G1003" s="3">
        <f t="shared" si="98"/>
        <v>6.3398500028845888</v>
      </c>
      <c r="H1003" s="3">
        <f t="shared" si="99"/>
        <v>246.22813945831942</v>
      </c>
      <c r="M1003" s="1">
        <f t="shared" si="100"/>
        <v>252</v>
      </c>
      <c r="N1003" s="38">
        <f>+M1003*'Failure Data'!F$3</f>
        <v>6.51</v>
      </c>
    </row>
    <row r="1004" spans="1:14" x14ac:dyDescent="0.15">
      <c r="A1004" s="1">
        <v>995</v>
      </c>
      <c r="B1004" s="3">
        <f t="shared" si="95"/>
        <v>252.818892946576</v>
      </c>
      <c r="C1004" s="8"/>
      <c r="D1004" s="3">
        <f t="shared" si="96"/>
        <v>246.47904294369141</v>
      </c>
      <c r="F1004" s="3">
        <f t="shared" si="97"/>
        <v>-152.818892946576</v>
      </c>
      <c r="G1004" s="3">
        <f t="shared" si="98"/>
        <v>6.3398500028845888</v>
      </c>
      <c r="H1004" s="3">
        <f t="shared" si="99"/>
        <v>246.47904294369141</v>
      </c>
      <c r="M1004" s="1">
        <f t="shared" si="100"/>
        <v>253</v>
      </c>
      <c r="N1004" s="38">
        <f>+M1004*'Failure Data'!F$3</f>
        <v>6.5358333333333336</v>
      </c>
    </row>
    <row r="1005" spans="1:14" x14ac:dyDescent="0.15">
      <c r="A1005" s="1">
        <v>996</v>
      </c>
      <c r="B1005" s="3">
        <f t="shared" si="95"/>
        <v>253.06979643194799</v>
      </c>
      <c r="C1005" s="8"/>
      <c r="D1005" s="3">
        <f t="shared" si="96"/>
        <v>246.7299464290634</v>
      </c>
      <c r="F1005" s="3">
        <f t="shared" si="97"/>
        <v>-153.06979643194799</v>
      </c>
      <c r="G1005" s="3">
        <f t="shared" si="98"/>
        <v>6.3398500028845888</v>
      </c>
      <c r="H1005" s="3">
        <f t="shared" si="99"/>
        <v>246.7299464290634</v>
      </c>
      <c r="M1005" s="1">
        <f t="shared" si="100"/>
        <v>254</v>
      </c>
      <c r="N1005" s="38">
        <f>+M1005*'Failure Data'!F$3</f>
        <v>6.5616666666666665</v>
      </c>
    </row>
    <row r="1006" spans="1:14" x14ac:dyDescent="0.15">
      <c r="A1006" s="1">
        <v>997</v>
      </c>
      <c r="B1006" s="3">
        <f t="shared" ref="B1006:B1069" si="101">+(B$4*A1006)+B$5</f>
        <v>253.32069991731998</v>
      </c>
      <c r="C1006" s="8"/>
      <c r="D1006" s="3">
        <f t="shared" ref="D1006:D1069" si="102">+(D$4*A1006)+D$5</f>
        <v>246.9808499144354</v>
      </c>
      <c r="F1006" s="3">
        <f t="shared" ref="F1006:F1069" si="103">+xmax-B1006</f>
        <v>-153.32069991731998</v>
      </c>
      <c r="G1006" s="3">
        <f t="shared" ref="G1006:G1069" si="104">+B1006-D1006</f>
        <v>6.3398500028845888</v>
      </c>
      <c r="H1006" s="3">
        <f t="shared" ref="H1006:H1069" si="105">D1006</f>
        <v>246.9808499144354</v>
      </c>
      <c r="M1006" s="1">
        <f t="shared" si="100"/>
        <v>255</v>
      </c>
      <c r="N1006" s="38">
        <f>+M1006*'Failure Data'!F$3</f>
        <v>6.5875000000000004</v>
      </c>
    </row>
    <row r="1007" spans="1:14" x14ac:dyDescent="0.15">
      <c r="A1007" s="1">
        <v>998</v>
      </c>
      <c r="B1007" s="3">
        <f t="shared" si="101"/>
        <v>253.57160340269198</v>
      </c>
      <c r="C1007" s="8"/>
      <c r="D1007" s="3">
        <f t="shared" si="102"/>
        <v>247.23175339980739</v>
      </c>
      <c r="F1007" s="3">
        <f t="shared" si="103"/>
        <v>-153.57160340269198</v>
      </c>
      <c r="G1007" s="3">
        <f t="shared" si="104"/>
        <v>6.3398500028845888</v>
      </c>
      <c r="H1007" s="3">
        <f t="shared" si="105"/>
        <v>247.23175339980739</v>
      </c>
      <c r="M1007" s="1">
        <f t="shared" si="100"/>
        <v>256</v>
      </c>
      <c r="N1007" s="38">
        <f>+M1007*'Failure Data'!F$3</f>
        <v>6.6133333333333333</v>
      </c>
    </row>
    <row r="1008" spans="1:14" x14ac:dyDescent="0.15">
      <c r="A1008" s="1">
        <v>999</v>
      </c>
      <c r="B1008" s="3">
        <f t="shared" si="101"/>
        <v>253.82250688806397</v>
      </c>
      <c r="C1008" s="8"/>
      <c r="D1008" s="3">
        <f t="shared" si="102"/>
        <v>247.48265688517938</v>
      </c>
      <c r="F1008" s="3">
        <f t="shared" si="103"/>
        <v>-153.82250688806397</v>
      </c>
      <c r="G1008" s="3">
        <f t="shared" si="104"/>
        <v>6.3398500028845888</v>
      </c>
      <c r="H1008" s="3">
        <f t="shared" si="105"/>
        <v>247.48265688517938</v>
      </c>
      <c r="M1008" s="1">
        <f t="shared" si="100"/>
        <v>257</v>
      </c>
      <c r="N1008" s="38">
        <f>+M1008*'Failure Data'!F$3</f>
        <v>6.6391666666666662</v>
      </c>
    </row>
    <row r="1009" spans="1:14" x14ac:dyDescent="0.15">
      <c r="A1009" s="1">
        <v>1000</v>
      </c>
      <c r="B1009" s="3">
        <f t="shared" si="101"/>
        <v>254.07341037343596</v>
      </c>
      <c r="C1009" s="8"/>
      <c r="D1009" s="3">
        <f t="shared" si="102"/>
        <v>247.73356037055137</v>
      </c>
      <c r="F1009" s="3">
        <f t="shared" si="103"/>
        <v>-154.07341037343596</v>
      </c>
      <c r="G1009" s="3">
        <f t="shared" si="104"/>
        <v>6.3398500028845888</v>
      </c>
      <c r="H1009" s="3">
        <f t="shared" si="105"/>
        <v>247.73356037055137</v>
      </c>
      <c r="M1009" s="1">
        <f t="shared" si="100"/>
        <v>258</v>
      </c>
      <c r="N1009" s="38">
        <f>+M1009*'Failure Data'!F$3</f>
        <v>6.665</v>
      </c>
    </row>
    <row r="1010" spans="1:14" x14ac:dyDescent="0.15">
      <c r="A1010" s="1">
        <v>1001</v>
      </c>
      <c r="B1010" s="3">
        <f t="shared" si="101"/>
        <v>254.32431385880795</v>
      </c>
      <c r="C1010" s="8"/>
      <c r="D1010" s="3">
        <f t="shared" si="102"/>
        <v>247.98446385592337</v>
      </c>
      <c r="F1010" s="3">
        <f t="shared" si="103"/>
        <v>-154.32431385880795</v>
      </c>
      <c r="G1010" s="3">
        <f t="shared" si="104"/>
        <v>6.3398500028845888</v>
      </c>
      <c r="H1010" s="3">
        <f t="shared" si="105"/>
        <v>247.98446385592337</v>
      </c>
      <c r="M1010" s="1">
        <f t="shared" si="100"/>
        <v>259</v>
      </c>
      <c r="N1010" s="38">
        <f>+M1010*'Failure Data'!F$3</f>
        <v>6.690833333333333</v>
      </c>
    </row>
    <row r="1011" spans="1:14" x14ac:dyDescent="0.15">
      <c r="A1011" s="1">
        <v>1002</v>
      </c>
      <c r="B1011" s="3">
        <f t="shared" si="101"/>
        <v>254.57521734417995</v>
      </c>
      <c r="C1011" s="8"/>
      <c r="D1011" s="3">
        <f t="shared" si="102"/>
        <v>248.23536734129536</v>
      </c>
      <c r="F1011" s="3">
        <f t="shared" si="103"/>
        <v>-154.57521734417995</v>
      </c>
      <c r="G1011" s="3">
        <f t="shared" si="104"/>
        <v>6.3398500028845888</v>
      </c>
      <c r="H1011" s="3">
        <f t="shared" si="105"/>
        <v>248.23536734129536</v>
      </c>
      <c r="M1011" s="1">
        <f t="shared" si="100"/>
        <v>260</v>
      </c>
      <c r="N1011" s="38">
        <f>+M1011*'Failure Data'!F$3</f>
        <v>6.7166666666666668</v>
      </c>
    </row>
    <row r="1012" spans="1:14" x14ac:dyDescent="0.15">
      <c r="A1012" s="1">
        <v>1003</v>
      </c>
      <c r="B1012" s="3">
        <f t="shared" si="101"/>
        <v>254.82612082955194</v>
      </c>
      <c r="C1012" s="8"/>
      <c r="D1012" s="3">
        <f t="shared" si="102"/>
        <v>248.48627082666735</v>
      </c>
      <c r="F1012" s="3">
        <f t="shared" si="103"/>
        <v>-154.82612082955194</v>
      </c>
      <c r="G1012" s="3">
        <f t="shared" si="104"/>
        <v>6.3398500028845888</v>
      </c>
      <c r="H1012" s="3">
        <f t="shared" si="105"/>
        <v>248.48627082666735</v>
      </c>
      <c r="M1012" s="1">
        <f t="shared" si="100"/>
        <v>261</v>
      </c>
      <c r="N1012" s="38">
        <f>+M1012*'Failure Data'!F$3</f>
        <v>6.7424999999999997</v>
      </c>
    </row>
    <row r="1013" spans="1:14" x14ac:dyDescent="0.15">
      <c r="A1013" s="1">
        <v>1004</v>
      </c>
      <c r="B1013" s="3">
        <f t="shared" si="101"/>
        <v>255.07702431492393</v>
      </c>
      <c r="C1013" s="8"/>
      <c r="D1013" s="3">
        <f t="shared" si="102"/>
        <v>248.73717431203934</v>
      </c>
      <c r="F1013" s="3">
        <f t="shared" si="103"/>
        <v>-155.07702431492393</v>
      </c>
      <c r="G1013" s="3">
        <f t="shared" si="104"/>
        <v>6.3398500028845888</v>
      </c>
      <c r="H1013" s="3">
        <f t="shared" si="105"/>
        <v>248.73717431203934</v>
      </c>
      <c r="M1013" s="1">
        <f t="shared" si="100"/>
        <v>262</v>
      </c>
      <c r="N1013" s="38">
        <f>+M1013*'Failure Data'!F$3</f>
        <v>6.7683333333333335</v>
      </c>
    </row>
    <row r="1014" spans="1:14" x14ac:dyDescent="0.15">
      <c r="A1014" s="1">
        <v>1005</v>
      </c>
      <c r="B1014" s="3">
        <f t="shared" si="101"/>
        <v>255.32792780029592</v>
      </c>
      <c r="C1014" s="8"/>
      <c r="D1014" s="3">
        <f t="shared" si="102"/>
        <v>248.98807779741134</v>
      </c>
      <c r="F1014" s="3">
        <f t="shared" si="103"/>
        <v>-155.32792780029592</v>
      </c>
      <c r="G1014" s="3">
        <f t="shared" si="104"/>
        <v>6.3398500028845888</v>
      </c>
      <c r="H1014" s="3">
        <f t="shared" si="105"/>
        <v>248.98807779741134</v>
      </c>
      <c r="M1014" s="1">
        <f t="shared" si="100"/>
        <v>263</v>
      </c>
      <c r="N1014" s="38">
        <f>+M1014*'Failure Data'!F$3</f>
        <v>6.7941666666666665</v>
      </c>
    </row>
    <row r="1015" spans="1:14" x14ac:dyDescent="0.15">
      <c r="A1015" s="1">
        <v>1006</v>
      </c>
      <c r="B1015" s="3">
        <f t="shared" si="101"/>
        <v>255.57883128566792</v>
      </c>
      <c r="C1015" s="8"/>
      <c r="D1015" s="3">
        <f t="shared" si="102"/>
        <v>249.23898128278333</v>
      </c>
      <c r="F1015" s="3">
        <f t="shared" si="103"/>
        <v>-155.57883128566792</v>
      </c>
      <c r="G1015" s="3">
        <f t="shared" si="104"/>
        <v>6.3398500028845888</v>
      </c>
      <c r="H1015" s="3">
        <f t="shared" si="105"/>
        <v>249.23898128278333</v>
      </c>
      <c r="M1015" s="1">
        <f t="shared" si="100"/>
        <v>264</v>
      </c>
      <c r="N1015" s="38">
        <f>+M1015*'Failure Data'!F$3</f>
        <v>6.82</v>
      </c>
    </row>
    <row r="1016" spans="1:14" x14ac:dyDescent="0.15">
      <c r="A1016" s="1">
        <v>1007</v>
      </c>
      <c r="B1016" s="3">
        <f t="shared" si="101"/>
        <v>255.82973477103991</v>
      </c>
      <c r="C1016" s="8"/>
      <c r="D1016" s="3">
        <f t="shared" si="102"/>
        <v>249.48988476815532</v>
      </c>
      <c r="F1016" s="3">
        <f t="shared" si="103"/>
        <v>-155.82973477103991</v>
      </c>
      <c r="G1016" s="3">
        <f t="shared" si="104"/>
        <v>6.3398500028845888</v>
      </c>
      <c r="H1016" s="3">
        <f t="shared" si="105"/>
        <v>249.48988476815532</v>
      </c>
      <c r="M1016" s="1">
        <f t="shared" si="100"/>
        <v>265</v>
      </c>
      <c r="N1016" s="38">
        <f>+M1016*'Failure Data'!F$3</f>
        <v>6.8458333333333332</v>
      </c>
    </row>
    <row r="1017" spans="1:14" x14ac:dyDescent="0.15">
      <c r="A1017" s="1">
        <v>1008</v>
      </c>
      <c r="B1017" s="3">
        <f t="shared" si="101"/>
        <v>256.08063825641187</v>
      </c>
      <c r="C1017" s="8"/>
      <c r="D1017" s="3">
        <f t="shared" si="102"/>
        <v>249.74078825352731</v>
      </c>
      <c r="F1017" s="3">
        <f t="shared" si="103"/>
        <v>-156.08063825641187</v>
      </c>
      <c r="G1017" s="3">
        <f t="shared" si="104"/>
        <v>6.3398500028845604</v>
      </c>
      <c r="H1017" s="3">
        <f t="shared" si="105"/>
        <v>249.74078825352731</v>
      </c>
      <c r="M1017" s="1">
        <f t="shared" si="100"/>
        <v>266</v>
      </c>
      <c r="N1017" s="38">
        <f>+M1017*'Failure Data'!F$3</f>
        <v>6.871666666666667</v>
      </c>
    </row>
    <row r="1018" spans="1:14" x14ac:dyDescent="0.15">
      <c r="A1018" s="1">
        <v>1009</v>
      </c>
      <c r="B1018" s="3">
        <f t="shared" si="101"/>
        <v>256.33154174178389</v>
      </c>
      <c r="C1018" s="8"/>
      <c r="D1018" s="3">
        <f t="shared" si="102"/>
        <v>249.99169173889931</v>
      </c>
      <c r="F1018" s="3">
        <f t="shared" si="103"/>
        <v>-156.33154174178389</v>
      </c>
      <c r="G1018" s="3">
        <f t="shared" si="104"/>
        <v>6.3398500028845888</v>
      </c>
      <c r="H1018" s="3">
        <f t="shared" si="105"/>
        <v>249.99169173889931</v>
      </c>
      <c r="M1018" s="1">
        <f t="shared" si="100"/>
        <v>267</v>
      </c>
      <c r="N1018" s="38">
        <f>+M1018*'Failure Data'!F$3</f>
        <v>6.8975</v>
      </c>
    </row>
    <row r="1019" spans="1:14" x14ac:dyDescent="0.15">
      <c r="A1019" s="1">
        <v>1010</v>
      </c>
      <c r="B1019" s="3">
        <f t="shared" si="101"/>
        <v>256.58244522715586</v>
      </c>
      <c r="C1019" s="8"/>
      <c r="D1019" s="3">
        <f t="shared" si="102"/>
        <v>250.2425952242713</v>
      </c>
      <c r="F1019" s="3">
        <f t="shared" si="103"/>
        <v>-156.58244522715586</v>
      </c>
      <c r="G1019" s="3">
        <f t="shared" si="104"/>
        <v>6.3398500028845604</v>
      </c>
      <c r="H1019" s="3">
        <f t="shared" si="105"/>
        <v>250.2425952242713</v>
      </c>
      <c r="M1019" s="1">
        <f t="shared" si="100"/>
        <v>268</v>
      </c>
      <c r="N1019" s="38">
        <f>+M1019*'Failure Data'!F$3</f>
        <v>6.9233333333333329</v>
      </c>
    </row>
    <row r="1020" spans="1:14" x14ac:dyDescent="0.15">
      <c r="A1020" s="1">
        <v>1011</v>
      </c>
      <c r="B1020" s="3">
        <f t="shared" si="101"/>
        <v>256.83334871252788</v>
      </c>
      <c r="C1020" s="8"/>
      <c r="D1020" s="3">
        <f t="shared" si="102"/>
        <v>250.49349870964329</v>
      </c>
      <c r="F1020" s="3">
        <f t="shared" si="103"/>
        <v>-156.83334871252788</v>
      </c>
      <c r="G1020" s="3">
        <f t="shared" si="104"/>
        <v>6.3398500028845888</v>
      </c>
      <c r="H1020" s="3">
        <f t="shared" si="105"/>
        <v>250.49349870964329</v>
      </c>
      <c r="M1020" s="1">
        <f t="shared" si="100"/>
        <v>269</v>
      </c>
      <c r="N1020" s="38">
        <f>+M1020*'Failure Data'!F$3</f>
        <v>6.9491666666666667</v>
      </c>
    </row>
    <row r="1021" spans="1:14" x14ac:dyDescent="0.15">
      <c r="A1021" s="1">
        <v>1012</v>
      </c>
      <c r="B1021" s="3">
        <f t="shared" si="101"/>
        <v>257.0842521978999</v>
      </c>
      <c r="C1021" s="8"/>
      <c r="D1021" s="3">
        <f t="shared" si="102"/>
        <v>250.74440219501528</v>
      </c>
      <c r="F1021" s="3">
        <f t="shared" si="103"/>
        <v>-157.0842521978999</v>
      </c>
      <c r="G1021" s="3">
        <f t="shared" si="104"/>
        <v>6.3398500028846172</v>
      </c>
      <c r="H1021" s="3">
        <f t="shared" si="105"/>
        <v>250.74440219501528</v>
      </c>
      <c r="M1021" s="1">
        <f t="shared" si="100"/>
        <v>270</v>
      </c>
      <c r="N1021" s="38">
        <f>+M1021*'Failure Data'!F$3</f>
        <v>6.9749999999999996</v>
      </c>
    </row>
    <row r="1022" spans="1:14" x14ac:dyDescent="0.15">
      <c r="A1022" s="1">
        <v>1013</v>
      </c>
      <c r="B1022" s="3">
        <f t="shared" si="101"/>
        <v>257.33515568327186</v>
      </c>
      <c r="C1022" s="8"/>
      <c r="D1022" s="3">
        <f t="shared" si="102"/>
        <v>250.9953056803873</v>
      </c>
      <c r="F1022" s="3">
        <f t="shared" si="103"/>
        <v>-157.33515568327186</v>
      </c>
      <c r="G1022" s="3">
        <f t="shared" si="104"/>
        <v>6.3398500028845604</v>
      </c>
      <c r="H1022" s="3">
        <f t="shared" si="105"/>
        <v>250.9953056803873</v>
      </c>
      <c r="M1022" s="1">
        <f t="shared" si="100"/>
        <v>271</v>
      </c>
      <c r="N1022" s="38">
        <f>+M1022*'Failure Data'!F$3</f>
        <v>7.0008333333333335</v>
      </c>
    </row>
    <row r="1023" spans="1:14" x14ac:dyDescent="0.15">
      <c r="A1023" s="1">
        <v>1014</v>
      </c>
      <c r="B1023" s="3">
        <f t="shared" si="101"/>
        <v>257.58605916864389</v>
      </c>
      <c r="C1023" s="8"/>
      <c r="D1023" s="3">
        <f t="shared" si="102"/>
        <v>251.2462091657593</v>
      </c>
      <c r="F1023" s="3">
        <f t="shared" si="103"/>
        <v>-157.58605916864389</v>
      </c>
      <c r="G1023" s="3">
        <f t="shared" si="104"/>
        <v>6.3398500028845888</v>
      </c>
      <c r="H1023" s="3">
        <f t="shared" si="105"/>
        <v>251.2462091657593</v>
      </c>
      <c r="M1023" s="1">
        <f t="shared" si="100"/>
        <v>272</v>
      </c>
      <c r="N1023" s="38">
        <f>+M1023*'Failure Data'!F$3</f>
        <v>7.0266666666666664</v>
      </c>
    </row>
    <row r="1024" spans="1:14" x14ac:dyDescent="0.15">
      <c r="A1024" s="1">
        <v>1015</v>
      </c>
      <c r="B1024" s="3">
        <f t="shared" si="101"/>
        <v>257.83696265401585</v>
      </c>
      <c r="C1024" s="8"/>
      <c r="D1024" s="3">
        <f t="shared" si="102"/>
        <v>251.49711265113129</v>
      </c>
      <c r="F1024" s="3">
        <f t="shared" si="103"/>
        <v>-157.83696265401585</v>
      </c>
      <c r="G1024" s="3">
        <f t="shared" si="104"/>
        <v>6.3398500028845604</v>
      </c>
      <c r="H1024" s="3">
        <f t="shared" si="105"/>
        <v>251.49711265113129</v>
      </c>
      <c r="M1024" s="1">
        <f t="shared" si="100"/>
        <v>273</v>
      </c>
      <c r="N1024" s="38">
        <f>+M1024*'Failure Data'!F$3</f>
        <v>7.0525000000000002</v>
      </c>
    </row>
    <row r="1025" spans="1:14" x14ac:dyDescent="0.15">
      <c r="A1025" s="1">
        <v>1016</v>
      </c>
      <c r="B1025" s="3">
        <f t="shared" si="101"/>
        <v>258.08786613938787</v>
      </c>
      <c r="C1025" s="8"/>
      <c r="D1025" s="3">
        <f t="shared" si="102"/>
        <v>251.74801613650328</v>
      </c>
      <c r="F1025" s="3">
        <f t="shared" si="103"/>
        <v>-158.08786613938787</v>
      </c>
      <c r="G1025" s="3">
        <f t="shared" si="104"/>
        <v>6.3398500028845888</v>
      </c>
      <c r="H1025" s="3">
        <f t="shared" si="105"/>
        <v>251.74801613650328</v>
      </c>
      <c r="M1025" s="1">
        <f t="shared" ref="M1025:M1088" si="106">M1024+1</f>
        <v>274</v>
      </c>
      <c r="N1025" s="38">
        <f>+M1025*'Failure Data'!F$3</f>
        <v>7.0783333333333331</v>
      </c>
    </row>
    <row r="1026" spans="1:14" x14ac:dyDescent="0.15">
      <c r="A1026" s="1">
        <v>1017</v>
      </c>
      <c r="B1026" s="3">
        <f t="shared" si="101"/>
        <v>258.33876962475983</v>
      </c>
      <c r="C1026" s="8"/>
      <c r="D1026" s="3">
        <f t="shared" si="102"/>
        <v>251.99891962187527</v>
      </c>
      <c r="F1026" s="3">
        <f t="shared" si="103"/>
        <v>-158.33876962475983</v>
      </c>
      <c r="G1026" s="3">
        <f t="shared" si="104"/>
        <v>6.3398500028845604</v>
      </c>
      <c r="H1026" s="3">
        <f t="shared" si="105"/>
        <v>251.99891962187527</v>
      </c>
      <c r="M1026" s="1">
        <f t="shared" si="106"/>
        <v>275</v>
      </c>
      <c r="N1026" s="38">
        <f>+M1026*'Failure Data'!F$3</f>
        <v>7.104166666666667</v>
      </c>
    </row>
    <row r="1027" spans="1:14" x14ac:dyDescent="0.15">
      <c r="A1027" s="1">
        <v>1018</v>
      </c>
      <c r="B1027" s="3">
        <f t="shared" si="101"/>
        <v>258.58967311013186</v>
      </c>
      <c r="C1027" s="8"/>
      <c r="D1027" s="3">
        <f t="shared" si="102"/>
        <v>252.24982310724727</v>
      </c>
      <c r="F1027" s="3">
        <f t="shared" si="103"/>
        <v>-158.58967311013186</v>
      </c>
      <c r="G1027" s="3">
        <f t="shared" si="104"/>
        <v>6.3398500028845888</v>
      </c>
      <c r="H1027" s="3">
        <f t="shared" si="105"/>
        <v>252.24982310724727</v>
      </c>
      <c r="M1027" s="1">
        <f t="shared" si="106"/>
        <v>276</v>
      </c>
      <c r="N1027" s="38">
        <f>+M1027*'Failure Data'!F$3</f>
        <v>7.13</v>
      </c>
    </row>
    <row r="1028" spans="1:14" x14ac:dyDescent="0.15">
      <c r="A1028" s="1">
        <v>1019</v>
      </c>
      <c r="B1028" s="3">
        <f t="shared" si="101"/>
        <v>258.84057659550382</v>
      </c>
      <c r="C1028" s="8"/>
      <c r="D1028" s="3">
        <f t="shared" si="102"/>
        <v>252.50072659261926</v>
      </c>
      <c r="F1028" s="3">
        <f t="shared" si="103"/>
        <v>-158.84057659550382</v>
      </c>
      <c r="G1028" s="3">
        <f t="shared" si="104"/>
        <v>6.3398500028845604</v>
      </c>
      <c r="H1028" s="3">
        <f t="shared" si="105"/>
        <v>252.50072659261926</v>
      </c>
      <c r="M1028" s="1">
        <f t="shared" si="106"/>
        <v>277</v>
      </c>
      <c r="N1028" s="38">
        <f>+M1028*'Failure Data'!F$3</f>
        <v>7.1558333333333337</v>
      </c>
    </row>
    <row r="1029" spans="1:14" x14ac:dyDescent="0.15">
      <c r="A1029" s="1">
        <v>1020</v>
      </c>
      <c r="B1029" s="3">
        <f t="shared" si="101"/>
        <v>259.09148008087584</v>
      </c>
      <c r="C1029" s="8"/>
      <c r="D1029" s="3">
        <f t="shared" si="102"/>
        <v>252.75163007799125</v>
      </c>
      <c r="F1029" s="3">
        <f t="shared" si="103"/>
        <v>-159.09148008087584</v>
      </c>
      <c r="G1029" s="3">
        <f t="shared" si="104"/>
        <v>6.3398500028845888</v>
      </c>
      <c r="H1029" s="3">
        <f t="shared" si="105"/>
        <v>252.75163007799125</v>
      </c>
      <c r="M1029" s="1">
        <f t="shared" si="106"/>
        <v>278</v>
      </c>
      <c r="N1029" s="38">
        <f>+M1029*'Failure Data'!F$3</f>
        <v>7.1816666666666666</v>
      </c>
    </row>
    <row r="1030" spans="1:14" x14ac:dyDescent="0.15">
      <c r="A1030" s="1">
        <v>1021</v>
      </c>
      <c r="B1030" s="3">
        <f t="shared" si="101"/>
        <v>259.3423835662478</v>
      </c>
      <c r="C1030" s="8"/>
      <c r="D1030" s="3">
        <f t="shared" si="102"/>
        <v>253.00253356336322</v>
      </c>
      <c r="F1030" s="3">
        <f t="shared" si="103"/>
        <v>-159.3423835662478</v>
      </c>
      <c r="G1030" s="3">
        <f t="shared" si="104"/>
        <v>6.3398500028845888</v>
      </c>
      <c r="H1030" s="3">
        <f t="shared" si="105"/>
        <v>253.00253356336322</v>
      </c>
      <c r="M1030" s="1">
        <f t="shared" si="106"/>
        <v>279</v>
      </c>
      <c r="N1030" s="38">
        <f>+M1030*'Failure Data'!F$3</f>
        <v>7.2074999999999996</v>
      </c>
    </row>
    <row r="1031" spans="1:14" x14ac:dyDescent="0.15">
      <c r="A1031" s="1">
        <v>1022</v>
      </c>
      <c r="B1031" s="3">
        <f t="shared" si="101"/>
        <v>259.59328705161982</v>
      </c>
      <c r="C1031" s="8"/>
      <c r="D1031" s="3">
        <f t="shared" si="102"/>
        <v>253.25343704873524</v>
      </c>
      <c r="F1031" s="3">
        <f t="shared" si="103"/>
        <v>-159.59328705161982</v>
      </c>
      <c r="G1031" s="3">
        <f t="shared" si="104"/>
        <v>6.3398500028845888</v>
      </c>
      <c r="H1031" s="3">
        <f t="shared" si="105"/>
        <v>253.25343704873524</v>
      </c>
      <c r="M1031" s="1">
        <f t="shared" si="106"/>
        <v>280</v>
      </c>
      <c r="N1031" s="38">
        <f>+M1031*'Failure Data'!F$3</f>
        <v>7.2333333333333334</v>
      </c>
    </row>
    <row r="1032" spans="1:14" x14ac:dyDescent="0.15">
      <c r="A1032" s="1">
        <v>1023</v>
      </c>
      <c r="B1032" s="3">
        <f t="shared" si="101"/>
        <v>259.84419053699179</v>
      </c>
      <c r="C1032" s="8"/>
      <c r="D1032" s="3">
        <f t="shared" si="102"/>
        <v>253.5043405341072</v>
      </c>
      <c r="F1032" s="3">
        <f t="shared" si="103"/>
        <v>-159.84419053699179</v>
      </c>
      <c r="G1032" s="3">
        <f t="shared" si="104"/>
        <v>6.3398500028845888</v>
      </c>
      <c r="H1032" s="3">
        <f t="shared" si="105"/>
        <v>253.5043405341072</v>
      </c>
      <c r="M1032" s="1">
        <f t="shared" si="106"/>
        <v>281</v>
      </c>
      <c r="N1032" s="38">
        <f>+M1032*'Failure Data'!F$3</f>
        <v>7.2591666666666663</v>
      </c>
    </row>
    <row r="1033" spans="1:14" x14ac:dyDescent="0.15">
      <c r="A1033" s="1">
        <v>1024</v>
      </c>
      <c r="B1033" s="3">
        <f t="shared" si="101"/>
        <v>260.09509402236381</v>
      </c>
      <c r="C1033" s="8"/>
      <c r="D1033" s="3">
        <f t="shared" si="102"/>
        <v>253.75524401947922</v>
      </c>
      <c r="F1033" s="3">
        <f t="shared" si="103"/>
        <v>-160.09509402236381</v>
      </c>
      <c r="G1033" s="3">
        <f t="shared" si="104"/>
        <v>6.3398500028845888</v>
      </c>
      <c r="H1033" s="3">
        <f t="shared" si="105"/>
        <v>253.75524401947922</v>
      </c>
      <c r="M1033" s="1">
        <f t="shared" si="106"/>
        <v>282</v>
      </c>
      <c r="N1033" s="38">
        <f>+M1033*'Failure Data'!F$3</f>
        <v>7.2850000000000001</v>
      </c>
    </row>
    <row r="1034" spans="1:14" x14ac:dyDescent="0.15">
      <c r="A1034" s="1">
        <v>1025</v>
      </c>
      <c r="B1034" s="3">
        <f t="shared" si="101"/>
        <v>260.34599750773583</v>
      </c>
      <c r="C1034" s="8"/>
      <c r="D1034" s="3">
        <f t="shared" si="102"/>
        <v>254.00614750485124</v>
      </c>
      <c r="F1034" s="3">
        <f t="shared" si="103"/>
        <v>-160.34599750773583</v>
      </c>
      <c r="G1034" s="3">
        <f t="shared" si="104"/>
        <v>6.3398500028845888</v>
      </c>
      <c r="H1034" s="3">
        <f t="shared" si="105"/>
        <v>254.00614750485124</v>
      </c>
      <c r="M1034" s="1">
        <f t="shared" si="106"/>
        <v>283</v>
      </c>
      <c r="N1034" s="38">
        <f>+M1034*'Failure Data'!F$3</f>
        <v>7.3108333333333331</v>
      </c>
    </row>
    <row r="1035" spans="1:14" x14ac:dyDescent="0.15">
      <c r="A1035" s="1">
        <v>1026</v>
      </c>
      <c r="B1035" s="3">
        <f t="shared" si="101"/>
        <v>260.59690099310779</v>
      </c>
      <c r="C1035" s="8"/>
      <c r="D1035" s="3">
        <f t="shared" si="102"/>
        <v>254.25705099022321</v>
      </c>
      <c r="F1035" s="3">
        <f t="shared" si="103"/>
        <v>-160.59690099310779</v>
      </c>
      <c r="G1035" s="3">
        <f t="shared" si="104"/>
        <v>6.3398500028845888</v>
      </c>
      <c r="H1035" s="3">
        <f t="shared" si="105"/>
        <v>254.25705099022321</v>
      </c>
      <c r="M1035" s="1">
        <f t="shared" si="106"/>
        <v>284</v>
      </c>
      <c r="N1035" s="38">
        <f>+M1035*'Failure Data'!F$3</f>
        <v>7.3366666666666669</v>
      </c>
    </row>
    <row r="1036" spans="1:14" x14ac:dyDescent="0.15">
      <c r="A1036" s="1">
        <v>1027</v>
      </c>
      <c r="B1036" s="3">
        <f t="shared" si="101"/>
        <v>260.84780447847982</v>
      </c>
      <c r="C1036" s="8"/>
      <c r="D1036" s="3">
        <f t="shared" si="102"/>
        <v>254.50795447559523</v>
      </c>
      <c r="F1036" s="3">
        <f t="shared" si="103"/>
        <v>-160.84780447847982</v>
      </c>
      <c r="G1036" s="3">
        <f t="shared" si="104"/>
        <v>6.3398500028845888</v>
      </c>
      <c r="H1036" s="3">
        <f t="shared" si="105"/>
        <v>254.50795447559523</v>
      </c>
      <c r="M1036" s="1">
        <f t="shared" si="106"/>
        <v>285</v>
      </c>
      <c r="N1036" s="38">
        <f>+M1036*'Failure Data'!F$3</f>
        <v>7.3624999999999998</v>
      </c>
    </row>
    <row r="1037" spans="1:14" x14ac:dyDescent="0.15">
      <c r="A1037" s="1">
        <v>1028</v>
      </c>
      <c r="B1037" s="3">
        <f t="shared" si="101"/>
        <v>261.09870796385178</v>
      </c>
      <c r="C1037" s="8"/>
      <c r="D1037" s="3">
        <f t="shared" si="102"/>
        <v>254.75885796096719</v>
      </c>
      <c r="F1037" s="3">
        <f t="shared" si="103"/>
        <v>-161.09870796385178</v>
      </c>
      <c r="G1037" s="3">
        <f t="shared" si="104"/>
        <v>6.3398500028845888</v>
      </c>
      <c r="H1037" s="3">
        <f t="shared" si="105"/>
        <v>254.75885796096719</v>
      </c>
      <c r="M1037" s="1">
        <f t="shared" si="106"/>
        <v>286</v>
      </c>
      <c r="N1037" s="38">
        <f>+M1037*'Failure Data'!F$3</f>
        <v>7.3883333333333336</v>
      </c>
    </row>
    <row r="1038" spans="1:14" x14ac:dyDescent="0.15">
      <c r="A1038" s="1">
        <v>1029</v>
      </c>
      <c r="B1038" s="3">
        <f t="shared" si="101"/>
        <v>261.3496114492238</v>
      </c>
      <c r="C1038" s="8"/>
      <c r="D1038" s="3">
        <f t="shared" si="102"/>
        <v>255.00976144633921</v>
      </c>
      <c r="F1038" s="3">
        <f t="shared" si="103"/>
        <v>-161.3496114492238</v>
      </c>
      <c r="G1038" s="3">
        <f t="shared" si="104"/>
        <v>6.3398500028845888</v>
      </c>
      <c r="H1038" s="3">
        <f t="shared" si="105"/>
        <v>255.00976144633921</v>
      </c>
      <c r="M1038" s="1">
        <f t="shared" si="106"/>
        <v>287</v>
      </c>
      <c r="N1038" s="38">
        <f>+M1038*'Failure Data'!F$3</f>
        <v>7.4141666666666666</v>
      </c>
    </row>
    <row r="1039" spans="1:14" x14ac:dyDescent="0.15">
      <c r="A1039" s="1">
        <v>1030</v>
      </c>
      <c r="B1039" s="3">
        <f t="shared" si="101"/>
        <v>261.60051493459576</v>
      </c>
      <c r="C1039" s="8"/>
      <c r="D1039" s="3">
        <f t="shared" si="102"/>
        <v>255.26066493171118</v>
      </c>
      <c r="F1039" s="3">
        <f t="shared" si="103"/>
        <v>-161.60051493459576</v>
      </c>
      <c r="G1039" s="3">
        <f t="shared" si="104"/>
        <v>6.3398500028845888</v>
      </c>
      <c r="H1039" s="3">
        <f t="shared" si="105"/>
        <v>255.26066493171118</v>
      </c>
      <c r="M1039" s="1">
        <f t="shared" si="106"/>
        <v>288</v>
      </c>
      <c r="N1039" s="38">
        <f>+M1039*'Failure Data'!F$3</f>
        <v>7.4399999999999995</v>
      </c>
    </row>
    <row r="1040" spans="1:14" x14ac:dyDescent="0.15">
      <c r="A1040" s="1">
        <v>1031</v>
      </c>
      <c r="B1040" s="3">
        <f t="shared" si="101"/>
        <v>261.85141841996779</v>
      </c>
      <c r="C1040" s="8"/>
      <c r="D1040" s="3">
        <f t="shared" si="102"/>
        <v>255.5115684170832</v>
      </c>
      <c r="F1040" s="3">
        <f t="shared" si="103"/>
        <v>-161.85141841996779</v>
      </c>
      <c r="G1040" s="3">
        <f t="shared" si="104"/>
        <v>6.3398500028845888</v>
      </c>
      <c r="H1040" s="3">
        <f t="shared" si="105"/>
        <v>255.5115684170832</v>
      </c>
      <c r="M1040" s="1">
        <f t="shared" si="106"/>
        <v>289</v>
      </c>
      <c r="N1040" s="38">
        <f>+M1040*'Failure Data'!F$3</f>
        <v>7.4658333333333333</v>
      </c>
    </row>
    <row r="1041" spans="1:14" x14ac:dyDescent="0.15">
      <c r="A1041" s="1">
        <v>1032</v>
      </c>
      <c r="B1041" s="3">
        <f t="shared" si="101"/>
        <v>262.10232190533975</v>
      </c>
      <c r="C1041" s="8"/>
      <c r="D1041" s="3">
        <f t="shared" si="102"/>
        <v>255.76247190245516</v>
      </c>
      <c r="F1041" s="3">
        <f t="shared" si="103"/>
        <v>-162.10232190533975</v>
      </c>
      <c r="G1041" s="3">
        <f t="shared" si="104"/>
        <v>6.3398500028845888</v>
      </c>
      <c r="H1041" s="3">
        <f t="shared" si="105"/>
        <v>255.76247190245516</v>
      </c>
      <c r="M1041" s="1">
        <f t="shared" si="106"/>
        <v>290</v>
      </c>
      <c r="N1041" s="38">
        <f>+M1041*'Failure Data'!F$3</f>
        <v>7.4916666666666663</v>
      </c>
    </row>
    <row r="1042" spans="1:14" x14ac:dyDescent="0.15">
      <c r="A1042" s="1">
        <v>1033</v>
      </c>
      <c r="B1042" s="3">
        <f t="shared" si="101"/>
        <v>262.35322539071177</v>
      </c>
      <c r="C1042" s="8"/>
      <c r="D1042" s="3">
        <f t="shared" si="102"/>
        <v>256.01337538782718</v>
      </c>
      <c r="F1042" s="3">
        <f t="shared" si="103"/>
        <v>-162.35322539071177</v>
      </c>
      <c r="G1042" s="3">
        <f t="shared" si="104"/>
        <v>6.3398500028845888</v>
      </c>
      <c r="H1042" s="3">
        <f t="shared" si="105"/>
        <v>256.01337538782718</v>
      </c>
      <c r="M1042" s="1">
        <f t="shared" si="106"/>
        <v>291</v>
      </c>
      <c r="N1042" s="38">
        <f>+M1042*'Failure Data'!F$3</f>
        <v>7.5175000000000001</v>
      </c>
    </row>
    <row r="1043" spans="1:14" x14ac:dyDescent="0.15">
      <c r="A1043" s="1">
        <v>1034</v>
      </c>
      <c r="B1043" s="3">
        <f t="shared" si="101"/>
        <v>262.60412887608373</v>
      </c>
      <c r="C1043" s="8"/>
      <c r="D1043" s="3">
        <f t="shared" si="102"/>
        <v>256.26427887319915</v>
      </c>
      <c r="F1043" s="3">
        <f t="shared" si="103"/>
        <v>-162.60412887608373</v>
      </c>
      <c r="G1043" s="3">
        <f t="shared" si="104"/>
        <v>6.3398500028845888</v>
      </c>
      <c r="H1043" s="3">
        <f t="shared" si="105"/>
        <v>256.26427887319915</v>
      </c>
      <c r="M1043" s="1">
        <f t="shared" si="106"/>
        <v>292</v>
      </c>
      <c r="N1043" s="38">
        <f>+M1043*'Failure Data'!F$3</f>
        <v>7.543333333333333</v>
      </c>
    </row>
    <row r="1044" spans="1:14" x14ac:dyDescent="0.15">
      <c r="A1044" s="1">
        <v>1035</v>
      </c>
      <c r="B1044" s="3">
        <f t="shared" si="101"/>
        <v>262.85503236145576</v>
      </c>
      <c r="C1044" s="8"/>
      <c r="D1044" s="3">
        <f t="shared" si="102"/>
        <v>256.51518235857117</v>
      </c>
      <c r="F1044" s="3">
        <f t="shared" si="103"/>
        <v>-162.85503236145576</v>
      </c>
      <c r="G1044" s="3">
        <f t="shared" si="104"/>
        <v>6.3398500028845888</v>
      </c>
      <c r="H1044" s="3">
        <f t="shared" si="105"/>
        <v>256.51518235857117</v>
      </c>
      <c r="M1044" s="1">
        <f t="shared" si="106"/>
        <v>293</v>
      </c>
      <c r="N1044" s="38">
        <f>+M1044*'Failure Data'!F$3</f>
        <v>7.5691666666666668</v>
      </c>
    </row>
    <row r="1045" spans="1:14" x14ac:dyDescent="0.15">
      <c r="A1045" s="1">
        <v>1036</v>
      </c>
      <c r="B1045" s="3">
        <f t="shared" si="101"/>
        <v>263.10593584682772</v>
      </c>
      <c r="C1045" s="8"/>
      <c r="D1045" s="3">
        <f t="shared" si="102"/>
        <v>256.76608584394313</v>
      </c>
      <c r="F1045" s="3">
        <f t="shared" si="103"/>
        <v>-163.10593584682772</v>
      </c>
      <c r="G1045" s="3">
        <f t="shared" si="104"/>
        <v>6.3398500028845888</v>
      </c>
      <c r="H1045" s="3">
        <f t="shared" si="105"/>
        <v>256.76608584394313</v>
      </c>
      <c r="M1045" s="1">
        <f t="shared" si="106"/>
        <v>294</v>
      </c>
      <c r="N1045" s="38">
        <f>+M1045*'Failure Data'!F$3</f>
        <v>7.5949999999999998</v>
      </c>
    </row>
    <row r="1046" spans="1:14" x14ac:dyDescent="0.15">
      <c r="A1046" s="1">
        <v>1037</v>
      </c>
      <c r="B1046" s="3">
        <f t="shared" si="101"/>
        <v>263.35683933219974</v>
      </c>
      <c r="C1046" s="8"/>
      <c r="D1046" s="3">
        <f t="shared" si="102"/>
        <v>257.01698932931515</v>
      </c>
      <c r="F1046" s="3">
        <f t="shared" si="103"/>
        <v>-163.35683933219974</v>
      </c>
      <c r="G1046" s="3">
        <f t="shared" si="104"/>
        <v>6.3398500028845888</v>
      </c>
      <c r="H1046" s="3">
        <f t="shared" si="105"/>
        <v>257.01698932931515</v>
      </c>
      <c r="M1046" s="1">
        <f t="shared" si="106"/>
        <v>295</v>
      </c>
      <c r="N1046" s="38">
        <f>+M1046*'Failure Data'!F$3</f>
        <v>7.6208333333333336</v>
      </c>
    </row>
    <row r="1047" spans="1:14" x14ac:dyDescent="0.15">
      <c r="A1047" s="1">
        <v>1038</v>
      </c>
      <c r="B1047" s="3">
        <f t="shared" si="101"/>
        <v>263.6077428175717</v>
      </c>
      <c r="C1047" s="8"/>
      <c r="D1047" s="3">
        <f t="shared" si="102"/>
        <v>257.26789281468712</v>
      </c>
      <c r="F1047" s="3">
        <f t="shared" si="103"/>
        <v>-163.6077428175717</v>
      </c>
      <c r="G1047" s="3">
        <f t="shared" si="104"/>
        <v>6.3398500028845888</v>
      </c>
      <c r="H1047" s="3">
        <f t="shared" si="105"/>
        <v>257.26789281468712</v>
      </c>
      <c r="M1047" s="1">
        <f t="shared" si="106"/>
        <v>296</v>
      </c>
      <c r="N1047" s="38">
        <f>+M1047*'Failure Data'!F$3</f>
        <v>7.6466666666666665</v>
      </c>
    </row>
    <row r="1048" spans="1:14" x14ac:dyDescent="0.15">
      <c r="A1048" s="1">
        <v>1039</v>
      </c>
      <c r="B1048" s="3">
        <f t="shared" si="101"/>
        <v>263.85864630294373</v>
      </c>
      <c r="C1048" s="8"/>
      <c r="D1048" s="3">
        <f t="shared" si="102"/>
        <v>257.51879630005914</v>
      </c>
      <c r="F1048" s="3">
        <f t="shared" si="103"/>
        <v>-163.85864630294373</v>
      </c>
      <c r="G1048" s="3">
        <f t="shared" si="104"/>
        <v>6.3398500028845888</v>
      </c>
      <c r="H1048" s="3">
        <f t="shared" si="105"/>
        <v>257.51879630005914</v>
      </c>
      <c r="M1048" s="1">
        <f t="shared" si="106"/>
        <v>297</v>
      </c>
      <c r="N1048" s="38">
        <f>+M1048*'Failure Data'!F$3</f>
        <v>7.6725000000000003</v>
      </c>
    </row>
    <row r="1049" spans="1:14" x14ac:dyDescent="0.15">
      <c r="A1049" s="1">
        <v>1040</v>
      </c>
      <c r="B1049" s="3">
        <f t="shared" si="101"/>
        <v>264.10954978831569</v>
      </c>
      <c r="C1049" s="8"/>
      <c r="D1049" s="3">
        <f t="shared" si="102"/>
        <v>257.7696997854311</v>
      </c>
      <c r="F1049" s="3">
        <f t="shared" si="103"/>
        <v>-164.10954978831569</v>
      </c>
      <c r="G1049" s="3">
        <f t="shared" si="104"/>
        <v>6.3398500028845888</v>
      </c>
      <c r="H1049" s="3">
        <f t="shared" si="105"/>
        <v>257.7696997854311</v>
      </c>
      <c r="M1049" s="1">
        <f t="shared" si="106"/>
        <v>298</v>
      </c>
      <c r="N1049" s="38">
        <f>+M1049*'Failure Data'!F$3</f>
        <v>7.6983333333333333</v>
      </c>
    </row>
    <row r="1050" spans="1:14" x14ac:dyDescent="0.15">
      <c r="A1050" s="1">
        <v>1041</v>
      </c>
      <c r="B1050" s="3">
        <f t="shared" si="101"/>
        <v>264.36045327368771</v>
      </c>
      <c r="C1050" s="8"/>
      <c r="D1050" s="3">
        <f t="shared" si="102"/>
        <v>258.02060327080312</v>
      </c>
      <c r="F1050" s="3">
        <f t="shared" si="103"/>
        <v>-164.36045327368771</v>
      </c>
      <c r="G1050" s="3">
        <f t="shared" si="104"/>
        <v>6.3398500028845888</v>
      </c>
      <c r="H1050" s="3">
        <f t="shared" si="105"/>
        <v>258.02060327080312</v>
      </c>
      <c r="M1050" s="1">
        <f t="shared" si="106"/>
        <v>299</v>
      </c>
      <c r="N1050" s="38">
        <f>+M1050*'Failure Data'!F$3</f>
        <v>7.7241666666666662</v>
      </c>
    </row>
    <row r="1051" spans="1:14" x14ac:dyDescent="0.15">
      <c r="A1051" s="1">
        <v>1042</v>
      </c>
      <c r="B1051" s="3">
        <f t="shared" si="101"/>
        <v>264.61135675905967</v>
      </c>
      <c r="C1051" s="8"/>
      <c r="D1051" s="3">
        <f t="shared" si="102"/>
        <v>258.27150675617509</v>
      </c>
      <c r="F1051" s="3">
        <f t="shared" si="103"/>
        <v>-164.61135675905967</v>
      </c>
      <c r="G1051" s="3">
        <f t="shared" si="104"/>
        <v>6.3398500028845888</v>
      </c>
      <c r="H1051" s="3">
        <f t="shared" si="105"/>
        <v>258.27150675617509</v>
      </c>
      <c r="M1051" s="1">
        <f t="shared" si="106"/>
        <v>300</v>
      </c>
      <c r="N1051" s="38">
        <f>+M1051*'Failure Data'!F$3</f>
        <v>7.75</v>
      </c>
    </row>
    <row r="1052" spans="1:14" x14ac:dyDescent="0.15">
      <c r="A1052" s="1">
        <v>1043</v>
      </c>
      <c r="B1052" s="3">
        <f t="shared" si="101"/>
        <v>264.8622602444317</v>
      </c>
      <c r="C1052" s="8"/>
      <c r="D1052" s="3">
        <f t="shared" si="102"/>
        <v>258.52241024154711</v>
      </c>
      <c r="F1052" s="3">
        <f t="shared" si="103"/>
        <v>-164.8622602444317</v>
      </c>
      <c r="G1052" s="3">
        <f t="shared" si="104"/>
        <v>6.3398500028845888</v>
      </c>
      <c r="H1052" s="3">
        <f t="shared" si="105"/>
        <v>258.52241024154711</v>
      </c>
      <c r="M1052" s="1">
        <f t="shared" si="106"/>
        <v>301</v>
      </c>
      <c r="N1052" s="38">
        <f>+M1052*'Failure Data'!F$3</f>
        <v>7.7758333333333329</v>
      </c>
    </row>
    <row r="1053" spans="1:14" x14ac:dyDescent="0.15">
      <c r="A1053" s="1">
        <v>1044</v>
      </c>
      <c r="B1053" s="3">
        <f t="shared" si="101"/>
        <v>265.11316372980366</v>
      </c>
      <c r="C1053" s="8"/>
      <c r="D1053" s="3">
        <f t="shared" si="102"/>
        <v>258.77331372691907</v>
      </c>
      <c r="F1053" s="3">
        <f t="shared" si="103"/>
        <v>-165.11316372980366</v>
      </c>
      <c r="G1053" s="3">
        <f t="shared" si="104"/>
        <v>6.3398500028845888</v>
      </c>
      <c r="H1053" s="3">
        <f t="shared" si="105"/>
        <v>258.77331372691907</v>
      </c>
      <c r="M1053" s="1">
        <f t="shared" si="106"/>
        <v>302</v>
      </c>
      <c r="N1053" s="38">
        <f>+M1053*'Failure Data'!F$3</f>
        <v>7.8016666666666667</v>
      </c>
    </row>
    <row r="1054" spans="1:14" x14ac:dyDescent="0.15">
      <c r="A1054" s="1">
        <v>1045</v>
      </c>
      <c r="B1054" s="3">
        <f t="shared" si="101"/>
        <v>265.36406721517568</v>
      </c>
      <c r="C1054" s="8"/>
      <c r="D1054" s="3">
        <f t="shared" si="102"/>
        <v>259.02421721229109</v>
      </c>
      <c r="F1054" s="3">
        <f t="shared" si="103"/>
        <v>-165.36406721517568</v>
      </c>
      <c r="G1054" s="3">
        <f t="shared" si="104"/>
        <v>6.3398500028845888</v>
      </c>
      <c r="H1054" s="3">
        <f t="shared" si="105"/>
        <v>259.02421721229109</v>
      </c>
      <c r="M1054" s="1">
        <f t="shared" si="106"/>
        <v>303</v>
      </c>
      <c r="N1054" s="38">
        <f>+M1054*'Failure Data'!F$3</f>
        <v>7.8274999999999997</v>
      </c>
    </row>
    <row r="1055" spans="1:14" x14ac:dyDescent="0.15">
      <c r="A1055" s="1">
        <v>1046</v>
      </c>
      <c r="B1055" s="3">
        <f t="shared" si="101"/>
        <v>265.61497070054764</v>
      </c>
      <c r="C1055" s="8"/>
      <c r="D1055" s="3">
        <f t="shared" si="102"/>
        <v>259.27512069766306</v>
      </c>
      <c r="F1055" s="3">
        <f t="shared" si="103"/>
        <v>-165.61497070054764</v>
      </c>
      <c r="G1055" s="3">
        <f t="shared" si="104"/>
        <v>6.3398500028845888</v>
      </c>
      <c r="H1055" s="3">
        <f t="shared" si="105"/>
        <v>259.27512069766306</v>
      </c>
      <c r="M1055" s="1">
        <f t="shared" si="106"/>
        <v>304</v>
      </c>
      <c r="N1055" s="38">
        <f>+M1055*'Failure Data'!F$3</f>
        <v>7.8533333333333335</v>
      </c>
    </row>
    <row r="1056" spans="1:14" x14ac:dyDescent="0.15">
      <c r="A1056" s="1">
        <v>1047</v>
      </c>
      <c r="B1056" s="3">
        <f t="shared" si="101"/>
        <v>265.86587418591967</v>
      </c>
      <c r="C1056" s="8"/>
      <c r="D1056" s="3">
        <f t="shared" si="102"/>
        <v>259.52602418303508</v>
      </c>
      <c r="F1056" s="3">
        <f t="shared" si="103"/>
        <v>-165.86587418591967</v>
      </c>
      <c r="G1056" s="3">
        <f t="shared" si="104"/>
        <v>6.3398500028845888</v>
      </c>
      <c r="H1056" s="3">
        <f t="shared" si="105"/>
        <v>259.52602418303508</v>
      </c>
      <c r="M1056" s="1">
        <f t="shared" si="106"/>
        <v>305</v>
      </c>
      <c r="N1056" s="38">
        <f>+M1056*'Failure Data'!F$3</f>
        <v>7.8791666666666664</v>
      </c>
    </row>
    <row r="1057" spans="1:14" x14ac:dyDescent="0.15">
      <c r="A1057" s="1">
        <v>1048</v>
      </c>
      <c r="B1057" s="3">
        <f t="shared" si="101"/>
        <v>266.11677767129163</v>
      </c>
      <c r="C1057" s="8"/>
      <c r="D1057" s="3">
        <f t="shared" si="102"/>
        <v>259.7769276684071</v>
      </c>
      <c r="F1057" s="3">
        <f t="shared" si="103"/>
        <v>-166.11677767129163</v>
      </c>
      <c r="G1057" s="3">
        <f t="shared" si="104"/>
        <v>6.3398500028845319</v>
      </c>
      <c r="H1057" s="3">
        <f t="shared" si="105"/>
        <v>259.7769276684071</v>
      </c>
      <c r="M1057" s="1">
        <f t="shared" si="106"/>
        <v>306</v>
      </c>
      <c r="N1057" s="38">
        <f>+M1057*'Failure Data'!F$3</f>
        <v>7.9050000000000002</v>
      </c>
    </row>
    <row r="1058" spans="1:14" x14ac:dyDescent="0.15">
      <c r="A1058" s="1">
        <v>1049</v>
      </c>
      <c r="B1058" s="3">
        <f t="shared" si="101"/>
        <v>266.36768115666365</v>
      </c>
      <c r="C1058" s="8"/>
      <c r="D1058" s="3">
        <f t="shared" si="102"/>
        <v>260.02783115377906</v>
      </c>
      <c r="F1058" s="3">
        <f t="shared" si="103"/>
        <v>-166.36768115666365</v>
      </c>
      <c r="G1058" s="3">
        <f t="shared" si="104"/>
        <v>6.3398500028845888</v>
      </c>
      <c r="H1058" s="3">
        <f t="shared" si="105"/>
        <v>260.02783115377906</v>
      </c>
      <c r="M1058" s="1">
        <f t="shared" si="106"/>
        <v>307</v>
      </c>
      <c r="N1058" s="38">
        <f>+M1058*'Failure Data'!F$3</f>
        <v>7.9308333333333332</v>
      </c>
    </row>
    <row r="1059" spans="1:14" x14ac:dyDescent="0.15">
      <c r="A1059" s="1">
        <v>1050</v>
      </c>
      <c r="B1059" s="3">
        <f t="shared" si="101"/>
        <v>266.61858464203567</v>
      </c>
      <c r="C1059" s="8"/>
      <c r="D1059" s="3">
        <f t="shared" si="102"/>
        <v>260.27873463915108</v>
      </c>
      <c r="F1059" s="3">
        <f t="shared" si="103"/>
        <v>-166.61858464203567</v>
      </c>
      <c r="G1059" s="3">
        <f t="shared" si="104"/>
        <v>6.3398500028845888</v>
      </c>
      <c r="H1059" s="3">
        <f t="shared" si="105"/>
        <v>260.27873463915108</v>
      </c>
      <c r="M1059" s="1">
        <f t="shared" si="106"/>
        <v>308</v>
      </c>
      <c r="N1059" s="38">
        <f>+M1059*'Failure Data'!F$3</f>
        <v>7.956666666666667</v>
      </c>
    </row>
    <row r="1060" spans="1:14" x14ac:dyDescent="0.15">
      <c r="A1060" s="1">
        <v>1051</v>
      </c>
      <c r="B1060" s="3">
        <f t="shared" si="101"/>
        <v>266.86948812740764</v>
      </c>
      <c r="C1060" s="8"/>
      <c r="D1060" s="3">
        <f t="shared" si="102"/>
        <v>260.52963812452305</v>
      </c>
      <c r="F1060" s="3">
        <f t="shared" si="103"/>
        <v>-166.86948812740764</v>
      </c>
      <c r="G1060" s="3">
        <f t="shared" si="104"/>
        <v>6.3398500028845888</v>
      </c>
      <c r="H1060" s="3">
        <f t="shared" si="105"/>
        <v>260.52963812452305</v>
      </c>
      <c r="M1060" s="1">
        <f t="shared" si="106"/>
        <v>309</v>
      </c>
      <c r="N1060" s="38">
        <f>+M1060*'Failure Data'!F$3</f>
        <v>7.9824999999999999</v>
      </c>
    </row>
    <row r="1061" spans="1:14" x14ac:dyDescent="0.15">
      <c r="A1061" s="1">
        <v>1052</v>
      </c>
      <c r="B1061" s="3">
        <f t="shared" si="101"/>
        <v>267.12039161277966</v>
      </c>
      <c r="C1061" s="8"/>
      <c r="D1061" s="3">
        <f t="shared" si="102"/>
        <v>260.78054160989507</v>
      </c>
      <c r="F1061" s="3">
        <f t="shared" si="103"/>
        <v>-167.12039161277966</v>
      </c>
      <c r="G1061" s="3">
        <f t="shared" si="104"/>
        <v>6.3398500028845888</v>
      </c>
      <c r="H1061" s="3">
        <f t="shared" si="105"/>
        <v>260.78054160989507</v>
      </c>
      <c r="M1061" s="1">
        <f t="shared" si="106"/>
        <v>310</v>
      </c>
      <c r="N1061" s="38">
        <f>+M1061*'Failure Data'!F$3</f>
        <v>8.0083333333333329</v>
      </c>
    </row>
    <row r="1062" spans="1:14" x14ac:dyDescent="0.15">
      <c r="A1062" s="1">
        <v>1053</v>
      </c>
      <c r="B1062" s="3">
        <f t="shared" si="101"/>
        <v>267.37129509815162</v>
      </c>
      <c r="C1062" s="8"/>
      <c r="D1062" s="3">
        <f t="shared" si="102"/>
        <v>261.03144509526703</v>
      </c>
      <c r="F1062" s="3">
        <f t="shared" si="103"/>
        <v>-167.37129509815162</v>
      </c>
      <c r="G1062" s="3">
        <f t="shared" si="104"/>
        <v>6.3398500028845888</v>
      </c>
      <c r="H1062" s="3">
        <f t="shared" si="105"/>
        <v>261.03144509526703</v>
      </c>
      <c r="M1062" s="1">
        <f t="shared" si="106"/>
        <v>311</v>
      </c>
      <c r="N1062" s="38">
        <f>+M1062*'Failure Data'!F$3</f>
        <v>8.0341666666666658</v>
      </c>
    </row>
    <row r="1063" spans="1:14" x14ac:dyDescent="0.15">
      <c r="A1063" s="1">
        <v>1054</v>
      </c>
      <c r="B1063" s="3">
        <f t="shared" si="101"/>
        <v>267.62219858352364</v>
      </c>
      <c r="C1063" s="8"/>
      <c r="D1063" s="3">
        <f t="shared" si="102"/>
        <v>261.28234858063905</v>
      </c>
      <c r="F1063" s="3">
        <f t="shared" si="103"/>
        <v>-167.62219858352364</v>
      </c>
      <c r="G1063" s="3">
        <f t="shared" si="104"/>
        <v>6.3398500028845888</v>
      </c>
      <c r="H1063" s="3">
        <f t="shared" si="105"/>
        <v>261.28234858063905</v>
      </c>
      <c r="M1063" s="1">
        <f t="shared" si="106"/>
        <v>312</v>
      </c>
      <c r="N1063" s="38">
        <f>+M1063*'Failure Data'!F$3</f>
        <v>8.06</v>
      </c>
    </row>
    <row r="1064" spans="1:14" x14ac:dyDescent="0.15">
      <c r="A1064" s="1">
        <v>1055</v>
      </c>
      <c r="B1064" s="3">
        <f t="shared" si="101"/>
        <v>267.87310206889561</v>
      </c>
      <c r="C1064" s="8"/>
      <c r="D1064" s="3">
        <f t="shared" si="102"/>
        <v>261.53325206601102</v>
      </c>
      <c r="F1064" s="3">
        <f t="shared" si="103"/>
        <v>-167.87310206889561</v>
      </c>
      <c r="G1064" s="3">
        <f t="shared" si="104"/>
        <v>6.3398500028845888</v>
      </c>
      <c r="H1064" s="3">
        <f t="shared" si="105"/>
        <v>261.53325206601102</v>
      </c>
      <c r="M1064" s="1">
        <f t="shared" si="106"/>
        <v>313</v>
      </c>
      <c r="N1064" s="38">
        <f>+M1064*'Failure Data'!F$3</f>
        <v>8.0858333333333334</v>
      </c>
    </row>
    <row r="1065" spans="1:14" x14ac:dyDescent="0.15">
      <c r="A1065" s="1">
        <v>1056</v>
      </c>
      <c r="B1065" s="3">
        <f t="shared" si="101"/>
        <v>268.12400555426763</v>
      </c>
      <c r="C1065" s="8"/>
      <c r="D1065" s="3">
        <f t="shared" si="102"/>
        <v>261.78415555138304</v>
      </c>
      <c r="F1065" s="3">
        <f t="shared" si="103"/>
        <v>-168.12400555426763</v>
      </c>
      <c r="G1065" s="3">
        <f t="shared" si="104"/>
        <v>6.3398500028845888</v>
      </c>
      <c r="H1065" s="3">
        <f t="shared" si="105"/>
        <v>261.78415555138304</v>
      </c>
      <c r="M1065" s="1">
        <f t="shared" si="106"/>
        <v>314</v>
      </c>
      <c r="N1065" s="38">
        <f>+M1065*'Failure Data'!F$3</f>
        <v>8.1116666666666664</v>
      </c>
    </row>
    <row r="1066" spans="1:14" x14ac:dyDescent="0.15">
      <c r="A1066" s="1">
        <v>1057</v>
      </c>
      <c r="B1066" s="3">
        <f t="shared" si="101"/>
        <v>268.37490903963959</v>
      </c>
      <c r="C1066" s="8"/>
      <c r="D1066" s="3">
        <f t="shared" si="102"/>
        <v>262.035059036755</v>
      </c>
      <c r="F1066" s="3">
        <f t="shared" si="103"/>
        <v>-168.37490903963959</v>
      </c>
      <c r="G1066" s="3">
        <f t="shared" si="104"/>
        <v>6.3398500028845888</v>
      </c>
      <c r="H1066" s="3">
        <f t="shared" si="105"/>
        <v>262.035059036755</v>
      </c>
      <c r="M1066" s="1">
        <f t="shared" si="106"/>
        <v>315</v>
      </c>
      <c r="N1066" s="38">
        <f>+M1066*'Failure Data'!F$3</f>
        <v>8.1374999999999993</v>
      </c>
    </row>
    <row r="1067" spans="1:14" x14ac:dyDescent="0.15">
      <c r="A1067" s="1">
        <v>1058</v>
      </c>
      <c r="B1067" s="3">
        <f t="shared" si="101"/>
        <v>268.62581252501161</v>
      </c>
      <c r="C1067" s="8"/>
      <c r="D1067" s="3">
        <f t="shared" si="102"/>
        <v>262.28596252212702</v>
      </c>
      <c r="F1067" s="3">
        <f t="shared" si="103"/>
        <v>-168.62581252501161</v>
      </c>
      <c r="G1067" s="3">
        <f t="shared" si="104"/>
        <v>6.3398500028845888</v>
      </c>
      <c r="H1067" s="3">
        <f t="shared" si="105"/>
        <v>262.28596252212702</v>
      </c>
      <c r="M1067" s="1">
        <f t="shared" si="106"/>
        <v>316</v>
      </c>
      <c r="N1067" s="38">
        <f>+M1067*'Failure Data'!F$3</f>
        <v>8.163333333333334</v>
      </c>
    </row>
    <row r="1068" spans="1:14" x14ac:dyDescent="0.15">
      <c r="A1068" s="1">
        <v>1059</v>
      </c>
      <c r="B1068" s="3">
        <f t="shared" si="101"/>
        <v>268.87671601038357</v>
      </c>
      <c r="C1068" s="8"/>
      <c r="D1068" s="3">
        <f t="shared" si="102"/>
        <v>262.53686600749899</v>
      </c>
      <c r="F1068" s="3">
        <f t="shared" si="103"/>
        <v>-168.87671601038357</v>
      </c>
      <c r="G1068" s="3">
        <f t="shared" si="104"/>
        <v>6.3398500028845888</v>
      </c>
      <c r="H1068" s="3">
        <f t="shared" si="105"/>
        <v>262.53686600749899</v>
      </c>
      <c r="M1068" s="1">
        <f t="shared" si="106"/>
        <v>317</v>
      </c>
      <c r="N1068" s="38">
        <f>+M1068*'Failure Data'!F$3</f>
        <v>8.1891666666666669</v>
      </c>
    </row>
    <row r="1069" spans="1:14" x14ac:dyDescent="0.15">
      <c r="A1069" s="1">
        <v>1060</v>
      </c>
      <c r="B1069" s="3">
        <f t="shared" si="101"/>
        <v>269.1276194957556</v>
      </c>
      <c r="C1069" s="8"/>
      <c r="D1069" s="3">
        <f t="shared" si="102"/>
        <v>262.78776949287101</v>
      </c>
      <c r="F1069" s="3">
        <f t="shared" si="103"/>
        <v>-169.1276194957556</v>
      </c>
      <c r="G1069" s="3">
        <f t="shared" si="104"/>
        <v>6.3398500028845888</v>
      </c>
      <c r="H1069" s="3">
        <f t="shared" si="105"/>
        <v>262.78776949287101</v>
      </c>
      <c r="M1069" s="1">
        <f t="shared" si="106"/>
        <v>318</v>
      </c>
      <c r="N1069" s="38">
        <f>+M1069*'Failure Data'!F$3</f>
        <v>8.2149999999999999</v>
      </c>
    </row>
    <row r="1070" spans="1:14" x14ac:dyDescent="0.15">
      <c r="A1070" s="1">
        <v>1061</v>
      </c>
      <c r="B1070" s="3">
        <f t="shared" ref="B1070:B1133" si="107">+(B$4*A1070)+B$5</f>
        <v>269.37852298112756</v>
      </c>
      <c r="C1070" s="8"/>
      <c r="D1070" s="3">
        <f t="shared" ref="D1070:D1133" si="108">+(D$4*A1070)+D$5</f>
        <v>263.03867297824297</v>
      </c>
      <c r="F1070" s="3">
        <f t="shared" ref="F1070:F1133" si="109">+xmax-B1070</f>
        <v>-169.37852298112756</v>
      </c>
      <c r="G1070" s="3">
        <f t="shared" ref="G1070:G1133" si="110">+B1070-D1070</f>
        <v>6.3398500028845888</v>
      </c>
      <c r="H1070" s="3">
        <f t="shared" ref="H1070:H1133" si="111">D1070</f>
        <v>263.03867297824297</v>
      </c>
      <c r="M1070" s="1">
        <f t="shared" si="106"/>
        <v>319</v>
      </c>
      <c r="N1070" s="38">
        <f>+M1070*'Failure Data'!F$3</f>
        <v>8.2408333333333328</v>
      </c>
    </row>
    <row r="1071" spans="1:14" x14ac:dyDescent="0.15">
      <c r="A1071" s="1">
        <v>1062</v>
      </c>
      <c r="B1071" s="3">
        <f t="shared" si="107"/>
        <v>269.62942646649958</v>
      </c>
      <c r="C1071" s="8"/>
      <c r="D1071" s="3">
        <f t="shared" si="108"/>
        <v>263.28957646361499</v>
      </c>
      <c r="F1071" s="3">
        <f t="shared" si="109"/>
        <v>-169.62942646649958</v>
      </c>
      <c r="G1071" s="3">
        <f t="shared" si="110"/>
        <v>6.3398500028845888</v>
      </c>
      <c r="H1071" s="3">
        <f t="shared" si="111"/>
        <v>263.28957646361499</v>
      </c>
      <c r="M1071" s="1">
        <f t="shared" si="106"/>
        <v>320</v>
      </c>
      <c r="N1071" s="38">
        <f>+M1071*'Failure Data'!F$3</f>
        <v>8.2666666666666657</v>
      </c>
    </row>
    <row r="1072" spans="1:14" x14ac:dyDescent="0.15">
      <c r="A1072" s="1">
        <v>1063</v>
      </c>
      <c r="B1072" s="3">
        <f t="shared" si="107"/>
        <v>269.88032995187154</v>
      </c>
      <c r="C1072" s="8"/>
      <c r="D1072" s="3">
        <f t="shared" si="108"/>
        <v>263.54047994898696</v>
      </c>
      <c r="F1072" s="3">
        <f t="shared" si="109"/>
        <v>-169.88032995187154</v>
      </c>
      <c r="G1072" s="3">
        <f t="shared" si="110"/>
        <v>6.3398500028845888</v>
      </c>
      <c r="H1072" s="3">
        <f t="shared" si="111"/>
        <v>263.54047994898696</v>
      </c>
      <c r="M1072" s="1">
        <f t="shared" si="106"/>
        <v>321</v>
      </c>
      <c r="N1072" s="38">
        <f>+M1072*'Failure Data'!F$3</f>
        <v>8.2925000000000004</v>
      </c>
    </row>
    <row r="1073" spans="1:14" x14ac:dyDescent="0.15">
      <c r="A1073" s="1">
        <v>1064</v>
      </c>
      <c r="B1073" s="3">
        <f t="shared" si="107"/>
        <v>270.13123343724357</v>
      </c>
      <c r="C1073" s="8"/>
      <c r="D1073" s="3">
        <f t="shared" si="108"/>
        <v>263.79138343435898</v>
      </c>
      <c r="F1073" s="3">
        <f t="shared" si="109"/>
        <v>-170.13123343724357</v>
      </c>
      <c r="G1073" s="3">
        <f t="shared" si="110"/>
        <v>6.3398500028845888</v>
      </c>
      <c r="H1073" s="3">
        <f t="shared" si="111"/>
        <v>263.79138343435898</v>
      </c>
      <c r="M1073" s="1">
        <f t="shared" si="106"/>
        <v>322</v>
      </c>
      <c r="N1073" s="38">
        <f>+M1073*'Failure Data'!F$3</f>
        <v>8.3183333333333334</v>
      </c>
    </row>
    <row r="1074" spans="1:14" x14ac:dyDescent="0.15">
      <c r="A1074" s="1">
        <v>1065</v>
      </c>
      <c r="B1074" s="3">
        <f t="shared" si="107"/>
        <v>270.38213692261553</v>
      </c>
      <c r="C1074" s="8"/>
      <c r="D1074" s="3">
        <f t="shared" si="108"/>
        <v>264.04228691973094</v>
      </c>
      <c r="F1074" s="3">
        <f t="shared" si="109"/>
        <v>-170.38213692261553</v>
      </c>
      <c r="G1074" s="3">
        <f t="shared" si="110"/>
        <v>6.3398500028845888</v>
      </c>
      <c r="H1074" s="3">
        <f t="shared" si="111"/>
        <v>264.04228691973094</v>
      </c>
      <c r="M1074" s="1">
        <f t="shared" si="106"/>
        <v>323</v>
      </c>
      <c r="N1074" s="38">
        <f>+M1074*'Failure Data'!F$3</f>
        <v>8.3441666666666663</v>
      </c>
    </row>
    <row r="1075" spans="1:14" x14ac:dyDescent="0.15">
      <c r="A1075" s="1">
        <v>1066</v>
      </c>
      <c r="B1075" s="3">
        <f t="shared" si="107"/>
        <v>270.63304040798755</v>
      </c>
      <c r="C1075" s="8"/>
      <c r="D1075" s="3">
        <f t="shared" si="108"/>
        <v>264.29319040510296</v>
      </c>
      <c r="F1075" s="3">
        <f t="shared" si="109"/>
        <v>-170.63304040798755</v>
      </c>
      <c r="G1075" s="3">
        <f t="shared" si="110"/>
        <v>6.3398500028845888</v>
      </c>
      <c r="H1075" s="3">
        <f t="shared" si="111"/>
        <v>264.29319040510296</v>
      </c>
      <c r="M1075" s="1">
        <f t="shared" si="106"/>
        <v>324</v>
      </c>
      <c r="N1075" s="38">
        <f>+M1075*'Failure Data'!F$3</f>
        <v>8.3699999999999992</v>
      </c>
    </row>
    <row r="1076" spans="1:14" x14ac:dyDescent="0.15">
      <c r="A1076" s="1">
        <v>1067</v>
      </c>
      <c r="B1076" s="3">
        <f t="shared" si="107"/>
        <v>270.88394389335951</v>
      </c>
      <c r="C1076" s="8"/>
      <c r="D1076" s="3">
        <f t="shared" si="108"/>
        <v>264.54409389047493</v>
      </c>
      <c r="F1076" s="3">
        <f t="shared" si="109"/>
        <v>-170.88394389335951</v>
      </c>
      <c r="G1076" s="3">
        <f t="shared" si="110"/>
        <v>6.3398500028845888</v>
      </c>
      <c r="H1076" s="3">
        <f t="shared" si="111"/>
        <v>264.54409389047493</v>
      </c>
      <c r="M1076" s="1">
        <f t="shared" si="106"/>
        <v>325</v>
      </c>
      <c r="N1076" s="38">
        <f>+M1076*'Failure Data'!F$3</f>
        <v>8.3958333333333339</v>
      </c>
    </row>
    <row r="1077" spans="1:14" x14ac:dyDescent="0.15">
      <c r="A1077" s="1">
        <v>1068</v>
      </c>
      <c r="B1077" s="3">
        <f t="shared" si="107"/>
        <v>271.13484737873154</v>
      </c>
      <c r="C1077" s="8"/>
      <c r="D1077" s="3">
        <f t="shared" si="108"/>
        <v>264.79499737584695</v>
      </c>
      <c r="F1077" s="3">
        <f t="shared" si="109"/>
        <v>-171.13484737873154</v>
      </c>
      <c r="G1077" s="3">
        <f t="shared" si="110"/>
        <v>6.3398500028845888</v>
      </c>
      <c r="H1077" s="3">
        <f t="shared" si="111"/>
        <v>264.79499737584695</v>
      </c>
      <c r="M1077" s="1">
        <f t="shared" si="106"/>
        <v>326</v>
      </c>
      <c r="N1077" s="38">
        <f>+M1077*'Failure Data'!F$3</f>
        <v>8.4216666666666669</v>
      </c>
    </row>
    <row r="1078" spans="1:14" x14ac:dyDescent="0.15">
      <c r="A1078" s="1">
        <v>1069</v>
      </c>
      <c r="B1078" s="3">
        <f t="shared" si="107"/>
        <v>271.3857508641035</v>
      </c>
      <c r="C1078" s="8"/>
      <c r="D1078" s="3">
        <f t="shared" si="108"/>
        <v>265.04590086121891</v>
      </c>
      <c r="F1078" s="3">
        <f t="shared" si="109"/>
        <v>-171.3857508641035</v>
      </c>
      <c r="G1078" s="3">
        <f t="shared" si="110"/>
        <v>6.3398500028845888</v>
      </c>
      <c r="H1078" s="3">
        <f t="shared" si="111"/>
        <v>265.04590086121891</v>
      </c>
      <c r="M1078" s="1">
        <f t="shared" si="106"/>
        <v>327</v>
      </c>
      <c r="N1078" s="38">
        <f>+M1078*'Failure Data'!F$3</f>
        <v>8.4474999999999998</v>
      </c>
    </row>
    <row r="1079" spans="1:14" x14ac:dyDescent="0.15">
      <c r="A1079" s="1">
        <v>1070</v>
      </c>
      <c r="B1079" s="3">
        <f t="shared" si="107"/>
        <v>271.63665434947552</v>
      </c>
      <c r="C1079" s="8"/>
      <c r="D1079" s="3">
        <f t="shared" si="108"/>
        <v>265.29680434659093</v>
      </c>
      <c r="F1079" s="3">
        <f t="shared" si="109"/>
        <v>-171.63665434947552</v>
      </c>
      <c r="G1079" s="3">
        <f t="shared" si="110"/>
        <v>6.3398500028845888</v>
      </c>
      <c r="H1079" s="3">
        <f t="shared" si="111"/>
        <v>265.29680434659093</v>
      </c>
      <c r="M1079" s="1">
        <f t="shared" si="106"/>
        <v>328</v>
      </c>
      <c r="N1079" s="38">
        <f>+M1079*'Failure Data'!F$3</f>
        <v>8.4733333333333327</v>
      </c>
    </row>
    <row r="1080" spans="1:14" x14ac:dyDescent="0.15">
      <c r="A1080" s="1">
        <v>1071</v>
      </c>
      <c r="B1080" s="3">
        <f t="shared" si="107"/>
        <v>271.88755783484748</v>
      </c>
      <c r="C1080" s="8"/>
      <c r="D1080" s="3">
        <f t="shared" si="108"/>
        <v>265.54770783196295</v>
      </c>
      <c r="F1080" s="3">
        <f t="shared" si="109"/>
        <v>-171.88755783484748</v>
      </c>
      <c r="G1080" s="3">
        <f t="shared" si="110"/>
        <v>6.3398500028845319</v>
      </c>
      <c r="H1080" s="3">
        <f t="shared" si="111"/>
        <v>265.54770783196295</v>
      </c>
      <c r="M1080" s="1">
        <f t="shared" si="106"/>
        <v>329</v>
      </c>
      <c r="N1080" s="38">
        <f>+M1080*'Failure Data'!F$3</f>
        <v>8.4991666666666674</v>
      </c>
    </row>
    <row r="1081" spans="1:14" x14ac:dyDescent="0.15">
      <c r="A1081" s="1">
        <v>1072</v>
      </c>
      <c r="B1081" s="3">
        <f t="shared" si="107"/>
        <v>272.13846132021951</v>
      </c>
      <c r="C1081" s="8"/>
      <c r="D1081" s="3">
        <f t="shared" si="108"/>
        <v>265.79861131733492</v>
      </c>
      <c r="F1081" s="3">
        <f t="shared" si="109"/>
        <v>-172.13846132021951</v>
      </c>
      <c r="G1081" s="3">
        <f t="shared" si="110"/>
        <v>6.3398500028845888</v>
      </c>
      <c r="H1081" s="3">
        <f t="shared" si="111"/>
        <v>265.79861131733492</v>
      </c>
      <c r="M1081" s="1">
        <f t="shared" si="106"/>
        <v>330</v>
      </c>
      <c r="N1081" s="38">
        <f>+M1081*'Failure Data'!F$3</f>
        <v>8.5250000000000004</v>
      </c>
    </row>
    <row r="1082" spans="1:14" x14ac:dyDescent="0.15">
      <c r="A1082" s="1">
        <v>1073</v>
      </c>
      <c r="B1082" s="3">
        <f t="shared" si="107"/>
        <v>272.38936480559153</v>
      </c>
      <c r="C1082" s="8"/>
      <c r="D1082" s="3">
        <f t="shared" si="108"/>
        <v>266.04951480270694</v>
      </c>
      <c r="F1082" s="3">
        <f t="shared" si="109"/>
        <v>-172.38936480559153</v>
      </c>
      <c r="G1082" s="3">
        <f t="shared" si="110"/>
        <v>6.3398500028845888</v>
      </c>
      <c r="H1082" s="3">
        <f t="shared" si="111"/>
        <v>266.04951480270694</v>
      </c>
      <c r="M1082" s="1">
        <f t="shared" si="106"/>
        <v>331</v>
      </c>
      <c r="N1082" s="38">
        <f>+M1082*'Failure Data'!F$3</f>
        <v>8.5508333333333333</v>
      </c>
    </row>
    <row r="1083" spans="1:14" x14ac:dyDescent="0.15">
      <c r="A1083" s="1">
        <v>1074</v>
      </c>
      <c r="B1083" s="3">
        <f t="shared" si="107"/>
        <v>272.64026829096349</v>
      </c>
      <c r="C1083" s="8"/>
      <c r="D1083" s="3">
        <f t="shared" si="108"/>
        <v>266.3004182880789</v>
      </c>
      <c r="F1083" s="3">
        <f t="shared" si="109"/>
        <v>-172.64026829096349</v>
      </c>
      <c r="G1083" s="3">
        <f t="shared" si="110"/>
        <v>6.3398500028845888</v>
      </c>
      <c r="H1083" s="3">
        <f t="shared" si="111"/>
        <v>266.3004182880789</v>
      </c>
      <c r="M1083" s="1">
        <f t="shared" si="106"/>
        <v>332</v>
      </c>
      <c r="N1083" s="38">
        <f>+M1083*'Failure Data'!F$3</f>
        <v>8.5766666666666662</v>
      </c>
    </row>
    <row r="1084" spans="1:14" x14ac:dyDescent="0.15">
      <c r="A1084" s="1">
        <v>1075</v>
      </c>
      <c r="B1084" s="3">
        <f t="shared" si="107"/>
        <v>272.89117177633551</v>
      </c>
      <c r="C1084" s="8"/>
      <c r="D1084" s="3">
        <f t="shared" si="108"/>
        <v>266.55132177345092</v>
      </c>
      <c r="F1084" s="3">
        <f t="shared" si="109"/>
        <v>-172.89117177633551</v>
      </c>
      <c r="G1084" s="3">
        <f t="shared" si="110"/>
        <v>6.3398500028845888</v>
      </c>
      <c r="H1084" s="3">
        <f t="shared" si="111"/>
        <v>266.55132177345092</v>
      </c>
      <c r="M1084" s="1">
        <f t="shared" si="106"/>
        <v>333</v>
      </c>
      <c r="N1084" s="38">
        <f>+M1084*'Failure Data'!F$3</f>
        <v>8.6024999999999991</v>
      </c>
    </row>
    <row r="1085" spans="1:14" x14ac:dyDescent="0.15">
      <c r="A1085" s="1">
        <v>1076</v>
      </c>
      <c r="B1085" s="3">
        <f t="shared" si="107"/>
        <v>273.14207526170748</v>
      </c>
      <c r="C1085" s="8"/>
      <c r="D1085" s="3">
        <f t="shared" si="108"/>
        <v>266.80222525882289</v>
      </c>
      <c r="F1085" s="3">
        <f t="shared" si="109"/>
        <v>-173.14207526170748</v>
      </c>
      <c r="G1085" s="3">
        <f t="shared" si="110"/>
        <v>6.3398500028845888</v>
      </c>
      <c r="H1085" s="3">
        <f t="shared" si="111"/>
        <v>266.80222525882289</v>
      </c>
      <c r="M1085" s="1">
        <f t="shared" si="106"/>
        <v>334</v>
      </c>
      <c r="N1085" s="38">
        <f>+M1085*'Failure Data'!F$3</f>
        <v>8.6283333333333339</v>
      </c>
    </row>
    <row r="1086" spans="1:14" x14ac:dyDescent="0.15">
      <c r="A1086" s="1">
        <v>1077</v>
      </c>
      <c r="B1086" s="3">
        <f t="shared" si="107"/>
        <v>273.3929787470795</v>
      </c>
      <c r="C1086" s="8"/>
      <c r="D1086" s="3">
        <f t="shared" si="108"/>
        <v>267.05312874419491</v>
      </c>
      <c r="F1086" s="3">
        <f t="shared" si="109"/>
        <v>-173.3929787470795</v>
      </c>
      <c r="G1086" s="3">
        <f t="shared" si="110"/>
        <v>6.3398500028845888</v>
      </c>
      <c r="H1086" s="3">
        <f t="shared" si="111"/>
        <v>267.05312874419491</v>
      </c>
      <c r="M1086" s="1">
        <f t="shared" si="106"/>
        <v>335</v>
      </c>
      <c r="N1086" s="38">
        <f>+M1086*'Failure Data'!F$3</f>
        <v>8.6541666666666668</v>
      </c>
    </row>
    <row r="1087" spans="1:14" x14ac:dyDescent="0.15">
      <c r="A1087" s="1">
        <v>1078</v>
      </c>
      <c r="B1087" s="3">
        <f t="shared" si="107"/>
        <v>273.64388223245146</v>
      </c>
      <c r="C1087" s="8"/>
      <c r="D1087" s="3">
        <f t="shared" si="108"/>
        <v>267.30403222956687</v>
      </c>
      <c r="F1087" s="3">
        <f t="shared" si="109"/>
        <v>-173.64388223245146</v>
      </c>
      <c r="G1087" s="3">
        <f t="shared" si="110"/>
        <v>6.3398500028845888</v>
      </c>
      <c r="H1087" s="3">
        <f t="shared" si="111"/>
        <v>267.30403222956687</v>
      </c>
      <c r="M1087" s="1">
        <f t="shared" si="106"/>
        <v>336</v>
      </c>
      <c r="N1087" s="38">
        <f>+M1087*'Failure Data'!F$3</f>
        <v>8.68</v>
      </c>
    </row>
    <row r="1088" spans="1:14" x14ac:dyDescent="0.15">
      <c r="A1088" s="1">
        <v>1079</v>
      </c>
      <c r="B1088" s="3">
        <f t="shared" si="107"/>
        <v>273.89478571782348</v>
      </c>
      <c r="C1088" s="8"/>
      <c r="D1088" s="3">
        <f t="shared" si="108"/>
        <v>267.55493571493889</v>
      </c>
      <c r="F1088" s="3">
        <f t="shared" si="109"/>
        <v>-173.89478571782348</v>
      </c>
      <c r="G1088" s="3">
        <f t="shared" si="110"/>
        <v>6.3398500028845888</v>
      </c>
      <c r="H1088" s="3">
        <f t="shared" si="111"/>
        <v>267.55493571493889</v>
      </c>
      <c r="M1088" s="1">
        <f t="shared" si="106"/>
        <v>337</v>
      </c>
      <c r="N1088" s="38">
        <f>+M1088*'Failure Data'!F$3</f>
        <v>8.7058333333333326</v>
      </c>
    </row>
    <row r="1089" spans="1:14" x14ac:dyDescent="0.15">
      <c r="A1089" s="1">
        <v>1080</v>
      </c>
      <c r="B1089" s="3">
        <f t="shared" si="107"/>
        <v>274.14568920319545</v>
      </c>
      <c r="C1089" s="8"/>
      <c r="D1089" s="3">
        <f t="shared" si="108"/>
        <v>267.80583920031086</v>
      </c>
      <c r="F1089" s="3">
        <f t="shared" si="109"/>
        <v>-174.14568920319545</v>
      </c>
      <c r="G1089" s="3">
        <f t="shared" si="110"/>
        <v>6.3398500028845888</v>
      </c>
      <c r="H1089" s="3">
        <f t="shared" si="111"/>
        <v>267.80583920031086</v>
      </c>
      <c r="M1089" s="1">
        <f t="shared" ref="M1089:M1152" si="112">M1088+1</f>
        <v>338</v>
      </c>
      <c r="N1089" s="38">
        <f>+M1089*'Failure Data'!F$3</f>
        <v>8.7316666666666674</v>
      </c>
    </row>
    <row r="1090" spans="1:14" x14ac:dyDescent="0.15">
      <c r="A1090" s="1">
        <v>1081</v>
      </c>
      <c r="B1090" s="3">
        <f t="shared" si="107"/>
        <v>274.39659268856747</v>
      </c>
      <c r="C1090" s="8"/>
      <c r="D1090" s="3">
        <f t="shared" si="108"/>
        <v>268.05674268568288</v>
      </c>
      <c r="F1090" s="3">
        <f t="shared" si="109"/>
        <v>-174.39659268856747</v>
      </c>
      <c r="G1090" s="3">
        <f t="shared" si="110"/>
        <v>6.3398500028845888</v>
      </c>
      <c r="H1090" s="3">
        <f t="shared" si="111"/>
        <v>268.05674268568288</v>
      </c>
      <c r="M1090" s="1">
        <f t="shared" si="112"/>
        <v>339</v>
      </c>
      <c r="N1090" s="38">
        <f>+M1090*'Failure Data'!F$3</f>
        <v>8.7575000000000003</v>
      </c>
    </row>
    <row r="1091" spans="1:14" x14ac:dyDescent="0.15">
      <c r="A1091" s="1">
        <v>1082</v>
      </c>
      <c r="B1091" s="3">
        <f t="shared" si="107"/>
        <v>274.64749617393943</v>
      </c>
      <c r="C1091" s="8"/>
      <c r="D1091" s="3">
        <f t="shared" si="108"/>
        <v>268.30764617105484</v>
      </c>
      <c r="F1091" s="3">
        <f t="shared" si="109"/>
        <v>-174.64749617393943</v>
      </c>
      <c r="G1091" s="3">
        <f t="shared" si="110"/>
        <v>6.3398500028845888</v>
      </c>
      <c r="H1091" s="3">
        <f t="shared" si="111"/>
        <v>268.30764617105484</v>
      </c>
      <c r="M1091" s="1">
        <f t="shared" si="112"/>
        <v>340</v>
      </c>
      <c r="N1091" s="38">
        <f>+M1091*'Failure Data'!F$3</f>
        <v>8.7833333333333332</v>
      </c>
    </row>
    <row r="1092" spans="1:14" x14ac:dyDescent="0.15">
      <c r="A1092" s="1">
        <v>1083</v>
      </c>
      <c r="B1092" s="3">
        <f t="shared" si="107"/>
        <v>274.89839965931145</v>
      </c>
      <c r="C1092" s="8"/>
      <c r="D1092" s="3">
        <f t="shared" si="108"/>
        <v>268.55854965642686</v>
      </c>
      <c r="F1092" s="3">
        <f t="shared" si="109"/>
        <v>-174.89839965931145</v>
      </c>
      <c r="G1092" s="3">
        <f t="shared" si="110"/>
        <v>6.3398500028845888</v>
      </c>
      <c r="H1092" s="3">
        <f t="shared" si="111"/>
        <v>268.55854965642686</v>
      </c>
      <c r="M1092" s="1">
        <f t="shared" si="112"/>
        <v>341</v>
      </c>
      <c r="N1092" s="38">
        <f>+M1092*'Failure Data'!F$3</f>
        <v>8.8091666666666661</v>
      </c>
    </row>
    <row r="1093" spans="1:14" x14ac:dyDescent="0.15">
      <c r="A1093" s="1">
        <v>1084</v>
      </c>
      <c r="B1093" s="3">
        <f t="shared" si="107"/>
        <v>275.14930314468342</v>
      </c>
      <c r="C1093" s="8"/>
      <c r="D1093" s="3">
        <f t="shared" si="108"/>
        <v>268.80945314179883</v>
      </c>
      <c r="F1093" s="3">
        <f t="shared" si="109"/>
        <v>-175.14930314468342</v>
      </c>
      <c r="G1093" s="3">
        <f t="shared" si="110"/>
        <v>6.3398500028845888</v>
      </c>
      <c r="H1093" s="3">
        <f t="shared" si="111"/>
        <v>268.80945314179883</v>
      </c>
      <c r="M1093" s="1">
        <f t="shared" si="112"/>
        <v>342</v>
      </c>
      <c r="N1093" s="38">
        <f>+M1093*'Failure Data'!F$3</f>
        <v>8.8349999999999991</v>
      </c>
    </row>
    <row r="1094" spans="1:14" x14ac:dyDescent="0.15">
      <c r="A1094" s="1">
        <v>1085</v>
      </c>
      <c r="B1094" s="3">
        <f t="shared" si="107"/>
        <v>275.40020663005544</v>
      </c>
      <c r="C1094" s="8"/>
      <c r="D1094" s="3">
        <f t="shared" si="108"/>
        <v>269.06035662717085</v>
      </c>
      <c r="F1094" s="3">
        <f t="shared" si="109"/>
        <v>-175.40020663005544</v>
      </c>
      <c r="G1094" s="3">
        <f t="shared" si="110"/>
        <v>6.3398500028845888</v>
      </c>
      <c r="H1094" s="3">
        <f t="shared" si="111"/>
        <v>269.06035662717085</v>
      </c>
      <c r="M1094" s="1">
        <f t="shared" si="112"/>
        <v>343</v>
      </c>
      <c r="N1094" s="38">
        <f>+M1094*'Failure Data'!F$3</f>
        <v>8.8608333333333338</v>
      </c>
    </row>
    <row r="1095" spans="1:14" x14ac:dyDescent="0.15">
      <c r="A1095" s="1">
        <v>1086</v>
      </c>
      <c r="B1095" s="3">
        <f t="shared" si="107"/>
        <v>275.6511101154274</v>
      </c>
      <c r="C1095" s="8"/>
      <c r="D1095" s="3">
        <f t="shared" si="108"/>
        <v>269.31126011254281</v>
      </c>
      <c r="F1095" s="3">
        <f t="shared" si="109"/>
        <v>-175.6511101154274</v>
      </c>
      <c r="G1095" s="3">
        <f t="shared" si="110"/>
        <v>6.3398500028845888</v>
      </c>
      <c r="H1095" s="3">
        <f t="shared" si="111"/>
        <v>269.31126011254281</v>
      </c>
      <c r="M1095" s="1">
        <f t="shared" si="112"/>
        <v>344</v>
      </c>
      <c r="N1095" s="38">
        <f>+M1095*'Failure Data'!F$3</f>
        <v>8.8866666666666667</v>
      </c>
    </row>
    <row r="1096" spans="1:14" x14ac:dyDescent="0.15">
      <c r="A1096" s="1">
        <v>1087</v>
      </c>
      <c r="B1096" s="3">
        <f t="shared" si="107"/>
        <v>275.90201360079942</v>
      </c>
      <c r="C1096" s="8"/>
      <c r="D1096" s="3">
        <f t="shared" si="108"/>
        <v>269.56216359791483</v>
      </c>
      <c r="F1096" s="3">
        <f t="shared" si="109"/>
        <v>-175.90201360079942</v>
      </c>
      <c r="G1096" s="3">
        <f t="shared" si="110"/>
        <v>6.3398500028845888</v>
      </c>
      <c r="H1096" s="3">
        <f t="shared" si="111"/>
        <v>269.56216359791483</v>
      </c>
      <c r="M1096" s="1">
        <f t="shared" si="112"/>
        <v>345</v>
      </c>
      <c r="N1096" s="38">
        <f>+M1096*'Failure Data'!F$3</f>
        <v>8.9124999999999996</v>
      </c>
    </row>
    <row r="1097" spans="1:14" x14ac:dyDescent="0.15">
      <c r="A1097" s="1">
        <v>1088</v>
      </c>
      <c r="B1097" s="3">
        <f t="shared" si="107"/>
        <v>276.15291708617139</v>
      </c>
      <c r="C1097" s="8"/>
      <c r="D1097" s="3">
        <f t="shared" si="108"/>
        <v>269.8130670832868</v>
      </c>
      <c r="F1097" s="3">
        <f t="shared" si="109"/>
        <v>-176.15291708617139</v>
      </c>
      <c r="G1097" s="3">
        <f t="shared" si="110"/>
        <v>6.3398500028845888</v>
      </c>
      <c r="H1097" s="3">
        <f t="shared" si="111"/>
        <v>269.8130670832868</v>
      </c>
      <c r="M1097" s="1">
        <f t="shared" si="112"/>
        <v>346</v>
      </c>
      <c r="N1097" s="38">
        <f>+M1097*'Failure Data'!F$3</f>
        <v>8.9383333333333326</v>
      </c>
    </row>
    <row r="1098" spans="1:14" x14ac:dyDescent="0.15">
      <c r="A1098" s="1">
        <v>1089</v>
      </c>
      <c r="B1098" s="3">
        <f t="shared" si="107"/>
        <v>276.40382057154341</v>
      </c>
      <c r="C1098" s="8"/>
      <c r="D1098" s="3">
        <f t="shared" si="108"/>
        <v>270.06397056865882</v>
      </c>
      <c r="F1098" s="3">
        <f t="shared" si="109"/>
        <v>-176.40382057154341</v>
      </c>
      <c r="G1098" s="3">
        <f t="shared" si="110"/>
        <v>6.3398500028845888</v>
      </c>
      <c r="H1098" s="3">
        <f t="shared" si="111"/>
        <v>270.06397056865882</v>
      </c>
      <c r="M1098" s="1">
        <f t="shared" si="112"/>
        <v>347</v>
      </c>
      <c r="N1098" s="38">
        <f>+M1098*'Failure Data'!F$3</f>
        <v>8.9641666666666673</v>
      </c>
    </row>
    <row r="1099" spans="1:14" x14ac:dyDescent="0.15">
      <c r="A1099" s="1">
        <v>1090</v>
      </c>
      <c r="B1099" s="3">
        <f t="shared" si="107"/>
        <v>276.65472405691537</v>
      </c>
      <c r="C1099" s="8"/>
      <c r="D1099" s="3">
        <f t="shared" si="108"/>
        <v>270.31487405403078</v>
      </c>
      <c r="F1099" s="3">
        <f t="shared" si="109"/>
        <v>-176.65472405691537</v>
      </c>
      <c r="G1099" s="3">
        <f t="shared" si="110"/>
        <v>6.3398500028845888</v>
      </c>
      <c r="H1099" s="3">
        <f t="shared" si="111"/>
        <v>270.31487405403078</v>
      </c>
      <c r="M1099" s="1">
        <f t="shared" si="112"/>
        <v>348</v>
      </c>
      <c r="N1099" s="38">
        <f>+M1099*'Failure Data'!F$3</f>
        <v>8.99</v>
      </c>
    </row>
    <row r="1100" spans="1:14" x14ac:dyDescent="0.15">
      <c r="A1100" s="1">
        <v>1091</v>
      </c>
      <c r="B1100" s="3">
        <f t="shared" si="107"/>
        <v>276.90562754228739</v>
      </c>
      <c r="C1100" s="8"/>
      <c r="D1100" s="3">
        <f t="shared" si="108"/>
        <v>270.5657775394028</v>
      </c>
      <c r="F1100" s="3">
        <f t="shared" si="109"/>
        <v>-176.90562754228739</v>
      </c>
      <c r="G1100" s="3">
        <f t="shared" si="110"/>
        <v>6.3398500028845888</v>
      </c>
      <c r="H1100" s="3">
        <f t="shared" si="111"/>
        <v>270.5657775394028</v>
      </c>
      <c r="M1100" s="1">
        <f t="shared" si="112"/>
        <v>349</v>
      </c>
      <c r="N1100" s="38">
        <f>+M1100*'Failure Data'!F$3</f>
        <v>9.0158333333333331</v>
      </c>
    </row>
    <row r="1101" spans="1:14" x14ac:dyDescent="0.15">
      <c r="A1101" s="1">
        <v>1092</v>
      </c>
      <c r="B1101" s="3">
        <f t="shared" si="107"/>
        <v>277.15653102765936</v>
      </c>
      <c r="C1101" s="8"/>
      <c r="D1101" s="3">
        <f t="shared" si="108"/>
        <v>270.81668102477477</v>
      </c>
      <c r="F1101" s="3">
        <f t="shared" si="109"/>
        <v>-177.15653102765936</v>
      </c>
      <c r="G1101" s="3">
        <f t="shared" si="110"/>
        <v>6.3398500028845888</v>
      </c>
      <c r="H1101" s="3">
        <f t="shared" si="111"/>
        <v>270.81668102477477</v>
      </c>
      <c r="M1101" s="1">
        <f t="shared" si="112"/>
        <v>350</v>
      </c>
      <c r="N1101" s="38">
        <f>+M1101*'Failure Data'!F$3</f>
        <v>9.0416666666666661</v>
      </c>
    </row>
    <row r="1102" spans="1:14" x14ac:dyDescent="0.15">
      <c r="A1102" s="1">
        <v>1093</v>
      </c>
      <c r="B1102" s="3">
        <f t="shared" si="107"/>
        <v>277.40743451303138</v>
      </c>
      <c r="C1102" s="8"/>
      <c r="D1102" s="3">
        <f t="shared" si="108"/>
        <v>271.06758451014679</v>
      </c>
      <c r="F1102" s="3">
        <f t="shared" si="109"/>
        <v>-177.40743451303138</v>
      </c>
      <c r="G1102" s="3">
        <f t="shared" si="110"/>
        <v>6.3398500028845888</v>
      </c>
      <c r="H1102" s="3">
        <f t="shared" si="111"/>
        <v>271.06758451014679</v>
      </c>
      <c r="M1102" s="1">
        <f t="shared" si="112"/>
        <v>351</v>
      </c>
      <c r="N1102" s="38">
        <f>+M1102*'Failure Data'!F$3</f>
        <v>9.0675000000000008</v>
      </c>
    </row>
    <row r="1103" spans="1:14" x14ac:dyDescent="0.15">
      <c r="A1103" s="1">
        <v>1094</v>
      </c>
      <c r="B1103" s="3">
        <f t="shared" si="107"/>
        <v>277.65833799840334</v>
      </c>
      <c r="C1103" s="8"/>
      <c r="D1103" s="3">
        <f t="shared" si="108"/>
        <v>271.31848799551881</v>
      </c>
      <c r="F1103" s="3">
        <f t="shared" si="109"/>
        <v>-177.65833799840334</v>
      </c>
      <c r="G1103" s="3">
        <f t="shared" si="110"/>
        <v>6.3398500028845319</v>
      </c>
      <c r="H1103" s="3">
        <f t="shared" si="111"/>
        <v>271.31848799551881</v>
      </c>
      <c r="M1103" s="1">
        <f t="shared" si="112"/>
        <v>352</v>
      </c>
      <c r="N1103" s="38">
        <f>+M1103*'Failure Data'!F$3</f>
        <v>9.0933333333333337</v>
      </c>
    </row>
    <row r="1104" spans="1:14" x14ac:dyDescent="0.15">
      <c r="A1104" s="1">
        <v>1095</v>
      </c>
      <c r="B1104" s="3">
        <f t="shared" si="107"/>
        <v>277.90924148377536</v>
      </c>
      <c r="C1104" s="8"/>
      <c r="D1104" s="3">
        <f t="shared" si="108"/>
        <v>271.56939148089077</v>
      </c>
      <c r="F1104" s="3">
        <f t="shared" si="109"/>
        <v>-177.90924148377536</v>
      </c>
      <c r="G1104" s="3">
        <f t="shared" si="110"/>
        <v>6.3398500028845888</v>
      </c>
      <c r="H1104" s="3">
        <f t="shared" si="111"/>
        <v>271.56939148089077</v>
      </c>
      <c r="M1104" s="1">
        <f t="shared" si="112"/>
        <v>353</v>
      </c>
      <c r="N1104" s="38">
        <f>+M1104*'Failure Data'!F$3</f>
        <v>9.1191666666666666</v>
      </c>
    </row>
    <row r="1105" spans="1:14" x14ac:dyDescent="0.15">
      <c r="A1105" s="1">
        <v>1096</v>
      </c>
      <c r="B1105" s="3">
        <f t="shared" si="107"/>
        <v>278.16014496914732</v>
      </c>
      <c r="C1105" s="8"/>
      <c r="D1105" s="3">
        <f t="shared" si="108"/>
        <v>271.82029496626279</v>
      </c>
      <c r="F1105" s="3">
        <f t="shared" si="109"/>
        <v>-178.16014496914732</v>
      </c>
      <c r="G1105" s="3">
        <f t="shared" si="110"/>
        <v>6.3398500028845319</v>
      </c>
      <c r="H1105" s="3">
        <f t="shared" si="111"/>
        <v>271.82029496626279</v>
      </c>
      <c r="M1105" s="1">
        <f t="shared" si="112"/>
        <v>354</v>
      </c>
      <c r="N1105" s="38">
        <f>+M1105*'Failure Data'!F$3</f>
        <v>9.1449999999999996</v>
      </c>
    </row>
    <row r="1106" spans="1:14" x14ac:dyDescent="0.15">
      <c r="A1106" s="1">
        <v>1097</v>
      </c>
      <c r="B1106" s="3">
        <f t="shared" si="107"/>
        <v>278.41104845451935</v>
      </c>
      <c r="C1106" s="8"/>
      <c r="D1106" s="3">
        <f t="shared" si="108"/>
        <v>272.07119845163476</v>
      </c>
      <c r="F1106" s="3">
        <f t="shared" si="109"/>
        <v>-178.41104845451935</v>
      </c>
      <c r="G1106" s="3">
        <f t="shared" si="110"/>
        <v>6.3398500028845888</v>
      </c>
      <c r="H1106" s="3">
        <f t="shared" si="111"/>
        <v>272.07119845163476</v>
      </c>
      <c r="M1106" s="1">
        <f t="shared" si="112"/>
        <v>355</v>
      </c>
      <c r="N1106" s="38">
        <f>+M1106*'Failure Data'!F$3</f>
        <v>9.1708333333333325</v>
      </c>
    </row>
    <row r="1107" spans="1:14" x14ac:dyDescent="0.15">
      <c r="A1107" s="1">
        <v>1098</v>
      </c>
      <c r="B1107" s="3">
        <f t="shared" si="107"/>
        <v>278.66195193989137</v>
      </c>
      <c r="C1107" s="8"/>
      <c r="D1107" s="3">
        <f t="shared" si="108"/>
        <v>272.32210193700678</v>
      </c>
      <c r="F1107" s="3">
        <f t="shared" si="109"/>
        <v>-178.66195193989137</v>
      </c>
      <c r="G1107" s="3">
        <f t="shared" si="110"/>
        <v>6.3398500028845888</v>
      </c>
      <c r="H1107" s="3">
        <f t="shared" si="111"/>
        <v>272.32210193700678</v>
      </c>
      <c r="M1107" s="1">
        <f t="shared" si="112"/>
        <v>356</v>
      </c>
      <c r="N1107" s="38">
        <f>+M1107*'Failure Data'!F$3</f>
        <v>9.1966666666666672</v>
      </c>
    </row>
    <row r="1108" spans="1:14" x14ac:dyDescent="0.15">
      <c r="A1108" s="1">
        <v>1099</v>
      </c>
      <c r="B1108" s="3">
        <f t="shared" si="107"/>
        <v>278.91285542526333</v>
      </c>
      <c r="C1108" s="8"/>
      <c r="D1108" s="3">
        <f t="shared" si="108"/>
        <v>272.57300542237874</v>
      </c>
      <c r="F1108" s="3">
        <f t="shared" si="109"/>
        <v>-178.91285542526333</v>
      </c>
      <c r="G1108" s="3">
        <f t="shared" si="110"/>
        <v>6.3398500028845888</v>
      </c>
      <c r="H1108" s="3">
        <f t="shared" si="111"/>
        <v>272.57300542237874</v>
      </c>
      <c r="M1108" s="1">
        <f t="shared" si="112"/>
        <v>357</v>
      </c>
      <c r="N1108" s="38">
        <f>+M1108*'Failure Data'!F$3</f>
        <v>9.2225000000000001</v>
      </c>
    </row>
    <row r="1109" spans="1:14" x14ac:dyDescent="0.15">
      <c r="A1109" s="1">
        <v>1100</v>
      </c>
      <c r="B1109" s="3">
        <f t="shared" si="107"/>
        <v>279.16375891063535</v>
      </c>
      <c r="C1109" s="8"/>
      <c r="D1109" s="3">
        <f t="shared" si="108"/>
        <v>272.82390890775076</v>
      </c>
      <c r="F1109" s="3">
        <f t="shared" si="109"/>
        <v>-179.16375891063535</v>
      </c>
      <c r="G1109" s="3">
        <f t="shared" si="110"/>
        <v>6.3398500028845888</v>
      </c>
      <c r="H1109" s="3">
        <f t="shared" si="111"/>
        <v>272.82390890775076</v>
      </c>
      <c r="M1109" s="1">
        <f t="shared" si="112"/>
        <v>358</v>
      </c>
      <c r="N1109" s="38">
        <f>+M1109*'Failure Data'!F$3</f>
        <v>9.2483333333333331</v>
      </c>
    </row>
    <row r="1110" spans="1:14" x14ac:dyDescent="0.15">
      <c r="A1110" s="1">
        <v>1101</v>
      </c>
      <c r="B1110" s="3">
        <f t="shared" si="107"/>
        <v>279.41466239600732</v>
      </c>
      <c r="C1110" s="8"/>
      <c r="D1110" s="3">
        <f t="shared" si="108"/>
        <v>273.07481239312273</v>
      </c>
      <c r="F1110" s="3">
        <f t="shared" si="109"/>
        <v>-179.41466239600732</v>
      </c>
      <c r="G1110" s="3">
        <f t="shared" si="110"/>
        <v>6.3398500028845888</v>
      </c>
      <c r="H1110" s="3">
        <f t="shared" si="111"/>
        <v>273.07481239312273</v>
      </c>
      <c r="M1110" s="1">
        <f t="shared" si="112"/>
        <v>359</v>
      </c>
      <c r="N1110" s="38">
        <f>+M1110*'Failure Data'!F$3</f>
        <v>9.274166666666666</v>
      </c>
    </row>
    <row r="1111" spans="1:14" x14ac:dyDescent="0.15">
      <c r="A1111" s="1">
        <v>1102</v>
      </c>
      <c r="B1111" s="3">
        <f t="shared" si="107"/>
        <v>279.66556588137934</v>
      </c>
      <c r="C1111" s="8"/>
      <c r="D1111" s="3">
        <f t="shared" si="108"/>
        <v>273.32571587849475</v>
      </c>
      <c r="F1111" s="3">
        <f t="shared" si="109"/>
        <v>-179.66556588137934</v>
      </c>
      <c r="G1111" s="3">
        <f t="shared" si="110"/>
        <v>6.3398500028845888</v>
      </c>
      <c r="H1111" s="3">
        <f t="shared" si="111"/>
        <v>273.32571587849475</v>
      </c>
      <c r="M1111" s="1">
        <f t="shared" si="112"/>
        <v>360</v>
      </c>
      <c r="N1111" s="38">
        <f>+M1111*'Failure Data'!F$3</f>
        <v>9.3000000000000007</v>
      </c>
    </row>
    <row r="1112" spans="1:14" x14ac:dyDescent="0.15">
      <c r="A1112" s="1">
        <v>1103</v>
      </c>
      <c r="B1112" s="3">
        <f t="shared" si="107"/>
        <v>279.9164693667513</v>
      </c>
      <c r="C1112" s="8"/>
      <c r="D1112" s="3">
        <f t="shared" si="108"/>
        <v>273.57661936386671</v>
      </c>
      <c r="F1112" s="3">
        <f t="shared" si="109"/>
        <v>-179.9164693667513</v>
      </c>
      <c r="G1112" s="3">
        <f t="shared" si="110"/>
        <v>6.3398500028845888</v>
      </c>
      <c r="H1112" s="3">
        <f t="shared" si="111"/>
        <v>273.57661936386671</v>
      </c>
      <c r="M1112" s="1">
        <f t="shared" si="112"/>
        <v>361</v>
      </c>
      <c r="N1112" s="38">
        <f>+M1112*'Failure Data'!F$3</f>
        <v>9.3258333333333336</v>
      </c>
    </row>
    <row r="1113" spans="1:14" x14ac:dyDescent="0.15">
      <c r="A1113" s="1">
        <v>1104</v>
      </c>
      <c r="B1113" s="3">
        <f t="shared" si="107"/>
        <v>280.16737285212332</v>
      </c>
      <c r="C1113" s="8"/>
      <c r="D1113" s="3">
        <f t="shared" si="108"/>
        <v>273.82752284923873</v>
      </c>
      <c r="F1113" s="3">
        <f t="shared" si="109"/>
        <v>-180.16737285212332</v>
      </c>
      <c r="G1113" s="3">
        <f t="shared" si="110"/>
        <v>6.3398500028845888</v>
      </c>
      <c r="H1113" s="3">
        <f t="shared" si="111"/>
        <v>273.82752284923873</v>
      </c>
      <c r="M1113" s="1">
        <f t="shared" si="112"/>
        <v>362</v>
      </c>
      <c r="N1113" s="38">
        <f>+M1113*'Failure Data'!F$3</f>
        <v>9.3516666666666666</v>
      </c>
    </row>
    <row r="1114" spans="1:14" x14ac:dyDescent="0.15">
      <c r="A1114" s="1">
        <v>1105</v>
      </c>
      <c r="B1114" s="3">
        <f t="shared" si="107"/>
        <v>280.41827633749529</v>
      </c>
      <c r="C1114" s="8"/>
      <c r="D1114" s="3">
        <f t="shared" si="108"/>
        <v>274.0784263346107</v>
      </c>
      <c r="F1114" s="3">
        <f t="shared" si="109"/>
        <v>-180.41827633749529</v>
      </c>
      <c r="G1114" s="3">
        <f t="shared" si="110"/>
        <v>6.3398500028845888</v>
      </c>
      <c r="H1114" s="3">
        <f t="shared" si="111"/>
        <v>274.0784263346107</v>
      </c>
      <c r="M1114" s="1">
        <f t="shared" si="112"/>
        <v>363</v>
      </c>
      <c r="N1114" s="38">
        <f>+M1114*'Failure Data'!F$3</f>
        <v>9.3774999999999995</v>
      </c>
    </row>
    <row r="1115" spans="1:14" x14ac:dyDescent="0.15">
      <c r="A1115" s="1">
        <v>1106</v>
      </c>
      <c r="B1115" s="3">
        <f t="shared" si="107"/>
        <v>280.66917982286731</v>
      </c>
      <c r="C1115" s="8"/>
      <c r="D1115" s="3">
        <f t="shared" si="108"/>
        <v>274.32932981998272</v>
      </c>
      <c r="F1115" s="3">
        <f t="shared" si="109"/>
        <v>-180.66917982286731</v>
      </c>
      <c r="G1115" s="3">
        <f t="shared" si="110"/>
        <v>6.3398500028845888</v>
      </c>
      <c r="H1115" s="3">
        <f t="shared" si="111"/>
        <v>274.32932981998272</v>
      </c>
      <c r="M1115" s="1">
        <f t="shared" si="112"/>
        <v>364</v>
      </c>
      <c r="N1115" s="38">
        <f>+M1115*'Failure Data'!F$3</f>
        <v>9.4033333333333324</v>
      </c>
    </row>
    <row r="1116" spans="1:14" x14ac:dyDescent="0.15">
      <c r="A1116" s="1">
        <v>1107</v>
      </c>
      <c r="B1116" s="3">
        <f t="shared" si="107"/>
        <v>280.92008330823927</v>
      </c>
      <c r="C1116" s="8"/>
      <c r="D1116" s="3">
        <f t="shared" si="108"/>
        <v>274.58023330535468</v>
      </c>
      <c r="F1116" s="3">
        <f t="shared" si="109"/>
        <v>-180.92008330823927</v>
      </c>
      <c r="G1116" s="3">
        <f t="shared" si="110"/>
        <v>6.3398500028845888</v>
      </c>
      <c r="H1116" s="3">
        <f t="shared" si="111"/>
        <v>274.58023330535468</v>
      </c>
      <c r="M1116" s="1">
        <f t="shared" si="112"/>
        <v>365</v>
      </c>
      <c r="N1116" s="38">
        <f>+M1116*'Failure Data'!F$3</f>
        <v>9.4291666666666671</v>
      </c>
    </row>
    <row r="1117" spans="1:14" x14ac:dyDescent="0.15">
      <c r="A1117" s="1">
        <v>1108</v>
      </c>
      <c r="B1117" s="3">
        <f t="shared" si="107"/>
        <v>281.17098679361129</v>
      </c>
      <c r="C1117" s="8"/>
      <c r="D1117" s="3">
        <f t="shared" si="108"/>
        <v>274.8311367907267</v>
      </c>
      <c r="F1117" s="3">
        <f t="shared" si="109"/>
        <v>-181.17098679361129</v>
      </c>
      <c r="G1117" s="3">
        <f t="shared" si="110"/>
        <v>6.3398500028845888</v>
      </c>
      <c r="H1117" s="3">
        <f t="shared" si="111"/>
        <v>274.8311367907267</v>
      </c>
      <c r="M1117" s="1">
        <f t="shared" si="112"/>
        <v>366</v>
      </c>
      <c r="N1117" s="38">
        <f>+M1117*'Failure Data'!F$3</f>
        <v>9.4550000000000001</v>
      </c>
    </row>
    <row r="1118" spans="1:14" x14ac:dyDescent="0.15">
      <c r="A1118" s="1">
        <v>1109</v>
      </c>
      <c r="B1118" s="3">
        <f t="shared" si="107"/>
        <v>281.42189027898326</v>
      </c>
      <c r="C1118" s="8"/>
      <c r="D1118" s="3">
        <f t="shared" si="108"/>
        <v>275.08204027609867</v>
      </c>
      <c r="F1118" s="3">
        <f t="shared" si="109"/>
        <v>-181.42189027898326</v>
      </c>
      <c r="G1118" s="3">
        <f t="shared" si="110"/>
        <v>6.3398500028845888</v>
      </c>
      <c r="H1118" s="3">
        <f t="shared" si="111"/>
        <v>275.08204027609867</v>
      </c>
      <c r="M1118" s="1">
        <f t="shared" si="112"/>
        <v>367</v>
      </c>
      <c r="N1118" s="38">
        <f>+M1118*'Failure Data'!F$3</f>
        <v>9.480833333333333</v>
      </c>
    </row>
    <row r="1119" spans="1:14" x14ac:dyDescent="0.15">
      <c r="A1119" s="1">
        <v>1110</v>
      </c>
      <c r="B1119" s="3">
        <f t="shared" si="107"/>
        <v>281.67279376435528</v>
      </c>
      <c r="C1119" s="8"/>
      <c r="D1119" s="3">
        <f t="shared" si="108"/>
        <v>275.33294376147069</v>
      </c>
      <c r="F1119" s="3">
        <f t="shared" si="109"/>
        <v>-181.67279376435528</v>
      </c>
      <c r="G1119" s="3">
        <f t="shared" si="110"/>
        <v>6.3398500028845888</v>
      </c>
      <c r="H1119" s="3">
        <f t="shared" si="111"/>
        <v>275.33294376147069</v>
      </c>
      <c r="M1119" s="1">
        <f t="shared" si="112"/>
        <v>368</v>
      </c>
      <c r="N1119" s="38">
        <f>+M1119*'Failure Data'!F$3</f>
        <v>9.5066666666666659</v>
      </c>
    </row>
    <row r="1120" spans="1:14" x14ac:dyDescent="0.15">
      <c r="A1120" s="1">
        <v>1111</v>
      </c>
      <c r="B1120" s="3">
        <f t="shared" si="107"/>
        <v>281.92369724972724</v>
      </c>
      <c r="C1120" s="8"/>
      <c r="D1120" s="3">
        <f t="shared" si="108"/>
        <v>275.58384724684265</v>
      </c>
      <c r="F1120" s="3">
        <f t="shared" si="109"/>
        <v>-181.92369724972724</v>
      </c>
      <c r="G1120" s="3">
        <f t="shared" si="110"/>
        <v>6.3398500028845888</v>
      </c>
      <c r="H1120" s="3">
        <f t="shared" si="111"/>
        <v>275.58384724684265</v>
      </c>
      <c r="M1120" s="1">
        <f t="shared" si="112"/>
        <v>369</v>
      </c>
      <c r="N1120" s="38">
        <f>+M1120*'Failure Data'!F$3</f>
        <v>9.5325000000000006</v>
      </c>
    </row>
    <row r="1121" spans="1:14" x14ac:dyDescent="0.15">
      <c r="A1121" s="1">
        <v>1112</v>
      </c>
      <c r="B1121" s="3">
        <f t="shared" si="107"/>
        <v>282.17460073509926</v>
      </c>
      <c r="C1121" s="8"/>
      <c r="D1121" s="3">
        <f t="shared" si="108"/>
        <v>275.83475073221467</v>
      </c>
      <c r="F1121" s="3">
        <f t="shared" si="109"/>
        <v>-182.17460073509926</v>
      </c>
      <c r="G1121" s="3">
        <f t="shared" si="110"/>
        <v>6.3398500028845888</v>
      </c>
      <c r="H1121" s="3">
        <f t="shared" si="111"/>
        <v>275.83475073221467</v>
      </c>
      <c r="M1121" s="1">
        <f t="shared" si="112"/>
        <v>370</v>
      </c>
      <c r="N1121" s="38">
        <f>+M1121*'Failure Data'!F$3</f>
        <v>9.5583333333333336</v>
      </c>
    </row>
    <row r="1122" spans="1:14" x14ac:dyDescent="0.15">
      <c r="A1122" s="1">
        <v>1113</v>
      </c>
      <c r="B1122" s="3">
        <f t="shared" si="107"/>
        <v>282.42550422047123</v>
      </c>
      <c r="C1122" s="8"/>
      <c r="D1122" s="3">
        <f t="shared" si="108"/>
        <v>276.08565421758664</v>
      </c>
      <c r="F1122" s="3">
        <f t="shared" si="109"/>
        <v>-182.42550422047123</v>
      </c>
      <c r="G1122" s="3">
        <f t="shared" si="110"/>
        <v>6.3398500028845888</v>
      </c>
      <c r="H1122" s="3">
        <f t="shared" si="111"/>
        <v>276.08565421758664</v>
      </c>
      <c r="M1122" s="1">
        <f t="shared" si="112"/>
        <v>371</v>
      </c>
      <c r="N1122" s="38">
        <f>+M1122*'Failure Data'!F$3</f>
        <v>9.5841666666666665</v>
      </c>
    </row>
    <row r="1123" spans="1:14" x14ac:dyDescent="0.15">
      <c r="A1123" s="1">
        <v>1114</v>
      </c>
      <c r="B1123" s="3">
        <f t="shared" si="107"/>
        <v>282.67640770584325</v>
      </c>
      <c r="C1123" s="8"/>
      <c r="D1123" s="3">
        <f t="shared" si="108"/>
        <v>276.33655770295866</v>
      </c>
      <c r="F1123" s="3">
        <f t="shared" si="109"/>
        <v>-182.67640770584325</v>
      </c>
      <c r="G1123" s="3">
        <f t="shared" si="110"/>
        <v>6.3398500028845888</v>
      </c>
      <c r="H1123" s="3">
        <f t="shared" si="111"/>
        <v>276.33655770295866</v>
      </c>
      <c r="M1123" s="1">
        <f t="shared" si="112"/>
        <v>372</v>
      </c>
      <c r="N1123" s="38">
        <f>+M1123*'Failure Data'!F$3</f>
        <v>9.61</v>
      </c>
    </row>
    <row r="1124" spans="1:14" x14ac:dyDescent="0.15">
      <c r="A1124" s="1">
        <v>1115</v>
      </c>
      <c r="B1124" s="3">
        <f t="shared" si="107"/>
        <v>282.92731119121521</v>
      </c>
      <c r="C1124" s="8"/>
      <c r="D1124" s="3">
        <f t="shared" si="108"/>
        <v>276.58746118833062</v>
      </c>
      <c r="F1124" s="3">
        <f t="shared" si="109"/>
        <v>-182.92731119121521</v>
      </c>
      <c r="G1124" s="3">
        <f t="shared" si="110"/>
        <v>6.3398500028845888</v>
      </c>
      <c r="H1124" s="3">
        <f t="shared" si="111"/>
        <v>276.58746118833062</v>
      </c>
      <c r="M1124" s="1">
        <f t="shared" si="112"/>
        <v>373</v>
      </c>
      <c r="N1124" s="38">
        <f>+M1124*'Failure Data'!F$3</f>
        <v>9.6358333333333341</v>
      </c>
    </row>
    <row r="1125" spans="1:14" x14ac:dyDescent="0.15">
      <c r="A1125" s="1">
        <v>1116</v>
      </c>
      <c r="B1125" s="3">
        <f t="shared" si="107"/>
        <v>283.17821467658723</v>
      </c>
      <c r="C1125" s="8"/>
      <c r="D1125" s="3">
        <f t="shared" si="108"/>
        <v>276.83836467370264</v>
      </c>
      <c r="F1125" s="3">
        <f t="shared" si="109"/>
        <v>-183.17821467658723</v>
      </c>
      <c r="G1125" s="3">
        <f t="shared" si="110"/>
        <v>6.3398500028845888</v>
      </c>
      <c r="H1125" s="3">
        <f t="shared" si="111"/>
        <v>276.83836467370264</v>
      </c>
      <c r="M1125" s="1">
        <f t="shared" si="112"/>
        <v>374</v>
      </c>
      <c r="N1125" s="38">
        <f>+M1125*'Failure Data'!F$3</f>
        <v>9.6616666666666671</v>
      </c>
    </row>
    <row r="1126" spans="1:14" x14ac:dyDescent="0.15">
      <c r="A1126" s="1">
        <v>1117</v>
      </c>
      <c r="B1126" s="3">
        <f t="shared" si="107"/>
        <v>283.4291181619592</v>
      </c>
      <c r="C1126" s="8"/>
      <c r="D1126" s="3">
        <f t="shared" si="108"/>
        <v>277.08926815907461</v>
      </c>
      <c r="F1126" s="3">
        <f t="shared" si="109"/>
        <v>-183.4291181619592</v>
      </c>
      <c r="G1126" s="3">
        <f t="shared" si="110"/>
        <v>6.3398500028845888</v>
      </c>
      <c r="H1126" s="3">
        <f t="shared" si="111"/>
        <v>277.08926815907461</v>
      </c>
      <c r="M1126" s="1">
        <f t="shared" si="112"/>
        <v>375</v>
      </c>
      <c r="N1126" s="38">
        <f>+M1126*'Failure Data'!F$3</f>
        <v>9.6875</v>
      </c>
    </row>
    <row r="1127" spans="1:14" x14ac:dyDescent="0.15">
      <c r="A1127" s="1">
        <v>1118</v>
      </c>
      <c r="B1127" s="3">
        <f t="shared" si="107"/>
        <v>283.68002164733122</v>
      </c>
      <c r="C1127" s="8"/>
      <c r="D1127" s="3">
        <f t="shared" si="108"/>
        <v>277.34017164444663</v>
      </c>
      <c r="F1127" s="3">
        <f t="shared" si="109"/>
        <v>-183.68002164733122</v>
      </c>
      <c r="G1127" s="3">
        <f t="shared" si="110"/>
        <v>6.3398500028845888</v>
      </c>
      <c r="H1127" s="3">
        <f t="shared" si="111"/>
        <v>277.34017164444663</v>
      </c>
      <c r="M1127" s="1">
        <f t="shared" si="112"/>
        <v>376</v>
      </c>
      <c r="N1127" s="38">
        <f>+M1127*'Failure Data'!F$3</f>
        <v>9.7133333333333329</v>
      </c>
    </row>
    <row r="1128" spans="1:14" x14ac:dyDescent="0.15">
      <c r="A1128" s="1">
        <v>1119</v>
      </c>
      <c r="B1128" s="3">
        <f t="shared" si="107"/>
        <v>283.93092513270318</v>
      </c>
      <c r="C1128" s="8"/>
      <c r="D1128" s="3">
        <f t="shared" si="108"/>
        <v>277.59107512981865</v>
      </c>
      <c r="F1128" s="3">
        <f t="shared" si="109"/>
        <v>-183.93092513270318</v>
      </c>
      <c r="G1128" s="3">
        <f t="shared" si="110"/>
        <v>6.3398500028845319</v>
      </c>
      <c r="H1128" s="3">
        <f t="shared" si="111"/>
        <v>277.59107512981865</v>
      </c>
      <c r="M1128" s="1">
        <f t="shared" si="112"/>
        <v>377</v>
      </c>
      <c r="N1128" s="38">
        <f>+M1128*'Failure Data'!F$3</f>
        <v>9.7391666666666659</v>
      </c>
    </row>
    <row r="1129" spans="1:14" x14ac:dyDescent="0.15">
      <c r="A1129" s="1">
        <v>1120</v>
      </c>
      <c r="B1129" s="3">
        <f t="shared" si="107"/>
        <v>284.1818286180752</v>
      </c>
      <c r="C1129" s="8"/>
      <c r="D1129" s="3">
        <f t="shared" si="108"/>
        <v>277.84197861519061</v>
      </c>
      <c r="F1129" s="3">
        <f t="shared" si="109"/>
        <v>-184.1818286180752</v>
      </c>
      <c r="G1129" s="3">
        <f t="shared" si="110"/>
        <v>6.3398500028845888</v>
      </c>
      <c r="H1129" s="3">
        <f t="shared" si="111"/>
        <v>277.84197861519061</v>
      </c>
      <c r="M1129" s="1">
        <f t="shared" si="112"/>
        <v>378</v>
      </c>
      <c r="N1129" s="38">
        <f>+M1129*'Failure Data'!F$3</f>
        <v>9.7650000000000006</v>
      </c>
    </row>
    <row r="1130" spans="1:14" x14ac:dyDescent="0.15">
      <c r="A1130" s="1">
        <v>1121</v>
      </c>
      <c r="B1130" s="3">
        <f t="shared" si="107"/>
        <v>284.43273210344717</v>
      </c>
      <c r="C1130" s="8"/>
      <c r="D1130" s="3">
        <f t="shared" si="108"/>
        <v>278.09288210056263</v>
      </c>
      <c r="F1130" s="3">
        <f t="shared" si="109"/>
        <v>-184.43273210344717</v>
      </c>
      <c r="G1130" s="3">
        <f t="shared" si="110"/>
        <v>6.3398500028845319</v>
      </c>
      <c r="H1130" s="3">
        <f t="shared" si="111"/>
        <v>278.09288210056263</v>
      </c>
      <c r="M1130" s="1">
        <f t="shared" si="112"/>
        <v>379</v>
      </c>
      <c r="N1130" s="38">
        <f>+M1130*'Failure Data'!F$3</f>
        <v>9.7908333333333335</v>
      </c>
    </row>
    <row r="1131" spans="1:14" x14ac:dyDescent="0.15">
      <c r="A1131" s="1">
        <v>1122</v>
      </c>
      <c r="B1131" s="3">
        <f t="shared" si="107"/>
        <v>284.68363558881919</v>
      </c>
      <c r="C1131" s="8"/>
      <c r="D1131" s="3">
        <f t="shared" si="108"/>
        <v>278.3437855859346</v>
      </c>
      <c r="F1131" s="3">
        <f t="shared" si="109"/>
        <v>-184.68363558881919</v>
      </c>
      <c r="G1131" s="3">
        <f t="shared" si="110"/>
        <v>6.3398500028845888</v>
      </c>
      <c r="H1131" s="3">
        <f t="shared" si="111"/>
        <v>278.3437855859346</v>
      </c>
      <c r="M1131" s="1">
        <f t="shared" si="112"/>
        <v>380</v>
      </c>
      <c r="N1131" s="38">
        <f>+M1131*'Failure Data'!F$3</f>
        <v>9.8166666666666664</v>
      </c>
    </row>
    <row r="1132" spans="1:14" x14ac:dyDescent="0.15">
      <c r="A1132" s="1">
        <v>1123</v>
      </c>
      <c r="B1132" s="3">
        <f t="shared" si="107"/>
        <v>284.93453907419121</v>
      </c>
      <c r="C1132" s="8"/>
      <c r="D1132" s="3">
        <f t="shared" si="108"/>
        <v>278.59468907130662</v>
      </c>
      <c r="F1132" s="3">
        <f t="shared" si="109"/>
        <v>-184.93453907419121</v>
      </c>
      <c r="G1132" s="3">
        <f t="shared" si="110"/>
        <v>6.3398500028845888</v>
      </c>
      <c r="H1132" s="3">
        <f t="shared" si="111"/>
        <v>278.59468907130662</v>
      </c>
      <c r="M1132" s="1">
        <f t="shared" si="112"/>
        <v>381</v>
      </c>
      <c r="N1132" s="38">
        <f>+M1132*'Failure Data'!F$3</f>
        <v>9.8424999999999994</v>
      </c>
    </row>
    <row r="1133" spans="1:14" x14ac:dyDescent="0.15">
      <c r="A1133" s="1">
        <v>1124</v>
      </c>
      <c r="B1133" s="3">
        <f t="shared" si="107"/>
        <v>285.18544255956317</v>
      </c>
      <c r="C1133" s="8"/>
      <c r="D1133" s="3">
        <f t="shared" si="108"/>
        <v>278.84559255667858</v>
      </c>
      <c r="F1133" s="3">
        <f t="shared" si="109"/>
        <v>-185.18544255956317</v>
      </c>
      <c r="G1133" s="3">
        <f t="shared" si="110"/>
        <v>6.3398500028845888</v>
      </c>
      <c r="H1133" s="3">
        <f t="shared" si="111"/>
        <v>278.84559255667858</v>
      </c>
      <c r="M1133" s="1">
        <f t="shared" si="112"/>
        <v>382</v>
      </c>
      <c r="N1133" s="38">
        <f>+M1133*'Failure Data'!F$3</f>
        <v>9.8683333333333341</v>
      </c>
    </row>
    <row r="1134" spans="1:14" x14ac:dyDescent="0.15">
      <c r="A1134" s="1">
        <v>1125</v>
      </c>
      <c r="B1134" s="3">
        <f t="shared" ref="B1134:B1197" si="113">+(B$4*A1134)+B$5</f>
        <v>285.43634604493519</v>
      </c>
      <c r="C1134" s="8"/>
      <c r="D1134" s="3">
        <f t="shared" ref="D1134:D1197" si="114">+(D$4*A1134)+D$5</f>
        <v>279.0964960420506</v>
      </c>
      <c r="F1134" s="3">
        <f t="shared" ref="F1134:F1197" si="115">+xmax-B1134</f>
        <v>-185.43634604493519</v>
      </c>
      <c r="G1134" s="3">
        <f t="shared" ref="G1134:G1197" si="116">+B1134-D1134</f>
        <v>6.3398500028845888</v>
      </c>
      <c r="H1134" s="3">
        <f t="shared" ref="H1134:H1197" si="117">D1134</f>
        <v>279.0964960420506</v>
      </c>
      <c r="M1134" s="1">
        <f t="shared" si="112"/>
        <v>383</v>
      </c>
      <c r="N1134" s="38">
        <f>+M1134*'Failure Data'!F$3</f>
        <v>9.894166666666667</v>
      </c>
    </row>
    <row r="1135" spans="1:14" x14ac:dyDescent="0.15">
      <c r="A1135" s="1">
        <v>1126</v>
      </c>
      <c r="B1135" s="3">
        <f t="shared" si="113"/>
        <v>285.68724953030716</v>
      </c>
      <c r="C1135" s="8"/>
      <c r="D1135" s="3">
        <f t="shared" si="114"/>
        <v>279.34739952742257</v>
      </c>
      <c r="F1135" s="3">
        <f t="shared" si="115"/>
        <v>-185.68724953030716</v>
      </c>
      <c r="G1135" s="3">
        <f t="shared" si="116"/>
        <v>6.3398500028845888</v>
      </c>
      <c r="H1135" s="3">
        <f t="shared" si="117"/>
        <v>279.34739952742257</v>
      </c>
      <c r="M1135" s="1">
        <f t="shared" si="112"/>
        <v>384</v>
      </c>
      <c r="N1135" s="38">
        <f>+M1135*'Failure Data'!F$3</f>
        <v>9.92</v>
      </c>
    </row>
    <row r="1136" spans="1:14" x14ac:dyDescent="0.15">
      <c r="A1136" s="1">
        <v>1127</v>
      </c>
      <c r="B1136" s="3">
        <f t="shared" si="113"/>
        <v>285.93815301567918</v>
      </c>
      <c r="C1136" s="8"/>
      <c r="D1136" s="3">
        <f t="shared" si="114"/>
        <v>279.59830301279459</v>
      </c>
      <c r="F1136" s="3">
        <f t="shared" si="115"/>
        <v>-185.93815301567918</v>
      </c>
      <c r="G1136" s="3">
        <f t="shared" si="116"/>
        <v>6.3398500028845888</v>
      </c>
      <c r="H1136" s="3">
        <f t="shared" si="117"/>
        <v>279.59830301279459</v>
      </c>
      <c r="M1136" s="1">
        <f t="shared" si="112"/>
        <v>385</v>
      </c>
      <c r="N1136" s="38">
        <f>+M1136*'Failure Data'!F$3</f>
        <v>9.9458333333333329</v>
      </c>
    </row>
    <row r="1137" spans="1:14" x14ac:dyDescent="0.15">
      <c r="A1137" s="1">
        <v>1128</v>
      </c>
      <c r="B1137" s="3">
        <f t="shared" si="113"/>
        <v>286.18905650105114</v>
      </c>
      <c r="C1137" s="8"/>
      <c r="D1137" s="3">
        <f t="shared" si="114"/>
        <v>279.84920649816655</v>
      </c>
      <c r="F1137" s="3">
        <f t="shared" si="115"/>
        <v>-186.18905650105114</v>
      </c>
      <c r="G1137" s="3">
        <f t="shared" si="116"/>
        <v>6.3398500028845888</v>
      </c>
      <c r="H1137" s="3">
        <f t="shared" si="117"/>
        <v>279.84920649816655</v>
      </c>
      <c r="M1137" s="1">
        <f t="shared" si="112"/>
        <v>386</v>
      </c>
      <c r="N1137" s="38">
        <f>+M1137*'Failure Data'!F$3</f>
        <v>9.9716666666666658</v>
      </c>
    </row>
    <row r="1138" spans="1:14" x14ac:dyDescent="0.15">
      <c r="A1138" s="1">
        <v>1129</v>
      </c>
      <c r="B1138" s="3">
        <f t="shared" si="113"/>
        <v>286.43995998642316</v>
      </c>
      <c r="C1138" s="8"/>
      <c r="D1138" s="3">
        <f t="shared" si="114"/>
        <v>280.10010998353857</v>
      </c>
      <c r="F1138" s="3">
        <f t="shared" si="115"/>
        <v>-186.43995998642316</v>
      </c>
      <c r="G1138" s="3">
        <f t="shared" si="116"/>
        <v>6.3398500028845888</v>
      </c>
      <c r="H1138" s="3">
        <f t="shared" si="117"/>
        <v>280.10010998353857</v>
      </c>
      <c r="M1138" s="1">
        <f t="shared" si="112"/>
        <v>387</v>
      </c>
      <c r="N1138" s="38">
        <f>+M1138*'Failure Data'!F$3</f>
        <v>9.9975000000000005</v>
      </c>
    </row>
    <row r="1139" spans="1:14" x14ac:dyDescent="0.15">
      <c r="A1139" s="1">
        <v>1130</v>
      </c>
      <c r="B1139" s="3">
        <f t="shared" si="113"/>
        <v>286.69086347179513</v>
      </c>
      <c r="C1139" s="8"/>
      <c r="D1139" s="3">
        <f t="shared" si="114"/>
        <v>280.35101346891054</v>
      </c>
      <c r="F1139" s="3">
        <f t="shared" si="115"/>
        <v>-186.69086347179513</v>
      </c>
      <c r="G1139" s="3">
        <f t="shared" si="116"/>
        <v>6.3398500028845888</v>
      </c>
      <c r="H1139" s="3">
        <f t="shared" si="117"/>
        <v>280.35101346891054</v>
      </c>
      <c r="M1139" s="1">
        <f t="shared" si="112"/>
        <v>388</v>
      </c>
      <c r="N1139" s="38">
        <f>+M1139*'Failure Data'!F$3</f>
        <v>10.023333333333333</v>
      </c>
    </row>
    <row r="1140" spans="1:14" x14ac:dyDescent="0.15">
      <c r="A1140" s="1">
        <v>1131</v>
      </c>
      <c r="B1140" s="3">
        <f t="shared" si="113"/>
        <v>286.94176695716715</v>
      </c>
      <c r="C1140" s="8"/>
      <c r="D1140" s="3">
        <f t="shared" si="114"/>
        <v>280.60191695428256</v>
      </c>
      <c r="F1140" s="3">
        <f t="shared" si="115"/>
        <v>-186.94176695716715</v>
      </c>
      <c r="G1140" s="3">
        <f t="shared" si="116"/>
        <v>6.3398500028845888</v>
      </c>
      <c r="H1140" s="3">
        <f t="shared" si="117"/>
        <v>280.60191695428256</v>
      </c>
      <c r="M1140" s="1">
        <f t="shared" si="112"/>
        <v>389</v>
      </c>
      <c r="N1140" s="38">
        <f>+M1140*'Failure Data'!F$3</f>
        <v>10.049166666666666</v>
      </c>
    </row>
    <row r="1141" spans="1:14" x14ac:dyDescent="0.15">
      <c r="A1141" s="1">
        <v>1132</v>
      </c>
      <c r="B1141" s="3">
        <f t="shared" si="113"/>
        <v>287.19267044253911</v>
      </c>
      <c r="C1141" s="8"/>
      <c r="D1141" s="3">
        <f t="shared" si="114"/>
        <v>280.85282043965452</v>
      </c>
      <c r="F1141" s="3">
        <f t="shared" si="115"/>
        <v>-187.19267044253911</v>
      </c>
      <c r="G1141" s="3">
        <f t="shared" si="116"/>
        <v>6.3398500028845888</v>
      </c>
      <c r="H1141" s="3">
        <f t="shared" si="117"/>
        <v>280.85282043965452</v>
      </c>
      <c r="M1141" s="1">
        <f t="shared" si="112"/>
        <v>390</v>
      </c>
      <c r="N1141" s="38">
        <f>+M1141*'Failure Data'!F$3</f>
        <v>10.074999999999999</v>
      </c>
    </row>
    <row r="1142" spans="1:14" x14ac:dyDescent="0.15">
      <c r="A1142" s="1">
        <v>1133</v>
      </c>
      <c r="B1142" s="3">
        <f t="shared" si="113"/>
        <v>287.44357392791113</v>
      </c>
      <c r="C1142" s="8"/>
      <c r="D1142" s="3">
        <f t="shared" si="114"/>
        <v>281.10372392502654</v>
      </c>
      <c r="F1142" s="3">
        <f t="shared" si="115"/>
        <v>-187.44357392791113</v>
      </c>
      <c r="G1142" s="3">
        <f t="shared" si="116"/>
        <v>6.3398500028845888</v>
      </c>
      <c r="H1142" s="3">
        <f t="shared" si="117"/>
        <v>281.10372392502654</v>
      </c>
      <c r="M1142" s="1">
        <f t="shared" si="112"/>
        <v>391</v>
      </c>
      <c r="N1142" s="38">
        <f>+M1142*'Failure Data'!F$3</f>
        <v>10.100833333333334</v>
      </c>
    </row>
    <row r="1143" spans="1:14" x14ac:dyDescent="0.15">
      <c r="A1143" s="1">
        <v>1134</v>
      </c>
      <c r="B1143" s="3">
        <f t="shared" si="113"/>
        <v>287.6944774132831</v>
      </c>
      <c r="C1143" s="8"/>
      <c r="D1143" s="3">
        <f t="shared" si="114"/>
        <v>281.35462741039851</v>
      </c>
      <c r="F1143" s="3">
        <f t="shared" si="115"/>
        <v>-187.6944774132831</v>
      </c>
      <c r="G1143" s="3">
        <f t="shared" si="116"/>
        <v>6.3398500028845888</v>
      </c>
      <c r="H1143" s="3">
        <f t="shared" si="117"/>
        <v>281.35462741039851</v>
      </c>
      <c r="M1143" s="1">
        <f t="shared" si="112"/>
        <v>392</v>
      </c>
      <c r="N1143" s="38">
        <f>+M1143*'Failure Data'!F$3</f>
        <v>10.126666666666667</v>
      </c>
    </row>
    <row r="1144" spans="1:14" x14ac:dyDescent="0.15">
      <c r="A1144" s="1">
        <v>1135</v>
      </c>
      <c r="B1144" s="3">
        <f t="shared" si="113"/>
        <v>287.94538089865512</v>
      </c>
      <c r="C1144" s="8"/>
      <c r="D1144" s="3">
        <f t="shared" si="114"/>
        <v>281.60553089577053</v>
      </c>
      <c r="F1144" s="3">
        <f t="shared" si="115"/>
        <v>-187.94538089865512</v>
      </c>
      <c r="G1144" s="3">
        <f t="shared" si="116"/>
        <v>6.3398500028845888</v>
      </c>
      <c r="H1144" s="3">
        <f t="shared" si="117"/>
        <v>281.60553089577053</v>
      </c>
      <c r="M1144" s="1">
        <f t="shared" si="112"/>
        <v>393</v>
      </c>
      <c r="N1144" s="38">
        <f>+M1144*'Failure Data'!F$3</f>
        <v>10.1525</v>
      </c>
    </row>
    <row r="1145" spans="1:14" x14ac:dyDescent="0.15">
      <c r="A1145" s="1">
        <v>1136</v>
      </c>
      <c r="B1145" s="3">
        <f t="shared" si="113"/>
        <v>288.19628438402708</v>
      </c>
      <c r="C1145" s="8"/>
      <c r="D1145" s="3">
        <f t="shared" si="114"/>
        <v>281.85643438114249</v>
      </c>
      <c r="F1145" s="3">
        <f t="shared" si="115"/>
        <v>-188.19628438402708</v>
      </c>
      <c r="G1145" s="3">
        <f t="shared" si="116"/>
        <v>6.3398500028845888</v>
      </c>
      <c r="H1145" s="3">
        <f t="shared" si="117"/>
        <v>281.85643438114249</v>
      </c>
      <c r="M1145" s="1">
        <f t="shared" si="112"/>
        <v>394</v>
      </c>
      <c r="N1145" s="38">
        <f>+M1145*'Failure Data'!F$3</f>
        <v>10.178333333333333</v>
      </c>
    </row>
    <row r="1146" spans="1:14" x14ac:dyDescent="0.15">
      <c r="A1146" s="1">
        <v>1137</v>
      </c>
      <c r="B1146" s="3">
        <f t="shared" si="113"/>
        <v>288.4471878693991</v>
      </c>
      <c r="C1146" s="8"/>
      <c r="D1146" s="3">
        <f t="shared" si="114"/>
        <v>282.10733786651451</v>
      </c>
      <c r="F1146" s="3">
        <f t="shared" si="115"/>
        <v>-188.4471878693991</v>
      </c>
      <c r="G1146" s="3">
        <f t="shared" si="116"/>
        <v>6.3398500028845888</v>
      </c>
      <c r="H1146" s="3">
        <f t="shared" si="117"/>
        <v>282.10733786651451</v>
      </c>
      <c r="M1146" s="1">
        <f t="shared" si="112"/>
        <v>395</v>
      </c>
      <c r="N1146" s="38">
        <f>+M1146*'Failure Data'!F$3</f>
        <v>10.204166666666666</v>
      </c>
    </row>
    <row r="1147" spans="1:14" x14ac:dyDescent="0.15">
      <c r="A1147" s="1">
        <v>1138</v>
      </c>
      <c r="B1147" s="3">
        <f t="shared" si="113"/>
        <v>288.69809135477107</v>
      </c>
      <c r="C1147" s="8"/>
      <c r="D1147" s="3">
        <f t="shared" si="114"/>
        <v>282.35824135188648</v>
      </c>
      <c r="F1147" s="3">
        <f t="shared" si="115"/>
        <v>-188.69809135477107</v>
      </c>
      <c r="G1147" s="3">
        <f t="shared" si="116"/>
        <v>6.3398500028845888</v>
      </c>
      <c r="H1147" s="3">
        <f t="shared" si="117"/>
        <v>282.35824135188648</v>
      </c>
      <c r="M1147" s="1">
        <f t="shared" si="112"/>
        <v>396</v>
      </c>
      <c r="N1147" s="38">
        <f>+M1147*'Failure Data'!F$3</f>
        <v>10.23</v>
      </c>
    </row>
    <row r="1148" spans="1:14" x14ac:dyDescent="0.15">
      <c r="A1148" s="1">
        <v>1139</v>
      </c>
      <c r="B1148" s="3">
        <f t="shared" si="113"/>
        <v>288.94899484014309</v>
      </c>
      <c r="C1148" s="8"/>
      <c r="D1148" s="3">
        <f t="shared" si="114"/>
        <v>282.6091448372585</v>
      </c>
      <c r="F1148" s="3">
        <f t="shared" si="115"/>
        <v>-188.94899484014309</v>
      </c>
      <c r="G1148" s="3">
        <f t="shared" si="116"/>
        <v>6.3398500028845888</v>
      </c>
      <c r="H1148" s="3">
        <f t="shared" si="117"/>
        <v>282.6091448372585</v>
      </c>
      <c r="M1148" s="1">
        <f t="shared" si="112"/>
        <v>397</v>
      </c>
      <c r="N1148" s="38">
        <f>+M1148*'Failure Data'!F$3</f>
        <v>10.255833333333333</v>
      </c>
    </row>
    <row r="1149" spans="1:14" x14ac:dyDescent="0.15">
      <c r="A1149" s="1">
        <v>1140</v>
      </c>
      <c r="B1149" s="3">
        <f t="shared" si="113"/>
        <v>289.19989832551505</v>
      </c>
      <c r="C1149" s="8"/>
      <c r="D1149" s="3">
        <f t="shared" si="114"/>
        <v>282.86004832263046</v>
      </c>
      <c r="F1149" s="3">
        <f t="shared" si="115"/>
        <v>-189.19989832551505</v>
      </c>
      <c r="G1149" s="3">
        <f t="shared" si="116"/>
        <v>6.3398500028845888</v>
      </c>
      <c r="H1149" s="3">
        <f t="shared" si="117"/>
        <v>282.86004832263046</v>
      </c>
      <c r="M1149" s="1">
        <f t="shared" si="112"/>
        <v>398</v>
      </c>
      <c r="N1149" s="38">
        <f>+M1149*'Failure Data'!F$3</f>
        <v>10.281666666666666</v>
      </c>
    </row>
    <row r="1150" spans="1:14" x14ac:dyDescent="0.15">
      <c r="A1150" s="1">
        <v>1141</v>
      </c>
      <c r="B1150" s="3">
        <f t="shared" si="113"/>
        <v>289.45080181088707</v>
      </c>
      <c r="C1150" s="8"/>
      <c r="D1150" s="3">
        <f t="shared" si="114"/>
        <v>283.11095180800248</v>
      </c>
      <c r="F1150" s="3">
        <f t="shared" si="115"/>
        <v>-189.45080181088707</v>
      </c>
      <c r="G1150" s="3">
        <f t="shared" si="116"/>
        <v>6.3398500028845888</v>
      </c>
      <c r="H1150" s="3">
        <f t="shared" si="117"/>
        <v>283.11095180800248</v>
      </c>
      <c r="M1150" s="1">
        <f t="shared" si="112"/>
        <v>399</v>
      </c>
      <c r="N1150" s="38">
        <f>+M1150*'Failure Data'!F$3</f>
        <v>10.307499999999999</v>
      </c>
    </row>
    <row r="1151" spans="1:14" x14ac:dyDescent="0.15">
      <c r="A1151" s="1">
        <v>1142</v>
      </c>
      <c r="B1151" s="3">
        <f t="shared" si="113"/>
        <v>289.70170529625904</v>
      </c>
      <c r="C1151" s="8"/>
      <c r="D1151" s="3">
        <f t="shared" si="114"/>
        <v>283.3618552933745</v>
      </c>
      <c r="F1151" s="3">
        <f t="shared" si="115"/>
        <v>-189.70170529625904</v>
      </c>
      <c r="G1151" s="3">
        <f t="shared" si="116"/>
        <v>6.3398500028845319</v>
      </c>
      <c r="H1151" s="3">
        <f t="shared" si="117"/>
        <v>283.3618552933745</v>
      </c>
      <c r="M1151" s="1">
        <f t="shared" si="112"/>
        <v>400</v>
      </c>
      <c r="N1151" s="38">
        <f>+M1151*'Failure Data'!F$3</f>
        <v>10.333333333333334</v>
      </c>
    </row>
    <row r="1152" spans="1:14" x14ac:dyDescent="0.15">
      <c r="A1152" s="1">
        <v>1143</v>
      </c>
      <c r="B1152" s="3">
        <f t="shared" si="113"/>
        <v>289.95260878163106</v>
      </c>
      <c r="C1152" s="8"/>
      <c r="D1152" s="3">
        <f t="shared" si="114"/>
        <v>283.61275877874647</v>
      </c>
      <c r="F1152" s="3">
        <f t="shared" si="115"/>
        <v>-189.95260878163106</v>
      </c>
      <c r="G1152" s="3">
        <f t="shared" si="116"/>
        <v>6.3398500028845888</v>
      </c>
      <c r="H1152" s="3">
        <f t="shared" si="117"/>
        <v>283.61275877874647</v>
      </c>
      <c r="M1152" s="1">
        <f t="shared" si="112"/>
        <v>401</v>
      </c>
      <c r="N1152" s="38">
        <f>+M1152*'Failure Data'!F$3</f>
        <v>10.359166666666667</v>
      </c>
    </row>
    <row r="1153" spans="1:14" x14ac:dyDescent="0.15">
      <c r="A1153" s="1">
        <v>1144</v>
      </c>
      <c r="B1153" s="3">
        <f t="shared" si="113"/>
        <v>290.20351226700302</v>
      </c>
      <c r="C1153" s="8"/>
      <c r="D1153" s="3">
        <f t="shared" si="114"/>
        <v>283.86366226411849</v>
      </c>
      <c r="F1153" s="3">
        <f t="shared" si="115"/>
        <v>-190.20351226700302</v>
      </c>
      <c r="G1153" s="3">
        <f t="shared" si="116"/>
        <v>6.3398500028845319</v>
      </c>
      <c r="H1153" s="3">
        <f t="shared" si="117"/>
        <v>283.86366226411849</v>
      </c>
      <c r="M1153" s="1">
        <f t="shared" ref="M1153:M1216" si="118">M1152+1</f>
        <v>402</v>
      </c>
      <c r="N1153" s="38">
        <f>+M1153*'Failure Data'!F$3</f>
        <v>10.385</v>
      </c>
    </row>
    <row r="1154" spans="1:14" x14ac:dyDescent="0.15">
      <c r="A1154" s="1">
        <v>1145</v>
      </c>
      <c r="B1154" s="3">
        <f t="shared" si="113"/>
        <v>290.45441575237504</v>
      </c>
      <c r="C1154" s="8"/>
      <c r="D1154" s="3">
        <f t="shared" si="114"/>
        <v>284.11456574949045</v>
      </c>
      <c r="F1154" s="3">
        <f t="shared" si="115"/>
        <v>-190.45441575237504</v>
      </c>
      <c r="G1154" s="3">
        <f t="shared" si="116"/>
        <v>6.3398500028845888</v>
      </c>
      <c r="H1154" s="3">
        <f t="shared" si="117"/>
        <v>284.11456574949045</v>
      </c>
      <c r="M1154" s="1">
        <f t="shared" si="118"/>
        <v>403</v>
      </c>
      <c r="N1154" s="38">
        <f>+M1154*'Failure Data'!F$3</f>
        <v>10.410833333333333</v>
      </c>
    </row>
    <row r="1155" spans="1:14" x14ac:dyDescent="0.15">
      <c r="A1155" s="1">
        <v>1146</v>
      </c>
      <c r="B1155" s="3">
        <f t="shared" si="113"/>
        <v>290.70531923774706</v>
      </c>
      <c r="C1155" s="8"/>
      <c r="D1155" s="3">
        <f t="shared" si="114"/>
        <v>284.36546923486247</v>
      </c>
      <c r="F1155" s="3">
        <f t="shared" si="115"/>
        <v>-190.70531923774706</v>
      </c>
      <c r="G1155" s="3">
        <f t="shared" si="116"/>
        <v>6.3398500028845888</v>
      </c>
      <c r="H1155" s="3">
        <f t="shared" si="117"/>
        <v>284.36546923486247</v>
      </c>
      <c r="M1155" s="1">
        <f t="shared" si="118"/>
        <v>404</v>
      </c>
      <c r="N1155" s="38">
        <f>+M1155*'Failure Data'!F$3</f>
        <v>10.436666666666667</v>
      </c>
    </row>
    <row r="1156" spans="1:14" x14ac:dyDescent="0.15">
      <c r="A1156" s="1">
        <v>1147</v>
      </c>
      <c r="B1156" s="3">
        <f t="shared" si="113"/>
        <v>290.95622272311903</v>
      </c>
      <c r="C1156" s="8"/>
      <c r="D1156" s="3">
        <f t="shared" si="114"/>
        <v>284.61637272023444</v>
      </c>
      <c r="F1156" s="3">
        <f t="shared" si="115"/>
        <v>-190.95622272311903</v>
      </c>
      <c r="G1156" s="3">
        <f t="shared" si="116"/>
        <v>6.3398500028845888</v>
      </c>
      <c r="H1156" s="3">
        <f t="shared" si="117"/>
        <v>284.61637272023444</v>
      </c>
      <c r="M1156" s="1">
        <f t="shared" si="118"/>
        <v>405</v>
      </c>
      <c r="N1156" s="38">
        <f>+M1156*'Failure Data'!F$3</f>
        <v>10.4625</v>
      </c>
    </row>
    <row r="1157" spans="1:14" x14ac:dyDescent="0.15">
      <c r="A1157" s="1">
        <v>1148</v>
      </c>
      <c r="B1157" s="3">
        <f t="shared" si="113"/>
        <v>291.20712620849105</v>
      </c>
      <c r="C1157" s="8"/>
      <c r="D1157" s="3">
        <f t="shared" si="114"/>
        <v>284.86727620560646</v>
      </c>
      <c r="F1157" s="3">
        <f t="shared" si="115"/>
        <v>-191.20712620849105</v>
      </c>
      <c r="G1157" s="3">
        <f t="shared" si="116"/>
        <v>6.3398500028845888</v>
      </c>
      <c r="H1157" s="3">
        <f t="shared" si="117"/>
        <v>284.86727620560646</v>
      </c>
      <c r="M1157" s="1">
        <f t="shared" si="118"/>
        <v>406</v>
      </c>
      <c r="N1157" s="38">
        <f>+M1157*'Failure Data'!F$3</f>
        <v>10.488333333333333</v>
      </c>
    </row>
    <row r="1158" spans="1:14" x14ac:dyDescent="0.15">
      <c r="A1158" s="1">
        <v>1149</v>
      </c>
      <c r="B1158" s="3">
        <f t="shared" si="113"/>
        <v>291.45802969386301</v>
      </c>
      <c r="C1158" s="8"/>
      <c r="D1158" s="3">
        <f t="shared" si="114"/>
        <v>285.11817969097842</v>
      </c>
      <c r="F1158" s="3">
        <f t="shared" si="115"/>
        <v>-191.45802969386301</v>
      </c>
      <c r="G1158" s="3">
        <f t="shared" si="116"/>
        <v>6.3398500028845888</v>
      </c>
      <c r="H1158" s="3">
        <f t="shared" si="117"/>
        <v>285.11817969097842</v>
      </c>
      <c r="M1158" s="1">
        <f t="shared" si="118"/>
        <v>407</v>
      </c>
      <c r="N1158" s="38">
        <f>+M1158*'Failure Data'!F$3</f>
        <v>10.514166666666666</v>
      </c>
    </row>
    <row r="1159" spans="1:14" x14ac:dyDescent="0.15">
      <c r="A1159" s="1">
        <v>1150</v>
      </c>
      <c r="B1159" s="3">
        <f t="shared" si="113"/>
        <v>291.70893317923503</v>
      </c>
      <c r="C1159" s="8"/>
      <c r="D1159" s="3">
        <f t="shared" si="114"/>
        <v>285.36908317635044</v>
      </c>
      <c r="F1159" s="3">
        <f t="shared" si="115"/>
        <v>-191.70893317923503</v>
      </c>
      <c r="G1159" s="3">
        <f t="shared" si="116"/>
        <v>6.3398500028845888</v>
      </c>
      <c r="H1159" s="3">
        <f t="shared" si="117"/>
        <v>285.36908317635044</v>
      </c>
      <c r="M1159" s="1">
        <f t="shared" si="118"/>
        <v>408</v>
      </c>
      <c r="N1159" s="38">
        <f>+M1159*'Failure Data'!F$3</f>
        <v>10.54</v>
      </c>
    </row>
    <row r="1160" spans="1:14" x14ac:dyDescent="0.15">
      <c r="A1160" s="1">
        <v>1151</v>
      </c>
      <c r="B1160" s="3">
        <f t="shared" si="113"/>
        <v>291.959836664607</v>
      </c>
      <c r="C1160" s="8"/>
      <c r="D1160" s="3">
        <f t="shared" si="114"/>
        <v>285.61998666172241</v>
      </c>
      <c r="F1160" s="3">
        <f t="shared" si="115"/>
        <v>-191.959836664607</v>
      </c>
      <c r="G1160" s="3">
        <f t="shared" si="116"/>
        <v>6.3398500028845888</v>
      </c>
      <c r="H1160" s="3">
        <f t="shared" si="117"/>
        <v>285.61998666172241</v>
      </c>
      <c r="M1160" s="1">
        <f t="shared" si="118"/>
        <v>409</v>
      </c>
      <c r="N1160" s="38">
        <f>+M1160*'Failure Data'!F$3</f>
        <v>10.565833333333334</v>
      </c>
    </row>
    <row r="1161" spans="1:14" x14ac:dyDescent="0.15">
      <c r="A1161" s="1">
        <v>1152</v>
      </c>
      <c r="B1161" s="3">
        <f t="shared" si="113"/>
        <v>292.21074014997902</v>
      </c>
      <c r="C1161" s="8"/>
      <c r="D1161" s="3">
        <f t="shared" si="114"/>
        <v>285.87089014709443</v>
      </c>
      <c r="F1161" s="3">
        <f t="shared" si="115"/>
        <v>-192.21074014997902</v>
      </c>
      <c r="G1161" s="3">
        <f t="shared" si="116"/>
        <v>6.3398500028845888</v>
      </c>
      <c r="H1161" s="3">
        <f t="shared" si="117"/>
        <v>285.87089014709443</v>
      </c>
      <c r="M1161" s="1">
        <f t="shared" si="118"/>
        <v>410</v>
      </c>
      <c r="N1161" s="38">
        <f>+M1161*'Failure Data'!F$3</f>
        <v>10.591666666666667</v>
      </c>
    </row>
    <row r="1162" spans="1:14" x14ac:dyDescent="0.15">
      <c r="A1162" s="1">
        <v>1153</v>
      </c>
      <c r="B1162" s="3">
        <f t="shared" si="113"/>
        <v>292.46164363535098</v>
      </c>
      <c r="C1162" s="8"/>
      <c r="D1162" s="3">
        <f t="shared" si="114"/>
        <v>286.12179363246639</v>
      </c>
      <c r="F1162" s="3">
        <f t="shared" si="115"/>
        <v>-192.46164363535098</v>
      </c>
      <c r="G1162" s="3">
        <f t="shared" si="116"/>
        <v>6.3398500028845888</v>
      </c>
      <c r="H1162" s="3">
        <f t="shared" si="117"/>
        <v>286.12179363246639</v>
      </c>
      <c r="M1162" s="1">
        <f t="shared" si="118"/>
        <v>411</v>
      </c>
      <c r="N1162" s="38">
        <f>+M1162*'Failure Data'!F$3</f>
        <v>10.6175</v>
      </c>
    </row>
    <row r="1163" spans="1:14" x14ac:dyDescent="0.15">
      <c r="A1163" s="1">
        <v>1154</v>
      </c>
      <c r="B1163" s="3">
        <f t="shared" si="113"/>
        <v>292.712547120723</v>
      </c>
      <c r="C1163" s="8"/>
      <c r="D1163" s="3">
        <f t="shared" si="114"/>
        <v>286.37269711783841</v>
      </c>
      <c r="F1163" s="3">
        <f t="shared" si="115"/>
        <v>-192.712547120723</v>
      </c>
      <c r="G1163" s="3">
        <f t="shared" si="116"/>
        <v>6.3398500028845888</v>
      </c>
      <c r="H1163" s="3">
        <f t="shared" si="117"/>
        <v>286.37269711783841</v>
      </c>
      <c r="M1163" s="1">
        <f t="shared" si="118"/>
        <v>412</v>
      </c>
      <c r="N1163" s="38">
        <f>+M1163*'Failure Data'!F$3</f>
        <v>10.643333333333333</v>
      </c>
    </row>
    <row r="1164" spans="1:14" x14ac:dyDescent="0.15">
      <c r="A1164" s="1">
        <v>1155</v>
      </c>
      <c r="B1164" s="3">
        <f t="shared" si="113"/>
        <v>292.96345060609497</v>
      </c>
      <c r="C1164" s="8"/>
      <c r="D1164" s="3">
        <f t="shared" si="114"/>
        <v>286.62360060321038</v>
      </c>
      <c r="F1164" s="3">
        <f t="shared" si="115"/>
        <v>-192.96345060609497</v>
      </c>
      <c r="G1164" s="3">
        <f t="shared" si="116"/>
        <v>6.3398500028845888</v>
      </c>
      <c r="H1164" s="3">
        <f t="shared" si="117"/>
        <v>286.62360060321038</v>
      </c>
      <c r="M1164" s="1">
        <f t="shared" si="118"/>
        <v>413</v>
      </c>
      <c r="N1164" s="38">
        <f>+M1164*'Failure Data'!F$3</f>
        <v>10.669166666666667</v>
      </c>
    </row>
    <row r="1165" spans="1:14" x14ac:dyDescent="0.15">
      <c r="A1165" s="1">
        <v>1156</v>
      </c>
      <c r="B1165" s="3">
        <f t="shared" si="113"/>
        <v>293.21435409146699</v>
      </c>
      <c r="C1165" s="8"/>
      <c r="D1165" s="3">
        <f t="shared" si="114"/>
        <v>286.8745040885824</v>
      </c>
      <c r="F1165" s="3">
        <f t="shared" si="115"/>
        <v>-193.21435409146699</v>
      </c>
      <c r="G1165" s="3">
        <f t="shared" si="116"/>
        <v>6.3398500028845888</v>
      </c>
      <c r="H1165" s="3">
        <f t="shared" si="117"/>
        <v>286.8745040885824</v>
      </c>
      <c r="M1165" s="1">
        <f t="shared" si="118"/>
        <v>414</v>
      </c>
      <c r="N1165" s="38">
        <f>+M1165*'Failure Data'!F$3</f>
        <v>10.695</v>
      </c>
    </row>
    <row r="1166" spans="1:14" x14ac:dyDescent="0.15">
      <c r="A1166" s="1">
        <v>1157</v>
      </c>
      <c r="B1166" s="3">
        <f t="shared" si="113"/>
        <v>293.46525757683895</v>
      </c>
      <c r="C1166" s="8"/>
      <c r="D1166" s="3">
        <f t="shared" si="114"/>
        <v>287.12540757395436</v>
      </c>
      <c r="F1166" s="3">
        <f t="shared" si="115"/>
        <v>-193.46525757683895</v>
      </c>
      <c r="G1166" s="3">
        <f t="shared" si="116"/>
        <v>6.3398500028845888</v>
      </c>
      <c r="H1166" s="3">
        <f t="shared" si="117"/>
        <v>287.12540757395436</v>
      </c>
      <c r="M1166" s="1">
        <f t="shared" si="118"/>
        <v>415</v>
      </c>
      <c r="N1166" s="38">
        <f>+M1166*'Failure Data'!F$3</f>
        <v>10.720833333333333</v>
      </c>
    </row>
    <row r="1167" spans="1:14" x14ac:dyDescent="0.15">
      <c r="A1167" s="1">
        <v>1158</v>
      </c>
      <c r="B1167" s="3">
        <f t="shared" si="113"/>
        <v>293.71616106221097</v>
      </c>
      <c r="C1167" s="8"/>
      <c r="D1167" s="3">
        <f t="shared" si="114"/>
        <v>287.37631105932638</v>
      </c>
      <c r="F1167" s="3">
        <f t="shared" si="115"/>
        <v>-193.71616106221097</v>
      </c>
      <c r="G1167" s="3">
        <f t="shared" si="116"/>
        <v>6.3398500028845888</v>
      </c>
      <c r="H1167" s="3">
        <f t="shared" si="117"/>
        <v>287.37631105932638</v>
      </c>
      <c r="M1167" s="1">
        <f t="shared" si="118"/>
        <v>416</v>
      </c>
      <c r="N1167" s="38">
        <f>+M1167*'Failure Data'!F$3</f>
        <v>10.746666666666666</v>
      </c>
    </row>
    <row r="1168" spans="1:14" x14ac:dyDescent="0.15">
      <c r="A1168" s="1">
        <v>1159</v>
      </c>
      <c r="B1168" s="3">
        <f t="shared" si="113"/>
        <v>293.96706454758294</v>
      </c>
      <c r="C1168" s="8"/>
      <c r="D1168" s="3">
        <f t="shared" si="114"/>
        <v>287.62721454469835</v>
      </c>
      <c r="F1168" s="3">
        <f t="shared" si="115"/>
        <v>-193.96706454758294</v>
      </c>
      <c r="G1168" s="3">
        <f t="shared" si="116"/>
        <v>6.3398500028845888</v>
      </c>
      <c r="H1168" s="3">
        <f t="shared" si="117"/>
        <v>287.62721454469835</v>
      </c>
      <c r="M1168" s="1">
        <f t="shared" si="118"/>
        <v>417</v>
      </c>
      <c r="N1168" s="38">
        <f>+M1168*'Failure Data'!F$3</f>
        <v>10.772499999999999</v>
      </c>
    </row>
    <row r="1169" spans="1:14" x14ac:dyDescent="0.15">
      <c r="A1169" s="1">
        <v>1160</v>
      </c>
      <c r="B1169" s="3">
        <f t="shared" si="113"/>
        <v>294.21796803295496</v>
      </c>
      <c r="C1169" s="8"/>
      <c r="D1169" s="3">
        <f t="shared" si="114"/>
        <v>287.87811803007037</v>
      </c>
      <c r="F1169" s="3">
        <f t="shared" si="115"/>
        <v>-194.21796803295496</v>
      </c>
      <c r="G1169" s="3">
        <f t="shared" si="116"/>
        <v>6.3398500028845888</v>
      </c>
      <c r="H1169" s="3">
        <f t="shared" si="117"/>
        <v>287.87811803007037</v>
      </c>
      <c r="M1169" s="1">
        <f t="shared" si="118"/>
        <v>418</v>
      </c>
      <c r="N1169" s="38">
        <f>+M1169*'Failure Data'!F$3</f>
        <v>10.798333333333334</v>
      </c>
    </row>
    <row r="1170" spans="1:14" x14ac:dyDescent="0.15">
      <c r="A1170" s="1">
        <v>1161</v>
      </c>
      <c r="B1170" s="3">
        <f t="shared" si="113"/>
        <v>294.46887151832692</v>
      </c>
      <c r="C1170" s="8"/>
      <c r="D1170" s="3">
        <f t="shared" si="114"/>
        <v>288.12902151544233</v>
      </c>
      <c r="F1170" s="3">
        <f t="shared" si="115"/>
        <v>-194.46887151832692</v>
      </c>
      <c r="G1170" s="3">
        <f t="shared" si="116"/>
        <v>6.3398500028845888</v>
      </c>
      <c r="H1170" s="3">
        <f t="shared" si="117"/>
        <v>288.12902151544233</v>
      </c>
      <c r="M1170" s="1">
        <f t="shared" si="118"/>
        <v>419</v>
      </c>
      <c r="N1170" s="38">
        <f>+M1170*'Failure Data'!F$3</f>
        <v>10.824166666666667</v>
      </c>
    </row>
    <row r="1171" spans="1:14" x14ac:dyDescent="0.15">
      <c r="A1171" s="1">
        <v>1162</v>
      </c>
      <c r="B1171" s="3">
        <f t="shared" si="113"/>
        <v>294.71977500369894</v>
      </c>
      <c r="C1171" s="8"/>
      <c r="D1171" s="3">
        <f t="shared" si="114"/>
        <v>288.37992500081435</v>
      </c>
      <c r="F1171" s="3">
        <f t="shared" si="115"/>
        <v>-194.71977500369894</v>
      </c>
      <c r="G1171" s="3">
        <f t="shared" si="116"/>
        <v>6.3398500028845888</v>
      </c>
      <c r="H1171" s="3">
        <f t="shared" si="117"/>
        <v>288.37992500081435</v>
      </c>
      <c r="M1171" s="1">
        <f t="shared" si="118"/>
        <v>420</v>
      </c>
      <c r="N1171" s="38">
        <f>+M1171*'Failure Data'!F$3</f>
        <v>10.85</v>
      </c>
    </row>
    <row r="1172" spans="1:14" x14ac:dyDescent="0.15">
      <c r="A1172" s="1">
        <v>1163</v>
      </c>
      <c r="B1172" s="3">
        <f t="shared" si="113"/>
        <v>294.97067848907091</v>
      </c>
      <c r="C1172" s="8"/>
      <c r="D1172" s="3">
        <f t="shared" si="114"/>
        <v>288.63082848618632</v>
      </c>
      <c r="F1172" s="3">
        <f t="shared" si="115"/>
        <v>-194.97067848907091</v>
      </c>
      <c r="G1172" s="3">
        <f t="shared" si="116"/>
        <v>6.3398500028845888</v>
      </c>
      <c r="H1172" s="3">
        <f t="shared" si="117"/>
        <v>288.63082848618632</v>
      </c>
      <c r="M1172" s="1">
        <f t="shared" si="118"/>
        <v>421</v>
      </c>
      <c r="N1172" s="38">
        <f>+M1172*'Failure Data'!F$3</f>
        <v>10.875833333333333</v>
      </c>
    </row>
    <row r="1173" spans="1:14" x14ac:dyDescent="0.15">
      <c r="A1173" s="1">
        <v>1164</v>
      </c>
      <c r="B1173" s="3">
        <f t="shared" si="113"/>
        <v>295.22158197444293</v>
      </c>
      <c r="C1173" s="8"/>
      <c r="D1173" s="3">
        <f t="shared" si="114"/>
        <v>288.88173197155834</v>
      </c>
      <c r="F1173" s="3">
        <f t="shared" si="115"/>
        <v>-195.22158197444293</v>
      </c>
      <c r="G1173" s="3">
        <f t="shared" si="116"/>
        <v>6.3398500028845888</v>
      </c>
      <c r="H1173" s="3">
        <f t="shared" si="117"/>
        <v>288.88173197155834</v>
      </c>
      <c r="M1173" s="1">
        <f t="shared" si="118"/>
        <v>422</v>
      </c>
      <c r="N1173" s="38">
        <f>+M1173*'Failure Data'!F$3</f>
        <v>10.901666666666667</v>
      </c>
    </row>
    <row r="1174" spans="1:14" x14ac:dyDescent="0.15">
      <c r="A1174" s="1">
        <v>1165</v>
      </c>
      <c r="B1174" s="3">
        <f t="shared" si="113"/>
        <v>295.47248545981489</v>
      </c>
      <c r="C1174" s="8"/>
      <c r="D1174" s="3">
        <f t="shared" si="114"/>
        <v>289.13263545693036</v>
      </c>
      <c r="F1174" s="3">
        <f t="shared" si="115"/>
        <v>-195.47248545981489</v>
      </c>
      <c r="G1174" s="3">
        <f t="shared" si="116"/>
        <v>6.3398500028845319</v>
      </c>
      <c r="H1174" s="3">
        <f t="shared" si="117"/>
        <v>289.13263545693036</v>
      </c>
      <c r="M1174" s="1">
        <f t="shared" si="118"/>
        <v>423</v>
      </c>
      <c r="N1174" s="38">
        <f>+M1174*'Failure Data'!F$3</f>
        <v>10.9275</v>
      </c>
    </row>
    <row r="1175" spans="1:14" x14ac:dyDescent="0.15">
      <c r="A1175" s="1">
        <v>1166</v>
      </c>
      <c r="B1175" s="3">
        <f t="shared" si="113"/>
        <v>295.72338894518691</v>
      </c>
      <c r="C1175" s="8"/>
      <c r="D1175" s="3">
        <f t="shared" si="114"/>
        <v>289.38353894230232</v>
      </c>
      <c r="F1175" s="3">
        <f t="shared" si="115"/>
        <v>-195.72338894518691</v>
      </c>
      <c r="G1175" s="3">
        <f t="shared" si="116"/>
        <v>6.3398500028845888</v>
      </c>
      <c r="H1175" s="3">
        <f t="shared" si="117"/>
        <v>289.38353894230232</v>
      </c>
      <c r="M1175" s="1">
        <f t="shared" si="118"/>
        <v>424</v>
      </c>
      <c r="N1175" s="38">
        <f>+M1175*'Failure Data'!F$3</f>
        <v>10.953333333333333</v>
      </c>
    </row>
    <row r="1176" spans="1:14" x14ac:dyDescent="0.15">
      <c r="A1176" s="1">
        <v>1167</v>
      </c>
      <c r="B1176" s="3">
        <f t="shared" si="113"/>
        <v>295.97429243055888</v>
      </c>
      <c r="C1176" s="8"/>
      <c r="D1176" s="3">
        <f t="shared" si="114"/>
        <v>289.63444242767434</v>
      </c>
      <c r="F1176" s="3">
        <f t="shared" si="115"/>
        <v>-195.97429243055888</v>
      </c>
      <c r="G1176" s="3">
        <f t="shared" si="116"/>
        <v>6.3398500028845319</v>
      </c>
      <c r="H1176" s="3">
        <f t="shared" si="117"/>
        <v>289.63444242767434</v>
      </c>
      <c r="M1176" s="1">
        <f t="shared" si="118"/>
        <v>425</v>
      </c>
      <c r="N1176" s="38">
        <f>+M1176*'Failure Data'!F$3</f>
        <v>10.979166666666666</v>
      </c>
    </row>
    <row r="1177" spans="1:14" x14ac:dyDescent="0.15">
      <c r="A1177" s="1">
        <v>1168</v>
      </c>
      <c r="B1177" s="3">
        <f t="shared" si="113"/>
        <v>296.2251959159309</v>
      </c>
      <c r="C1177" s="8"/>
      <c r="D1177" s="3">
        <f t="shared" si="114"/>
        <v>289.88534591304631</v>
      </c>
      <c r="F1177" s="3">
        <f t="shared" si="115"/>
        <v>-196.2251959159309</v>
      </c>
      <c r="G1177" s="3">
        <f t="shared" si="116"/>
        <v>6.3398500028845888</v>
      </c>
      <c r="H1177" s="3">
        <f t="shared" si="117"/>
        <v>289.88534591304631</v>
      </c>
      <c r="M1177" s="1">
        <f t="shared" si="118"/>
        <v>426</v>
      </c>
      <c r="N1177" s="38">
        <f>+M1177*'Failure Data'!F$3</f>
        <v>11.005000000000001</v>
      </c>
    </row>
    <row r="1178" spans="1:14" x14ac:dyDescent="0.15">
      <c r="A1178" s="1">
        <v>1169</v>
      </c>
      <c r="B1178" s="3">
        <f t="shared" si="113"/>
        <v>296.47609940130286</v>
      </c>
      <c r="C1178" s="8"/>
      <c r="D1178" s="3">
        <f t="shared" si="114"/>
        <v>290.13624939841833</v>
      </c>
      <c r="F1178" s="3">
        <f t="shared" si="115"/>
        <v>-196.47609940130286</v>
      </c>
      <c r="G1178" s="3">
        <f t="shared" si="116"/>
        <v>6.3398500028845319</v>
      </c>
      <c r="H1178" s="3">
        <f t="shared" si="117"/>
        <v>290.13624939841833</v>
      </c>
      <c r="M1178" s="1">
        <f t="shared" si="118"/>
        <v>427</v>
      </c>
      <c r="N1178" s="38">
        <f>+M1178*'Failure Data'!F$3</f>
        <v>11.030833333333334</v>
      </c>
    </row>
    <row r="1179" spans="1:14" x14ac:dyDescent="0.15">
      <c r="A1179" s="1">
        <v>1170</v>
      </c>
      <c r="B1179" s="3">
        <f t="shared" si="113"/>
        <v>296.72700288667488</v>
      </c>
      <c r="C1179" s="8"/>
      <c r="D1179" s="3">
        <f t="shared" si="114"/>
        <v>290.38715288379029</v>
      </c>
      <c r="F1179" s="3">
        <f t="shared" si="115"/>
        <v>-196.72700288667488</v>
      </c>
      <c r="G1179" s="3">
        <f t="shared" si="116"/>
        <v>6.3398500028845888</v>
      </c>
      <c r="H1179" s="3">
        <f t="shared" si="117"/>
        <v>290.38715288379029</v>
      </c>
      <c r="M1179" s="1">
        <f t="shared" si="118"/>
        <v>428</v>
      </c>
      <c r="N1179" s="38">
        <f>+M1179*'Failure Data'!F$3</f>
        <v>11.056666666666667</v>
      </c>
    </row>
    <row r="1180" spans="1:14" x14ac:dyDescent="0.15">
      <c r="A1180" s="1">
        <v>1171</v>
      </c>
      <c r="B1180" s="3">
        <f t="shared" si="113"/>
        <v>296.9779063720469</v>
      </c>
      <c r="C1180" s="8"/>
      <c r="D1180" s="3">
        <f t="shared" si="114"/>
        <v>290.63805636916231</v>
      </c>
      <c r="F1180" s="3">
        <f t="shared" si="115"/>
        <v>-196.9779063720469</v>
      </c>
      <c r="G1180" s="3">
        <f t="shared" si="116"/>
        <v>6.3398500028845888</v>
      </c>
      <c r="H1180" s="3">
        <f t="shared" si="117"/>
        <v>290.63805636916231</v>
      </c>
      <c r="M1180" s="1">
        <f t="shared" si="118"/>
        <v>429</v>
      </c>
      <c r="N1180" s="38">
        <f>+M1180*'Failure Data'!F$3</f>
        <v>11.0825</v>
      </c>
    </row>
    <row r="1181" spans="1:14" x14ac:dyDescent="0.15">
      <c r="A1181" s="1">
        <v>1172</v>
      </c>
      <c r="B1181" s="3">
        <f t="shared" si="113"/>
        <v>297.22880985741887</v>
      </c>
      <c r="C1181" s="8"/>
      <c r="D1181" s="3">
        <f t="shared" si="114"/>
        <v>290.88895985453428</v>
      </c>
      <c r="F1181" s="3">
        <f t="shared" si="115"/>
        <v>-197.22880985741887</v>
      </c>
      <c r="G1181" s="3">
        <f t="shared" si="116"/>
        <v>6.3398500028845888</v>
      </c>
      <c r="H1181" s="3">
        <f t="shared" si="117"/>
        <v>290.88895985453428</v>
      </c>
      <c r="M1181" s="1">
        <f t="shared" si="118"/>
        <v>430</v>
      </c>
      <c r="N1181" s="38">
        <f>+M1181*'Failure Data'!F$3</f>
        <v>11.108333333333333</v>
      </c>
    </row>
    <row r="1182" spans="1:14" x14ac:dyDescent="0.15">
      <c r="A1182" s="1">
        <v>1173</v>
      </c>
      <c r="B1182" s="3">
        <f t="shared" si="113"/>
        <v>297.47971334279089</v>
      </c>
      <c r="C1182" s="8"/>
      <c r="D1182" s="3">
        <f t="shared" si="114"/>
        <v>291.1398633399063</v>
      </c>
      <c r="F1182" s="3">
        <f t="shared" si="115"/>
        <v>-197.47971334279089</v>
      </c>
      <c r="G1182" s="3">
        <f t="shared" si="116"/>
        <v>6.3398500028845888</v>
      </c>
      <c r="H1182" s="3">
        <f t="shared" si="117"/>
        <v>291.1398633399063</v>
      </c>
      <c r="M1182" s="1">
        <f t="shared" si="118"/>
        <v>431</v>
      </c>
      <c r="N1182" s="38">
        <f>+M1182*'Failure Data'!F$3</f>
        <v>11.134166666666667</v>
      </c>
    </row>
    <row r="1183" spans="1:14" x14ac:dyDescent="0.15">
      <c r="A1183" s="1">
        <v>1174</v>
      </c>
      <c r="B1183" s="3">
        <f t="shared" si="113"/>
        <v>297.73061682816285</v>
      </c>
      <c r="C1183" s="8"/>
      <c r="D1183" s="3">
        <f t="shared" si="114"/>
        <v>291.39076682527826</v>
      </c>
      <c r="F1183" s="3">
        <f t="shared" si="115"/>
        <v>-197.73061682816285</v>
      </c>
      <c r="G1183" s="3">
        <f t="shared" si="116"/>
        <v>6.3398500028845888</v>
      </c>
      <c r="H1183" s="3">
        <f t="shared" si="117"/>
        <v>291.39076682527826</v>
      </c>
      <c r="M1183" s="1">
        <f t="shared" si="118"/>
        <v>432</v>
      </c>
      <c r="N1183" s="38">
        <f>+M1183*'Failure Data'!F$3</f>
        <v>11.16</v>
      </c>
    </row>
    <row r="1184" spans="1:14" x14ac:dyDescent="0.15">
      <c r="A1184" s="1">
        <v>1175</v>
      </c>
      <c r="B1184" s="3">
        <f t="shared" si="113"/>
        <v>297.98152031353487</v>
      </c>
      <c r="C1184" s="8"/>
      <c r="D1184" s="3">
        <f t="shared" si="114"/>
        <v>291.64167031065028</v>
      </c>
      <c r="F1184" s="3">
        <f t="shared" si="115"/>
        <v>-197.98152031353487</v>
      </c>
      <c r="G1184" s="3">
        <f t="shared" si="116"/>
        <v>6.3398500028845888</v>
      </c>
      <c r="H1184" s="3">
        <f t="shared" si="117"/>
        <v>291.64167031065028</v>
      </c>
      <c r="M1184" s="1">
        <f t="shared" si="118"/>
        <v>433</v>
      </c>
      <c r="N1184" s="38">
        <f>+M1184*'Failure Data'!F$3</f>
        <v>11.185833333333333</v>
      </c>
    </row>
    <row r="1185" spans="1:14" x14ac:dyDescent="0.15">
      <c r="A1185" s="1">
        <v>1176</v>
      </c>
      <c r="B1185" s="3">
        <f t="shared" si="113"/>
        <v>298.23242379890684</v>
      </c>
      <c r="C1185" s="8"/>
      <c r="D1185" s="3">
        <f t="shared" si="114"/>
        <v>291.89257379602225</v>
      </c>
      <c r="F1185" s="3">
        <f t="shared" si="115"/>
        <v>-198.23242379890684</v>
      </c>
      <c r="G1185" s="3">
        <f t="shared" si="116"/>
        <v>6.3398500028845888</v>
      </c>
      <c r="H1185" s="3">
        <f t="shared" si="117"/>
        <v>291.89257379602225</v>
      </c>
      <c r="M1185" s="1">
        <f t="shared" si="118"/>
        <v>434</v>
      </c>
      <c r="N1185" s="38">
        <f>+M1185*'Failure Data'!F$3</f>
        <v>11.211666666666666</v>
      </c>
    </row>
    <row r="1186" spans="1:14" x14ac:dyDescent="0.15">
      <c r="A1186" s="1">
        <v>1177</v>
      </c>
      <c r="B1186" s="3">
        <f t="shared" si="113"/>
        <v>298.48332728427886</v>
      </c>
      <c r="C1186" s="8"/>
      <c r="D1186" s="3">
        <f t="shared" si="114"/>
        <v>292.14347728139427</v>
      </c>
      <c r="F1186" s="3">
        <f t="shared" si="115"/>
        <v>-198.48332728427886</v>
      </c>
      <c r="G1186" s="3">
        <f t="shared" si="116"/>
        <v>6.3398500028845888</v>
      </c>
      <c r="H1186" s="3">
        <f t="shared" si="117"/>
        <v>292.14347728139427</v>
      </c>
      <c r="M1186" s="1">
        <f t="shared" si="118"/>
        <v>435</v>
      </c>
      <c r="N1186" s="38">
        <f>+M1186*'Failure Data'!F$3</f>
        <v>11.237500000000001</v>
      </c>
    </row>
    <row r="1187" spans="1:14" x14ac:dyDescent="0.15">
      <c r="A1187" s="1">
        <v>1178</v>
      </c>
      <c r="B1187" s="3">
        <f t="shared" si="113"/>
        <v>298.73423076965082</v>
      </c>
      <c r="C1187" s="8"/>
      <c r="D1187" s="3">
        <f t="shared" si="114"/>
        <v>292.39438076676623</v>
      </c>
      <c r="F1187" s="3">
        <f t="shared" si="115"/>
        <v>-198.73423076965082</v>
      </c>
      <c r="G1187" s="3">
        <f t="shared" si="116"/>
        <v>6.3398500028845888</v>
      </c>
      <c r="H1187" s="3">
        <f t="shared" si="117"/>
        <v>292.39438076676623</v>
      </c>
      <c r="M1187" s="1">
        <f t="shared" si="118"/>
        <v>436</v>
      </c>
      <c r="N1187" s="38">
        <f>+M1187*'Failure Data'!F$3</f>
        <v>11.263333333333334</v>
      </c>
    </row>
    <row r="1188" spans="1:14" x14ac:dyDescent="0.15">
      <c r="A1188" s="1">
        <v>1179</v>
      </c>
      <c r="B1188" s="3">
        <f t="shared" si="113"/>
        <v>298.98513425502284</v>
      </c>
      <c r="C1188" s="8"/>
      <c r="D1188" s="3">
        <f t="shared" si="114"/>
        <v>292.64528425213825</v>
      </c>
      <c r="F1188" s="3">
        <f t="shared" si="115"/>
        <v>-198.98513425502284</v>
      </c>
      <c r="G1188" s="3">
        <f t="shared" si="116"/>
        <v>6.3398500028845888</v>
      </c>
      <c r="H1188" s="3">
        <f t="shared" si="117"/>
        <v>292.64528425213825</v>
      </c>
      <c r="M1188" s="1">
        <f t="shared" si="118"/>
        <v>437</v>
      </c>
      <c r="N1188" s="38">
        <f>+M1188*'Failure Data'!F$3</f>
        <v>11.289166666666667</v>
      </c>
    </row>
    <row r="1189" spans="1:14" x14ac:dyDescent="0.15">
      <c r="A1189" s="1">
        <v>1180</v>
      </c>
      <c r="B1189" s="3">
        <f t="shared" si="113"/>
        <v>299.23603774039481</v>
      </c>
      <c r="C1189" s="8"/>
      <c r="D1189" s="3">
        <f t="shared" si="114"/>
        <v>292.89618773751022</v>
      </c>
      <c r="F1189" s="3">
        <f t="shared" si="115"/>
        <v>-199.23603774039481</v>
      </c>
      <c r="G1189" s="3">
        <f t="shared" si="116"/>
        <v>6.3398500028845888</v>
      </c>
      <c r="H1189" s="3">
        <f t="shared" si="117"/>
        <v>292.89618773751022</v>
      </c>
      <c r="M1189" s="1">
        <f t="shared" si="118"/>
        <v>438</v>
      </c>
      <c r="N1189" s="38">
        <f>+M1189*'Failure Data'!F$3</f>
        <v>11.315</v>
      </c>
    </row>
    <row r="1190" spans="1:14" x14ac:dyDescent="0.15">
      <c r="A1190" s="1">
        <v>1181</v>
      </c>
      <c r="B1190" s="3">
        <f t="shared" si="113"/>
        <v>299.48694122576683</v>
      </c>
      <c r="C1190" s="8"/>
      <c r="D1190" s="3">
        <f t="shared" si="114"/>
        <v>293.14709122288224</v>
      </c>
      <c r="F1190" s="3">
        <f t="shared" si="115"/>
        <v>-199.48694122576683</v>
      </c>
      <c r="G1190" s="3">
        <f t="shared" si="116"/>
        <v>6.3398500028845888</v>
      </c>
      <c r="H1190" s="3">
        <f t="shared" si="117"/>
        <v>293.14709122288224</v>
      </c>
      <c r="M1190" s="1">
        <f t="shared" si="118"/>
        <v>439</v>
      </c>
      <c r="N1190" s="38">
        <f>+M1190*'Failure Data'!F$3</f>
        <v>11.340833333333332</v>
      </c>
    </row>
    <row r="1191" spans="1:14" x14ac:dyDescent="0.15">
      <c r="A1191" s="1">
        <v>1182</v>
      </c>
      <c r="B1191" s="3">
        <f t="shared" si="113"/>
        <v>299.73784471113879</v>
      </c>
      <c r="C1191" s="8"/>
      <c r="D1191" s="3">
        <f t="shared" si="114"/>
        <v>293.3979947082542</v>
      </c>
      <c r="F1191" s="3">
        <f t="shared" si="115"/>
        <v>-199.73784471113879</v>
      </c>
      <c r="G1191" s="3">
        <f t="shared" si="116"/>
        <v>6.3398500028845888</v>
      </c>
      <c r="H1191" s="3">
        <f t="shared" si="117"/>
        <v>293.3979947082542</v>
      </c>
      <c r="M1191" s="1">
        <f t="shared" si="118"/>
        <v>440</v>
      </c>
      <c r="N1191" s="38">
        <f>+M1191*'Failure Data'!F$3</f>
        <v>11.366666666666667</v>
      </c>
    </row>
    <row r="1192" spans="1:14" x14ac:dyDescent="0.15">
      <c r="A1192" s="1">
        <v>1183</v>
      </c>
      <c r="B1192" s="3">
        <f t="shared" si="113"/>
        <v>299.98874819651081</v>
      </c>
      <c r="C1192" s="8"/>
      <c r="D1192" s="3">
        <f t="shared" si="114"/>
        <v>293.64889819362622</v>
      </c>
      <c r="F1192" s="3">
        <f t="shared" si="115"/>
        <v>-199.98874819651081</v>
      </c>
      <c r="G1192" s="3">
        <f t="shared" si="116"/>
        <v>6.3398500028845888</v>
      </c>
      <c r="H1192" s="3">
        <f t="shared" si="117"/>
        <v>293.64889819362622</v>
      </c>
      <c r="M1192" s="1">
        <f t="shared" si="118"/>
        <v>441</v>
      </c>
      <c r="N1192" s="38">
        <f>+M1192*'Failure Data'!F$3</f>
        <v>11.3925</v>
      </c>
    </row>
    <row r="1193" spans="1:14" x14ac:dyDescent="0.15">
      <c r="A1193" s="1">
        <v>1184</v>
      </c>
      <c r="B1193" s="3">
        <f t="shared" si="113"/>
        <v>300.23965168188278</v>
      </c>
      <c r="C1193" s="8"/>
      <c r="D1193" s="3">
        <f t="shared" si="114"/>
        <v>293.89980167899819</v>
      </c>
      <c r="F1193" s="3">
        <f t="shared" si="115"/>
        <v>-200.23965168188278</v>
      </c>
      <c r="G1193" s="3">
        <f t="shared" si="116"/>
        <v>6.3398500028845888</v>
      </c>
      <c r="H1193" s="3">
        <f t="shared" si="117"/>
        <v>293.89980167899819</v>
      </c>
      <c r="M1193" s="1">
        <f t="shared" si="118"/>
        <v>442</v>
      </c>
      <c r="N1193" s="38">
        <f>+M1193*'Failure Data'!F$3</f>
        <v>11.418333333333333</v>
      </c>
    </row>
    <row r="1194" spans="1:14" x14ac:dyDescent="0.15">
      <c r="A1194" s="1">
        <v>1185</v>
      </c>
      <c r="B1194" s="3">
        <f t="shared" si="113"/>
        <v>300.4905551672548</v>
      </c>
      <c r="C1194" s="8"/>
      <c r="D1194" s="3">
        <f t="shared" si="114"/>
        <v>294.15070516437021</v>
      </c>
      <c r="F1194" s="3">
        <f t="shared" si="115"/>
        <v>-200.4905551672548</v>
      </c>
      <c r="G1194" s="3">
        <f t="shared" si="116"/>
        <v>6.3398500028845888</v>
      </c>
      <c r="H1194" s="3">
        <f t="shared" si="117"/>
        <v>294.15070516437021</v>
      </c>
      <c r="M1194" s="1">
        <f t="shared" si="118"/>
        <v>443</v>
      </c>
      <c r="N1194" s="38">
        <f>+M1194*'Failure Data'!F$3</f>
        <v>11.444166666666666</v>
      </c>
    </row>
    <row r="1195" spans="1:14" x14ac:dyDescent="0.15">
      <c r="A1195" s="1">
        <v>1186</v>
      </c>
      <c r="B1195" s="3">
        <f t="shared" si="113"/>
        <v>300.74145865262676</v>
      </c>
      <c r="C1195" s="8"/>
      <c r="D1195" s="3">
        <f t="shared" si="114"/>
        <v>294.40160864974217</v>
      </c>
      <c r="F1195" s="3">
        <f t="shared" si="115"/>
        <v>-200.74145865262676</v>
      </c>
      <c r="G1195" s="3">
        <f t="shared" si="116"/>
        <v>6.3398500028845888</v>
      </c>
      <c r="H1195" s="3">
        <f t="shared" si="117"/>
        <v>294.40160864974217</v>
      </c>
      <c r="M1195" s="1">
        <f t="shared" si="118"/>
        <v>444</v>
      </c>
      <c r="N1195" s="38">
        <f>+M1195*'Failure Data'!F$3</f>
        <v>11.47</v>
      </c>
    </row>
    <row r="1196" spans="1:14" x14ac:dyDescent="0.15">
      <c r="A1196" s="1">
        <v>1187</v>
      </c>
      <c r="B1196" s="3">
        <f t="shared" si="113"/>
        <v>300.99236213799878</v>
      </c>
      <c r="C1196" s="8"/>
      <c r="D1196" s="3">
        <f t="shared" si="114"/>
        <v>294.65251213511419</v>
      </c>
      <c r="F1196" s="3">
        <f t="shared" si="115"/>
        <v>-200.99236213799878</v>
      </c>
      <c r="G1196" s="3">
        <f t="shared" si="116"/>
        <v>6.3398500028845888</v>
      </c>
      <c r="H1196" s="3">
        <f t="shared" si="117"/>
        <v>294.65251213511419</v>
      </c>
      <c r="M1196" s="1">
        <f t="shared" si="118"/>
        <v>445</v>
      </c>
      <c r="N1196" s="38">
        <f>+M1196*'Failure Data'!F$3</f>
        <v>11.495833333333334</v>
      </c>
    </row>
    <row r="1197" spans="1:14" x14ac:dyDescent="0.15">
      <c r="A1197" s="1">
        <v>1188</v>
      </c>
      <c r="B1197" s="3">
        <f t="shared" si="113"/>
        <v>301.24326562337075</v>
      </c>
      <c r="C1197" s="8"/>
      <c r="D1197" s="3">
        <f t="shared" si="114"/>
        <v>294.90341562048621</v>
      </c>
      <c r="F1197" s="3">
        <f t="shared" si="115"/>
        <v>-201.24326562337075</v>
      </c>
      <c r="G1197" s="3">
        <f t="shared" si="116"/>
        <v>6.3398500028845319</v>
      </c>
      <c r="H1197" s="3">
        <f t="shared" si="117"/>
        <v>294.90341562048621</v>
      </c>
      <c r="M1197" s="1">
        <f t="shared" si="118"/>
        <v>446</v>
      </c>
      <c r="N1197" s="38">
        <f>+M1197*'Failure Data'!F$3</f>
        <v>11.521666666666667</v>
      </c>
    </row>
    <row r="1198" spans="1:14" x14ac:dyDescent="0.15">
      <c r="A1198" s="1">
        <v>1189</v>
      </c>
      <c r="B1198" s="3">
        <f t="shared" ref="B1198:B1261" si="119">+(B$4*A1198)+B$5</f>
        <v>301.49416910874277</v>
      </c>
      <c r="C1198" s="8"/>
      <c r="D1198" s="3">
        <f t="shared" ref="D1198:D1261" si="120">+(D$4*A1198)+D$5</f>
        <v>295.15431910585818</v>
      </c>
      <c r="F1198" s="3">
        <f t="shared" ref="F1198:F1261" si="121">+xmax-B1198</f>
        <v>-201.49416910874277</v>
      </c>
      <c r="G1198" s="3">
        <f t="shared" ref="G1198:G1261" si="122">+B1198-D1198</f>
        <v>6.3398500028845888</v>
      </c>
      <c r="H1198" s="3">
        <f t="shared" ref="H1198:H1261" si="123">D1198</f>
        <v>295.15431910585818</v>
      </c>
      <c r="M1198" s="1">
        <f t="shared" si="118"/>
        <v>447</v>
      </c>
      <c r="N1198" s="38">
        <f>+M1198*'Failure Data'!F$3</f>
        <v>11.547499999999999</v>
      </c>
    </row>
    <row r="1199" spans="1:14" x14ac:dyDescent="0.15">
      <c r="A1199" s="1">
        <v>1190</v>
      </c>
      <c r="B1199" s="3">
        <f t="shared" si="119"/>
        <v>301.74507259411473</v>
      </c>
      <c r="C1199" s="8"/>
      <c r="D1199" s="3">
        <f t="shared" si="120"/>
        <v>295.4052225912302</v>
      </c>
      <c r="F1199" s="3">
        <f t="shared" si="121"/>
        <v>-201.74507259411473</v>
      </c>
      <c r="G1199" s="3">
        <f t="shared" si="122"/>
        <v>6.3398500028845319</v>
      </c>
      <c r="H1199" s="3">
        <f t="shared" si="123"/>
        <v>295.4052225912302</v>
      </c>
      <c r="M1199" s="1">
        <f t="shared" si="118"/>
        <v>448</v>
      </c>
      <c r="N1199" s="38">
        <f>+M1199*'Failure Data'!F$3</f>
        <v>11.573333333333334</v>
      </c>
    </row>
    <row r="1200" spans="1:14" x14ac:dyDescent="0.15">
      <c r="A1200" s="1">
        <v>1191</v>
      </c>
      <c r="B1200" s="3">
        <f t="shared" si="119"/>
        <v>301.99597607948675</v>
      </c>
      <c r="C1200" s="8"/>
      <c r="D1200" s="3">
        <f t="shared" si="120"/>
        <v>295.65612607660216</v>
      </c>
      <c r="F1200" s="3">
        <f t="shared" si="121"/>
        <v>-201.99597607948675</v>
      </c>
      <c r="G1200" s="3">
        <f t="shared" si="122"/>
        <v>6.3398500028845888</v>
      </c>
      <c r="H1200" s="3">
        <f t="shared" si="123"/>
        <v>295.65612607660216</v>
      </c>
      <c r="M1200" s="1">
        <f t="shared" si="118"/>
        <v>449</v>
      </c>
      <c r="N1200" s="38">
        <f>+M1200*'Failure Data'!F$3</f>
        <v>11.599166666666667</v>
      </c>
    </row>
    <row r="1201" spans="1:14" x14ac:dyDescent="0.15">
      <c r="A1201" s="1">
        <v>1192</v>
      </c>
      <c r="B1201" s="3">
        <f t="shared" si="119"/>
        <v>302.24687956485872</v>
      </c>
      <c r="C1201" s="8"/>
      <c r="D1201" s="3">
        <f t="shared" si="120"/>
        <v>295.90702956197418</v>
      </c>
      <c r="F1201" s="3">
        <f t="shared" si="121"/>
        <v>-202.24687956485872</v>
      </c>
      <c r="G1201" s="3">
        <f t="shared" si="122"/>
        <v>6.3398500028845319</v>
      </c>
      <c r="H1201" s="3">
        <f t="shared" si="123"/>
        <v>295.90702956197418</v>
      </c>
      <c r="M1201" s="1">
        <f t="shared" si="118"/>
        <v>450</v>
      </c>
      <c r="N1201" s="38">
        <f>+M1201*'Failure Data'!F$3</f>
        <v>11.625</v>
      </c>
    </row>
    <row r="1202" spans="1:14" x14ac:dyDescent="0.15">
      <c r="A1202" s="1">
        <v>1193</v>
      </c>
      <c r="B1202" s="3">
        <f t="shared" si="119"/>
        <v>302.49778305023074</v>
      </c>
      <c r="C1202" s="8"/>
      <c r="D1202" s="3">
        <f t="shared" si="120"/>
        <v>296.15793304734615</v>
      </c>
      <c r="F1202" s="3">
        <f t="shared" si="121"/>
        <v>-202.49778305023074</v>
      </c>
      <c r="G1202" s="3">
        <f t="shared" si="122"/>
        <v>6.3398500028845888</v>
      </c>
      <c r="H1202" s="3">
        <f t="shared" si="123"/>
        <v>296.15793304734615</v>
      </c>
      <c r="M1202" s="1">
        <f t="shared" si="118"/>
        <v>451</v>
      </c>
      <c r="N1202" s="38">
        <f>+M1202*'Failure Data'!F$3</f>
        <v>11.650833333333333</v>
      </c>
    </row>
    <row r="1203" spans="1:14" x14ac:dyDescent="0.15">
      <c r="A1203" s="1">
        <v>1194</v>
      </c>
      <c r="B1203" s="3">
        <f t="shared" si="119"/>
        <v>302.7486865356027</v>
      </c>
      <c r="C1203" s="8"/>
      <c r="D1203" s="3">
        <f t="shared" si="120"/>
        <v>296.40883653271817</v>
      </c>
      <c r="F1203" s="3">
        <f t="shared" si="121"/>
        <v>-202.7486865356027</v>
      </c>
      <c r="G1203" s="3">
        <f t="shared" si="122"/>
        <v>6.3398500028845319</v>
      </c>
      <c r="H1203" s="3">
        <f t="shared" si="123"/>
        <v>296.40883653271817</v>
      </c>
      <c r="M1203" s="1">
        <f t="shared" si="118"/>
        <v>452</v>
      </c>
      <c r="N1203" s="38">
        <f>+M1203*'Failure Data'!F$3</f>
        <v>11.676666666666666</v>
      </c>
    </row>
    <row r="1204" spans="1:14" x14ac:dyDescent="0.15">
      <c r="A1204" s="1">
        <v>1195</v>
      </c>
      <c r="B1204" s="3">
        <f t="shared" si="119"/>
        <v>302.99959002097472</v>
      </c>
      <c r="C1204" s="8"/>
      <c r="D1204" s="3">
        <f t="shared" si="120"/>
        <v>296.65974001809013</v>
      </c>
      <c r="F1204" s="3">
        <f t="shared" si="121"/>
        <v>-202.99959002097472</v>
      </c>
      <c r="G1204" s="3">
        <f t="shared" si="122"/>
        <v>6.3398500028845888</v>
      </c>
      <c r="H1204" s="3">
        <f t="shared" si="123"/>
        <v>296.65974001809013</v>
      </c>
      <c r="M1204" s="1">
        <f t="shared" si="118"/>
        <v>453</v>
      </c>
      <c r="N1204" s="38">
        <f>+M1204*'Failure Data'!F$3</f>
        <v>11.702500000000001</v>
      </c>
    </row>
    <row r="1205" spans="1:14" x14ac:dyDescent="0.15">
      <c r="A1205" s="1">
        <v>1196</v>
      </c>
      <c r="B1205" s="3">
        <f t="shared" si="119"/>
        <v>303.25049350634674</v>
      </c>
      <c r="C1205" s="8"/>
      <c r="D1205" s="3">
        <f t="shared" si="120"/>
        <v>296.91064350346215</v>
      </c>
      <c r="F1205" s="3">
        <f t="shared" si="121"/>
        <v>-203.25049350634674</v>
      </c>
      <c r="G1205" s="3">
        <f t="shared" si="122"/>
        <v>6.3398500028845888</v>
      </c>
      <c r="H1205" s="3">
        <f t="shared" si="123"/>
        <v>296.91064350346215</v>
      </c>
      <c r="M1205" s="1">
        <f t="shared" si="118"/>
        <v>454</v>
      </c>
      <c r="N1205" s="38">
        <f>+M1205*'Failure Data'!F$3</f>
        <v>11.728333333333333</v>
      </c>
    </row>
    <row r="1206" spans="1:14" x14ac:dyDescent="0.15">
      <c r="A1206" s="1">
        <v>1197</v>
      </c>
      <c r="B1206" s="3">
        <f t="shared" si="119"/>
        <v>303.50139699171871</v>
      </c>
      <c r="C1206" s="8"/>
      <c r="D1206" s="3">
        <f t="shared" si="120"/>
        <v>297.16154698883412</v>
      </c>
      <c r="F1206" s="3">
        <f t="shared" si="121"/>
        <v>-203.50139699171871</v>
      </c>
      <c r="G1206" s="3">
        <f t="shared" si="122"/>
        <v>6.3398500028845888</v>
      </c>
      <c r="H1206" s="3">
        <f t="shared" si="123"/>
        <v>297.16154698883412</v>
      </c>
      <c r="M1206" s="1">
        <f t="shared" si="118"/>
        <v>455</v>
      </c>
      <c r="N1206" s="38">
        <f>+M1206*'Failure Data'!F$3</f>
        <v>11.754166666666666</v>
      </c>
    </row>
    <row r="1207" spans="1:14" x14ac:dyDescent="0.15">
      <c r="A1207" s="1">
        <v>1198</v>
      </c>
      <c r="B1207" s="3">
        <f t="shared" si="119"/>
        <v>303.75230047709073</v>
      </c>
      <c r="C1207" s="8"/>
      <c r="D1207" s="3">
        <f t="shared" si="120"/>
        <v>297.41245047420614</v>
      </c>
      <c r="F1207" s="3">
        <f t="shared" si="121"/>
        <v>-203.75230047709073</v>
      </c>
      <c r="G1207" s="3">
        <f t="shared" si="122"/>
        <v>6.3398500028845888</v>
      </c>
      <c r="H1207" s="3">
        <f t="shared" si="123"/>
        <v>297.41245047420614</v>
      </c>
      <c r="M1207" s="1">
        <f t="shared" si="118"/>
        <v>456</v>
      </c>
      <c r="N1207" s="38">
        <f>+M1207*'Failure Data'!F$3</f>
        <v>11.78</v>
      </c>
    </row>
    <row r="1208" spans="1:14" x14ac:dyDescent="0.15">
      <c r="A1208" s="1">
        <v>1199</v>
      </c>
      <c r="B1208" s="3">
        <f t="shared" si="119"/>
        <v>304.00320396246269</v>
      </c>
      <c r="C1208" s="8"/>
      <c r="D1208" s="3">
        <f t="shared" si="120"/>
        <v>297.6633539595781</v>
      </c>
      <c r="F1208" s="3">
        <f t="shared" si="121"/>
        <v>-204.00320396246269</v>
      </c>
      <c r="G1208" s="3">
        <f t="shared" si="122"/>
        <v>6.3398500028845888</v>
      </c>
      <c r="H1208" s="3">
        <f t="shared" si="123"/>
        <v>297.6633539595781</v>
      </c>
      <c r="M1208" s="1">
        <f t="shared" si="118"/>
        <v>457</v>
      </c>
      <c r="N1208" s="38">
        <f>+M1208*'Failure Data'!F$3</f>
        <v>11.805833333333334</v>
      </c>
    </row>
    <row r="1209" spans="1:14" x14ac:dyDescent="0.15">
      <c r="A1209" s="1">
        <v>1200</v>
      </c>
      <c r="B1209" s="3">
        <f t="shared" si="119"/>
        <v>304.25410744783471</v>
      </c>
      <c r="C1209" s="8"/>
      <c r="D1209" s="3">
        <f t="shared" si="120"/>
        <v>297.91425744495012</v>
      </c>
      <c r="F1209" s="3">
        <f t="shared" si="121"/>
        <v>-204.25410744783471</v>
      </c>
      <c r="G1209" s="3">
        <f t="shared" si="122"/>
        <v>6.3398500028845888</v>
      </c>
      <c r="H1209" s="3">
        <f t="shared" si="123"/>
        <v>297.91425744495012</v>
      </c>
      <c r="M1209" s="1">
        <f t="shared" si="118"/>
        <v>458</v>
      </c>
      <c r="N1209" s="38">
        <f>+M1209*'Failure Data'!F$3</f>
        <v>11.831666666666667</v>
      </c>
    </row>
    <row r="1210" spans="1:14" x14ac:dyDescent="0.15">
      <c r="A1210" s="1">
        <v>1201</v>
      </c>
      <c r="B1210" s="3">
        <f t="shared" si="119"/>
        <v>304.50501093320668</v>
      </c>
      <c r="C1210" s="8"/>
      <c r="D1210" s="3">
        <f t="shared" si="120"/>
        <v>298.16516093032209</v>
      </c>
      <c r="F1210" s="3">
        <f t="shared" si="121"/>
        <v>-204.50501093320668</v>
      </c>
      <c r="G1210" s="3">
        <f t="shared" si="122"/>
        <v>6.3398500028845888</v>
      </c>
      <c r="H1210" s="3">
        <f t="shared" si="123"/>
        <v>298.16516093032209</v>
      </c>
      <c r="M1210" s="1">
        <f t="shared" si="118"/>
        <v>459</v>
      </c>
      <c r="N1210" s="38">
        <f>+M1210*'Failure Data'!F$3</f>
        <v>11.8575</v>
      </c>
    </row>
    <row r="1211" spans="1:14" x14ac:dyDescent="0.15">
      <c r="A1211" s="1">
        <v>1202</v>
      </c>
      <c r="B1211" s="3">
        <f t="shared" si="119"/>
        <v>304.7559144185787</v>
      </c>
      <c r="C1211" s="8"/>
      <c r="D1211" s="3">
        <f t="shared" si="120"/>
        <v>298.41606441569411</v>
      </c>
      <c r="F1211" s="3">
        <f t="shared" si="121"/>
        <v>-204.7559144185787</v>
      </c>
      <c r="G1211" s="3">
        <f t="shared" si="122"/>
        <v>6.3398500028845888</v>
      </c>
      <c r="H1211" s="3">
        <f t="shared" si="123"/>
        <v>298.41606441569411</v>
      </c>
      <c r="M1211" s="1">
        <f t="shared" si="118"/>
        <v>460</v>
      </c>
      <c r="N1211" s="38">
        <f>+M1211*'Failure Data'!F$3</f>
        <v>11.883333333333333</v>
      </c>
    </row>
    <row r="1212" spans="1:14" x14ac:dyDescent="0.15">
      <c r="A1212" s="1">
        <v>1203</v>
      </c>
      <c r="B1212" s="3">
        <f t="shared" si="119"/>
        <v>305.00681790395066</v>
      </c>
      <c r="C1212" s="8"/>
      <c r="D1212" s="3">
        <f t="shared" si="120"/>
        <v>298.66696790106607</v>
      </c>
      <c r="F1212" s="3">
        <f t="shared" si="121"/>
        <v>-205.00681790395066</v>
      </c>
      <c r="G1212" s="3">
        <f t="shared" si="122"/>
        <v>6.3398500028845888</v>
      </c>
      <c r="H1212" s="3">
        <f t="shared" si="123"/>
        <v>298.66696790106607</v>
      </c>
      <c r="M1212" s="1">
        <f t="shared" si="118"/>
        <v>461</v>
      </c>
      <c r="N1212" s="38">
        <f>+M1212*'Failure Data'!F$3</f>
        <v>11.909166666666666</v>
      </c>
    </row>
    <row r="1213" spans="1:14" x14ac:dyDescent="0.15">
      <c r="A1213" s="1">
        <v>1204</v>
      </c>
      <c r="B1213" s="3">
        <f t="shared" si="119"/>
        <v>305.25772138932268</v>
      </c>
      <c r="C1213" s="8"/>
      <c r="D1213" s="3">
        <f t="shared" si="120"/>
        <v>298.91787138643809</v>
      </c>
      <c r="F1213" s="3">
        <f t="shared" si="121"/>
        <v>-205.25772138932268</v>
      </c>
      <c r="G1213" s="3">
        <f t="shared" si="122"/>
        <v>6.3398500028845888</v>
      </c>
      <c r="H1213" s="3">
        <f t="shared" si="123"/>
        <v>298.91787138643809</v>
      </c>
      <c r="M1213" s="1">
        <f t="shared" si="118"/>
        <v>462</v>
      </c>
      <c r="N1213" s="38">
        <f>+M1213*'Failure Data'!F$3</f>
        <v>11.935</v>
      </c>
    </row>
    <row r="1214" spans="1:14" x14ac:dyDescent="0.15">
      <c r="A1214" s="1">
        <v>1205</v>
      </c>
      <c r="B1214" s="3">
        <f t="shared" si="119"/>
        <v>305.50862487469465</v>
      </c>
      <c r="C1214" s="8"/>
      <c r="D1214" s="3">
        <f t="shared" si="120"/>
        <v>299.16877487181006</v>
      </c>
      <c r="F1214" s="3">
        <f t="shared" si="121"/>
        <v>-205.50862487469465</v>
      </c>
      <c r="G1214" s="3">
        <f t="shared" si="122"/>
        <v>6.3398500028845888</v>
      </c>
      <c r="H1214" s="3">
        <f t="shared" si="123"/>
        <v>299.16877487181006</v>
      </c>
      <c r="M1214" s="1">
        <f t="shared" si="118"/>
        <v>463</v>
      </c>
      <c r="N1214" s="38">
        <f>+M1214*'Failure Data'!F$3</f>
        <v>11.960833333333333</v>
      </c>
    </row>
    <row r="1215" spans="1:14" x14ac:dyDescent="0.15">
      <c r="A1215" s="1">
        <v>1206</v>
      </c>
      <c r="B1215" s="3">
        <f t="shared" si="119"/>
        <v>305.75952836006667</v>
      </c>
      <c r="C1215" s="8"/>
      <c r="D1215" s="3">
        <f t="shared" si="120"/>
        <v>299.41967835718208</v>
      </c>
      <c r="F1215" s="3">
        <f t="shared" si="121"/>
        <v>-205.75952836006667</v>
      </c>
      <c r="G1215" s="3">
        <f t="shared" si="122"/>
        <v>6.3398500028845888</v>
      </c>
      <c r="H1215" s="3">
        <f t="shared" si="123"/>
        <v>299.41967835718208</v>
      </c>
      <c r="M1215" s="1">
        <f t="shared" si="118"/>
        <v>464</v>
      </c>
      <c r="N1215" s="38">
        <f>+M1215*'Failure Data'!F$3</f>
        <v>11.986666666666666</v>
      </c>
    </row>
    <row r="1216" spans="1:14" x14ac:dyDescent="0.15">
      <c r="A1216" s="1">
        <v>1207</v>
      </c>
      <c r="B1216" s="3">
        <f t="shared" si="119"/>
        <v>306.01043184543863</v>
      </c>
      <c r="C1216" s="8"/>
      <c r="D1216" s="3">
        <f t="shared" si="120"/>
        <v>299.67058184255404</v>
      </c>
      <c r="F1216" s="3">
        <f t="shared" si="121"/>
        <v>-206.01043184543863</v>
      </c>
      <c r="G1216" s="3">
        <f t="shared" si="122"/>
        <v>6.3398500028845888</v>
      </c>
      <c r="H1216" s="3">
        <f t="shared" si="123"/>
        <v>299.67058184255404</v>
      </c>
      <c r="M1216" s="1">
        <f t="shared" si="118"/>
        <v>465</v>
      </c>
      <c r="N1216" s="38">
        <f>+M1216*'Failure Data'!F$3</f>
        <v>12.012499999999999</v>
      </c>
    </row>
    <row r="1217" spans="1:14" x14ac:dyDescent="0.15">
      <c r="A1217" s="1">
        <v>1208</v>
      </c>
      <c r="B1217" s="3">
        <f t="shared" si="119"/>
        <v>306.26133533081065</v>
      </c>
      <c r="C1217" s="8"/>
      <c r="D1217" s="3">
        <f t="shared" si="120"/>
        <v>299.92148532792606</v>
      </c>
      <c r="F1217" s="3">
        <f t="shared" si="121"/>
        <v>-206.26133533081065</v>
      </c>
      <c r="G1217" s="3">
        <f t="shared" si="122"/>
        <v>6.3398500028845888</v>
      </c>
      <c r="H1217" s="3">
        <f t="shared" si="123"/>
        <v>299.92148532792606</v>
      </c>
      <c r="M1217" s="1">
        <f t="shared" ref="M1217:M1280" si="124">M1216+1</f>
        <v>466</v>
      </c>
      <c r="N1217" s="38">
        <f>+M1217*'Failure Data'!F$3</f>
        <v>12.038333333333334</v>
      </c>
    </row>
    <row r="1218" spans="1:14" x14ac:dyDescent="0.15">
      <c r="A1218" s="1">
        <v>1209</v>
      </c>
      <c r="B1218" s="3">
        <f t="shared" si="119"/>
        <v>306.51223881618262</v>
      </c>
      <c r="C1218" s="8"/>
      <c r="D1218" s="3">
        <f t="shared" si="120"/>
        <v>300.17238881329803</v>
      </c>
      <c r="F1218" s="3">
        <f t="shared" si="121"/>
        <v>-206.51223881618262</v>
      </c>
      <c r="G1218" s="3">
        <f t="shared" si="122"/>
        <v>6.3398500028845888</v>
      </c>
      <c r="H1218" s="3">
        <f t="shared" si="123"/>
        <v>300.17238881329803</v>
      </c>
      <c r="M1218" s="1">
        <f t="shared" si="124"/>
        <v>467</v>
      </c>
      <c r="N1218" s="38">
        <f>+M1218*'Failure Data'!F$3</f>
        <v>12.064166666666667</v>
      </c>
    </row>
    <row r="1219" spans="1:14" x14ac:dyDescent="0.15">
      <c r="A1219" s="1">
        <v>1210</v>
      </c>
      <c r="B1219" s="3">
        <f t="shared" si="119"/>
        <v>306.76314230155464</v>
      </c>
      <c r="C1219" s="8"/>
      <c r="D1219" s="3">
        <f t="shared" si="120"/>
        <v>300.42329229867005</v>
      </c>
      <c r="F1219" s="3">
        <f t="shared" si="121"/>
        <v>-206.76314230155464</v>
      </c>
      <c r="G1219" s="3">
        <f t="shared" si="122"/>
        <v>6.3398500028845888</v>
      </c>
      <c r="H1219" s="3">
        <f t="shared" si="123"/>
        <v>300.42329229867005</v>
      </c>
      <c r="M1219" s="1">
        <f t="shared" si="124"/>
        <v>468</v>
      </c>
      <c r="N1219" s="38">
        <f>+M1219*'Failure Data'!F$3</f>
        <v>12.09</v>
      </c>
    </row>
    <row r="1220" spans="1:14" x14ac:dyDescent="0.15">
      <c r="A1220" s="1">
        <v>1211</v>
      </c>
      <c r="B1220" s="3">
        <f t="shared" si="119"/>
        <v>307.0140457869266</v>
      </c>
      <c r="C1220" s="8"/>
      <c r="D1220" s="3">
        <f t="shared" si="120"/>
        <v>300.67419578404207</v>
      </c>
      <c r="F1220" s="3">
        <f t="shared" si="121"/>
        <v>-207.0140457869266</v>
      </c>
      <c r="G1220" s="3">
        <f t="shared" si="122"/>
        <v>6.3398500028845319</v>
      </c>
      <c r="H1220" s="3">
        <f t="shared" si="123"/>
        <v>300.67419578404207</v>
      </c>
      <c r="M1220" s="1">
        <f t="shared" si="124"/>
        <v>469</v>
      </c>
      <c r="N1220" s="38">
        <f>+M1220*'Failure Data'!F$3</f>
        <v>12.115833333333333</v>
      </c>
    </row>
    <row r="1221" spans="1:14" x14ac:dyDescent="0.15">
      <c r="A1221" s="1">
        <v>1212</v>
      </c>
      <c r="B1221" s="3">
        <f t="shared" si="119"/>
        <v>307.26494927229862</v>
      </c>
      <c r="C1221" s="8"/>
      <c r="D1221" s="3">
        <f t="shared" si="120"/>
        <v>300.92509926941403</v>
      </c>
      <c r="F1221" s="3">
        <f t="shared" si="121"/>
        <v>-207.26494927229862</v>
      </c>
      <c r="G1221" s="3">
        <f t="shared" si="122"/>
        <v>6.3398500028845888</v>
      </c>
      <c r="H1221" s="3">
        <f t="shared" si="123"/>
        <v>300.92509926941403</v>
      </c>
      <c r="M1221" s="1">
        <f t="shared" si="124"/>
        <v>470</v>
      </c>
      <c r="N1221" s="38">
        <f>+M1221*'Failure Data'!F$3</f>
        <v>12.141666666666666</v>
      </c>
    </row>
    <row r="1222" spans="1:14" x14ac:dyDescent="0.15">
      <c r="A1222" s="1">
        <v>1213</v>
      </c>
      <c r="B1222" s="3">
        <f t="shared" si="119"/>
        <v>307.51585275767059</v>
      </c>
      <c r="C1222" s="8"/>
      <c r="D1222" s="3">
        <f t="shared" si="120"/>
        <v>301.17600275478605</v>
      </c>
      <c r="F1222" s="3">
        <f t="shared" si="121"/>
        <v>-207.51585275767059</v>
      </c>
      <c r="G1222" s="3">
        <f t="shared" si="122"/>
        <v>6.3398500028845319</v>
      </c>
      <c r="H1222" s="3">
        <f t="shared" si="123"/>
        <v>301.17600275478605</v>
      </c>
      <c r="M1222" s="1">
        <f t="shared" si="124"/>
        <v>471</v>
      </c>
      <c r="N1222" s="38">
        <f>+M1222*'Failure Data'!F$3</f>
        <v>12.1675</v>
      </c>
    </row>
    <row r="1223" spans="1:14" x14ac:dyDescent="0.15">
      <c r="A1223" s="1">
        <v>1214</v>
      </c>
      <c r="B1223" s="3">
        <f t="shared" si="119"/>
        <v>307.76675624304261</v>
      </c>
      <c r="C1223" s="8"/>
      <c r="D1223" s="3">
        <f t="shared" si="120"/>
        <v>301.42690624015802</v>
      </c>
      <c r="F1223" s="3">
        <f t="shared" si="121"/>
        <v>-207.76675624304261</v>
      </c>
      <c r="G1223" s="3">
        <f t="shared" si="122"/>
        <v>6.3398500028845888</v>
      </c>
      <c r="H1223" s="3">
        <f t="shared" si="123"/>
        <v>301.42690624015802</v>
      </c>
      <c r="M1223" s="1">
        <f t="shared" si="124"/>
        <v>472</v>
      </c>
      <c r="N1223" s="38">
        <f>+M1223*'Failure Data'!F$3</f>
        <v>12.193333333333333</v>
      </c>
    </row>
    <row r="1224" spans="1:14" x14ac:dyDescent="0.15">
      <c r="A1224" s="1">
        <v>1215</v>
      </c>
      <c r="B1224" s="3">
        <f t="shared" si="119"/>
        <v>308.01765972841457</v>
      </c>
      <c r="C1224" s="8"/>
      <c r="D1224" s="3">
        <f t="shared" si="120"/>
        <v>301.67780972553004</v>
      </c>
      <c r="F1224" s="3">
        <f t="shared" si="121"/>
        <v>-208.01765972841457</v>
      </c>
      <c r="G1224" s="3">
        <f t="shared" si="122"/>
        <v>6.3398500028845319</v>
      </c>
      <c r="H1224" s="3">
        <f t="shared" si="123"/>
        <v>301.67780972553004</v>
      </c>
      <c r="M1224" s="1">
        <f t="shared" si="124"/>
        <v>473</v>
      </c>
      <c r="N1224" s="38">
        <f>+M1224*'Failure Data'!F$3</f>
        <v>12.219166666666666</v>
      </c>
    </row>
    <row r="1225" spans="1:14" x14ac:dyDescent="0.15">
      <c r="A1225" s="1">
        <v>1216</v>
      </c>
      <c r="B1225" s="3">
        <f t="shared" si="119"/>
        <v>308.26856321378659</v>
      </c>
      <c r="C1225" s="8"/>
      <c r="D1225" s="3">
        <f t="shared" si="120"/>
        <v>301.928713210902</v>
      </c>
      <c r="F1225" s="3">
        <f t="shared" si="121"/>
        <v>-208.26856321378659</v>
      </c>
      <c r="G1225" s="3">
        <f t="shared" si="122"/>
        <v>6.3398500028845888</v>
      </c>
      <c r="H1225" s="3">
        <f t="shared" si="123"/>
        <v>301.928713210902</v>
      </c>
      <c r="M1225" s="1">
        <f t="shared" si="124"/>
        <v>474</v>
      </c>
      <c r="N1225" s="38">
        <f>+M1225*'Failure Data'!F$3</f>
        <v>12.244999999999999</v>
      </c>
    </row>
    <row r="1226" spans="1:14" x14ac:dyDescent="0.15">
      <c r="A1226" s="1">
        <v>1217</v>
      </c>
      <c r="B1226" s="3">
        <f t="shared" si="119"/>
        <v>308.51946669915856</v>
      </c>
      <c r="C1226" s="8"/>
      <c r="D1226" s="3">
        <f t="shared" si="120"/>
        <v>302.17961669627402</v>
      </c>
      <c r="F1226" s="3">
        <f t="shared" si="121"/>
        <v>-208.51946669915856</v>
      </c>
      <c r="G1226" s="3">
        <f t="shared" si="122"/>
        <v>6.3398500028845319</v>
      </c>
      <c r="H1226" s="3">
        <f t="shared" si="123"/>
        <v>302.17961669627402</v>
      </c>
      <c r="M1226" s="1">
        <f t="shared" si="124"/>
        <v>475</v>
      </c>
      <c r="N1226" s="38">
        <f>+M1226*'Failure Data'!F$3</f>
        <v>12.270833333333334</v>
      </c>
    </row>
    <row r="1227" spans="1:14" x14ac:dyDescent="0.15">
      <c r="A1227" s="1">
        <v>1218</v>
      </c>
      <c r="B1227" s="3">
        <f t="shared" si="119"/>
        <v>308.77037018453058</v>
      </c>
      <c r="C1227" s="8"/>
      <c r="D1227" s="3">
        <f t="shared" si="120"/>
        <v>302.43052018164599</v>
      </c>
      <c r="F1227" s="3">
        <f t="shared" si="121"/>
        <v>-208.77037018453058</v>
      </c>
      <c r="G1227" s="3">
        <f t="shared" si="122"/>
        <v>6.3398500028845888</v>
      </c>
      <c r="H1227" s="3">
        <f t="shared" si="123"/>
        <v>302.43052018164599</v>
      </c>
      <c r="M1227" s="1">
        <f t="shared" si="124"/>
        <v>476</v>
      </c>
      <c r="N1227" s="38">
        <f>+M1227*'Failure Data'!F$3</f>
        <v>12.296666666666667</v>
      </c>
    </row>
    <row r="1228" spans="1:14" x14ac:dyDescent="0.15">
      <c r="A1228" s="1">
        <v>1219</v>
      </c>
      <c r="B1228" s="3">
        <f t="shared" si="119"/>
        <v>309.02127366990254</v>
      </c>
      <c r="C1228" s="8"/>
      <c r="D1228" s="3">
        <f t="shared" si="120"/>
        <v>302.68142366701801</v>
      </c>
      <c r="F1228" s="3">
        <f t="shared" si="121"/>
        <v>-209.02127366990254</v>
      </c>
      <c r="G1228" s="3">
        <f t="shared" si="122"/>
        <v>6.3398500028845319</v>
      </c>
      <c r="H1228" s="3">
        <f t="shared" si="123"/>
        <v>302.68142366701801</v>
      </c>
      <c r="M1228" s="1">
        <f t="shared" si="124"/>
        <v>477</v>
      </c>
      <c r="N1228" s="38">
        <f>+M1228*'Failure Data'!F$3</f>
        <v>12.3225</v>
      </c>
    </row>
    <row r="1229" spans="1:14" x14ac:dyDescent="0.15">
      <c r="A1229" s="1">
        <v>1220</v>
      </c>
      <c r="B1229" s="3">
        <f t="shared" si="119"/>
        <v>309.27217715527456</v>
      </c>
      <c r="C1229" s="8"/>
      <c r="D1229" s="3">
        <f t="shared" si="120"/>
        <v>302.93232715238997</v>
      </c>
      <c r="F1229" s="3">
        <f t="shared" si="121"/>
        <v>-209.27217715527456</v>
      </c>
      <c r="G1229" s="3">
        <f t="shared" si="122"/>
        <v>6.3398500028845888</v>
      </c>
      <c r="H1229" s="3">
        <f t="shared" si="123"/>
        <v>302.93232715238997</v>
      </c>
      <c r="M1229" s="1">
        <f t="shared" si="124"/>
        <v>478</v>
      </c>
      <c r="N1229" s="38">
        <f>+M1229*'Failure Data'!F$3</f>
        <v>12.348333333333333</v>
      </c>
    </row>
    <row r="1230" spans="1:14" x14ac:dyDescent="0.15">
      <c r="A1230" s="1">
        <v>1221</v>
      </c>
      <c r="B1230" s="3">
        <f t="shared" si="119"/>
        <v>309.52308064064658</v>
      </c>
      <c r="C1230" s="8"/>
      <c r="D1230" s="3">
        <f t="shared" si="120"/>
        <v>303.18323063776199</v>
      </c>
      <c r="F1230" s="3">
        <f t="shared" si="121"/>
        <v>-209.52308064064658</v>
      </c>
      <c r="G1230" s="3">
        <f t="shared" si="122"/>
        <v>6.3398500028845888</v>
      </c>
      <c r="H1230" s="3">
        <f t="shared" si="123"/>
        <v>303.18323063776199</v>
      </c>
      <c r="M1230" s="1">
        <f t="shared" si="124"/>
        <v>479</v>
      </c>
      <c r="N1230" s="38">
        <f>+M1230*'Failure Data'!F$3</f>
        <v>12.374166666666667</v>
      </c>
    </row>
    <row r="1231" spans="1:14" x14ac:dyDescent="0.15">
      <c r="A1231" s="1">
        <v>1222</v>
      </c>
      <c r="B1231" s="3">
        <f t="shared" si="119"/>
        <v>309.77398412601855</v>
      </c>
      <c r="C1231" s="8"/>
      <c r="D1231" s="3">
        <f t="shared" si="120"/>
        <v>303.43413412313396</v>
      </c>
      <c r="F1231" s="3">
        <f t="shared" si="121"/>
        <v>-209.77398412601855</v>
      </c>
      <c r="G1231" s="3">
        <f t="shared" si="122"/>
        <v>6.3398500028845888</v>
      </c>
      <c r="H1231" s="3">
        <f t="shared" si="123"/>
        <v>303.43413412313396</v>
      </c>
      <c r="M1231" s="1">
        <f t="shared" si="124"/>
        <v>480</v>
      </c>
      <c r="N1231" s="38">
        <f>+M1231*'Failure Data'!F$3</f>
        <v>12.4</v>
      </c>
    </row>
    <row r="1232" spans="1:14" x14ac:dyDescent="0.15">
      <c r="A1232" s="1">
        <v>1223</v>
      </c>
      <c r="B1232" s="3">
        <f t="shared" si="119"/>
        <v>310.02488761139057</v>
      </c>
      <c r="C1232" s="8"/>
      <c r="D1232" s="3">
        <f t="shared" si="120"/>
        <v>303.68503760850598</v>
      </c>
      <c r="F1232" s="3">
        <f t="shared" si="121"/>
        <v>-210.02488761139057</v>
      </c>
      <c r="G1232" s="3">
        <f t="shared" si="122"/>
        <v>6.3398500028845888</v>
      </c>
      <c r="H1232" s="3">
        <f t="shared" si="123"/>
        <v>303.68503760850598</v>
      </c>
      <c r="M1232" s="1">
        <f t="shared" si="124"/>
        <v>481</v>
      </c>
      <c r="N1232" s="38">
        <f>+M1232*'Failure Data'!F$3</f>
        <v>12.425833333333333</v>
      </c>
    </row>
    <row r="1233" spans="1:14" x14ac:dyDescent="0.15">
      <c r="A1233" s="1">
        <v>1224</v>
      </c>
      <c r="B1233" s="3">
        <f t="shared" si="119"/>
        <v>310.27579109676253</v>
      </c>
      <c r="C1233" s="8"/>
      <c r="D1233" s="3">
        <f t="shared" si="120"/>
        <v>303.93594109387794</v>
      </c>
      <c r="F1233" s="3">
        <f t="shared" si="121"/>
        <v>-210.27579109676253</v>
      </c>
      <c r="G1233" s="3">
        <f t="shared" si="122"/>
        <v>6.3398500028845888</v>
      </c>
      <c r="H1233" s="3">
        <f t="shared" si="123"/>
        <v>303.93594109387794</v>
      </c>
      <c r="M1233" s="1">
        <f t="shared" si="124"/>
        <v>482</v>
      </c>
      <c r="N1233" s="38">
        <f>+M1233*'Failure Data'!F$3</f>
        <v>12.451666666666666</v>
      </c>
    </row>
    <row r="1234" spans="1:14" x14ac:dyDescent="0.15">
      <c r="A1234" s="1">
        <v>1225</v>
      </c>
      <c r="B1234" s="3">
        <f t="shared" si="119"/>
        <v>310.52669458213455</v>
      </c>
      <c r="C1234" s="8"/>
      <c r="D1234" s="3">
        <f t="shared" si="120"/>
        <v>304.18684457924996</v>
      </c>
      <c r="F1234" s="3">
        <f t="shared" si="121"/>
        <v>-210.52669458213455</v>
      </c>
      <c r="G1234" s="3">
        <f t="shared" si="122"/>
        <v>6.3398500028845888</v>
      </c>
      <c r="H1234" s="3">
        <f t="shared" si="123"/>
        <v>304.18684457924996</v>
      </c>
      <c r="M1234" s="1">
        <f t="shared" si="124"/>
        <v>483</v>
      </c>
      <c r="N1234" s="38">
        <f>+M1234*'Failure Data'!F$3</f>
        <v>12.477499999999999</v>
      </c>
    </row>
    <row r="1235" spans="1:14" x14ac:dyDescent="0.15">
      <c r="A1235" s="1">
        <v>1226</v>
      </c>
      <c r="B1235" s="3">
        <f t="shared" si="119"/>
        <v>310.77759806750652</v>
      </c>
      <c r="C1235" s="8"/>
      <c r="D1235" s="3">
        <f t="shared" si="120"/>
        <v>304.43774806462193</v>
      </c>
      <c r="F1235" s="3">
        <f t="shared" si="121"/>
        <v>-210.77759806750652</v>
      </c>
      <c r="G1235" s="3">
        <f t="shared" si="122"/>
        <v>6.3398500028845888</v>
      </c>
      <c r="H1235" s="3">
        <f t="shared" si="123"/>
        <v>304.43774806462193</v>
      </c>
      <c r="M1235" s="1">
        <f t="shared" si="124"/>
        <v>484</v>
      </c>
      <c r="N1235" s="38">
        <f>+M1235*'Failure Data'!F$3</f>
        <v>12.503333333333334</v>
      </c>
    </row>
    <row r="1236" spans="1:14" x14ac:dyDescent="0.15">
      <c r="A1236" s="1">
        <v>1227</v>
      </c>
      <c r="B1236" s="3">
        <f t="shared" si="119"/>
        <v>311.02850155287854</v>
      </c>
      <c r="C1236" s="8"/>
      <c r="D1236" s="3">
        <f t="shared" si="120"/>
        <v>304.68865154999395</v>
      </c>
      <c r="F1236" s="3">
        <f t="shared" si="121"/>
        <v>-211.02850155287854</v>
      </c>
      <c r="G1236" s="3">
        <f t="shared" si="122"/>
        <v>6.3398500028845888</v>
      </c>
      <c r="H1236" s="3">
        <f t="shared" si="123"/>
        <v>304.68865154999395</v>
      </c>
      <c r="M1236" s="1">
        <f t="shared" si="124"/>
        <v>485</v>
      </c>
      <c r="N1236" s="38">
        <f>+M1236*'Failure Data'!F$3</f>
        <v>12.529166666666667</v>
      </c>
    </row>
    <row r="1237" spans="1:14" x14ac:dyDescent="0.15">
      <c r="A1237" s="1">
        <v>1228</v>
      </c>
      <c r="B1237" s="3">
        <f t="shared" si="119"/>
        <v>311.2794050382505</v>
      </c>
      <c r="C1237" s="8"/>
      <c r="D1237" s="3">
        <f t="shared" si="120"/>
        <v>304.93955503536591</v>
      </c>
      <c r="F1237" s="3">
        <f t="shared" si="121"/>
        <v>-211.2794050382505</v>
      </c>
      <c r="G1237" s="3">
        <f t="shared" si="122"/>
        <v>6.3398500028845888</v>
      </c>
      <c r="H1237" s="3">
        <f t="shared" si="123"/>
        <v>304.93955503536591</v>
      </c>
      <c r="M1237" s="1">
        <f t="shared" si="124"/>
        <v>486</v>
      </c>
      <c r="N1237" s="38">
        <f>+M1237*'Failure Data'!F$3</f>
        <v>12.555</v>
      </c>
    </row>
    <row r="1238" spans="1:14" x14ac:dyDescent="0.15">
      <c r="A1238" s="1">
        <v>1229</v>
      </c>
      <c r="B1238" s="3">
        <f t="shared" si="119"/>
        <v>311.53030852362252</v>
      </c>
      <c r="C1238" s="8"/>
      <c r="D1238" s="3">
        <f t="shared" si="120"/>
        <v>305.19045852073793</v>
      </c>
      <c r="F1238" s="3">
        <f t="shared" si="121"/>
        <v>-211.53030852362252</v>
      </c>
      <c r="G1238" s="3">
        <f t="shared" si="122"/>
        <v>6.3398500028845888</v>
      </c>
      <c r="H1238" s="3">
        <f t="shared" si="123"/>
        <v>305.19045852073793</v>
      </c>
      <c r="M1238" s="1">
        <f t="shared" si="124"/>
        <v>487</v>
      </c>
      <c r="N1238" s="38">
        <f>+M1238*'Failure Data'!F$3</f>
        <v>12.580833333333333</v>
      </c>
    </row>
    <row r="1239" spans="1:14" x14ac:dyDescent="0.15">
      <c r="A1239" s="1">
        <v>1230</v>
      </c>
      <c r="B1239" s="3">
        <f t="shared" si="119"/>
        <v>311.78121200899449</v>
      </c>
      <c r="C1239" s="8"/>
      <c r="D1239" s="3">
        <f t="shared" si="120"/>
        <v>305.4413620061099</v>
      </c>
      <c r="F1239" s="3">
        <f t="shared" si="121"/>
        <v>-211.78121200899449</v>
      </c>
      <c r="G1239" s="3">
        <f t="shared" si="122"/>
        <v>6.3398500028845888</v>
      </c>
      <c r="H1239" s="3">
        <f t="shared" si="123"/>
        <v>305.4413620061099</v>
      </c>
      <c r="M1239" s="1">
        <f t="shared" si="124"/>
        <v>488</v>
      </c>
      <c r="N1239" s="38">
        <f>+M1239*'Failure Data'!F$3</f>
        <v>12.606666666666667</v>
      </c>
    </row>
    <row r="1240" spans="1:14" x14ac:dyDescent="0.15">
      <c r="A1240" s="1">
        <v>1231</v>
      </c>
      <c r="B1240" s="3">
        <f t="shared" si="119"/>
        <v>312.03211549436651</v>
      </c>
      <c r="C1240" s="8"/>
      <c r="D1240" s="3">
        <f t="shared" si="120"/>
        <v>305.69226549148192</v>
      </c>
      <c r="F1240" s="3">
        <f t="shared" si="121"/>
        <v>-212.03211549436651</v>
      </c>
      <c r="G1240" s="3">
        <f t="shared" si="122"/>
        <v>6.3398500028845888</v>
      </c>
      <c r="H1240" s="3">
        <f t="shared" si="123"/>
        <v>305.69226549148192</v>
      </c>
      <c r="M1240" s="1">
        <f t="shared" si="124"/>
        <v>489</v>
      </c>
      <c r="N1240" s="38">
        <f>+M1240*'Failure Data'!F$3</f>
        <v>12.6325</v>
      </c>
    </row>
    <row r="1241" spans="1:14" x14ac:dyDescent="0.15">
      <c r="A1241" s="1">
        <v>1232</v>
      </c>
      <c r="B1241" s="3">
        <f t="shared" si="119"/>
        <v>312.28301897973847</v>
      </c>
      <c r="C1241" s="8"/>
      <c r="D1241" s="3">
        <f t="shared" si="120"/>
        <v>305.94316897685388</v>
      </c>
      <c r="F1241" s="3">
        <f t="shared" si="121"/>
        <v>-212.28301897973847</v>
      </c>
      <c r="G1241" s="3">
        <f t="shared" si="122"/>
        <v>6.3398500028845888</v>
      </c>
      <c r="H1241" s="3">
        <f t="shared" si="123"/>
        <v>305.94316897685388</v>
      </c>
      <c r="M1241" s="1">
        <f t="shared" si="124"/>
        <v>490</v>
      </c>
      <c r="N1241" s="38">
        <f>+M1241*'Failure Data'!F$3</f>
        <v>12.658333333333333</v>
      </c>
    </row>
    <row r="1242" spans="1:14" x14ac:dyDescent="0.15">
      <c r="A1242" s="1">
        <v>1233</v>
      </c>
      <c r="B1242" s="3">
        <f t="shared" si="119"/>
        <v>312.53392246511049</v>
      </c>
      <c r="C1242" s="8"/>
      <c r="D1242" s="3">
        <f t="shared" si="120"/>
        <v>306.1940724622259</v>
      </c>
      <c r="F1242" s="3">
        <f t="shared" si="121"/>
        <v>-212.53392246511049</v>
      </c>
      <c r="G1242" s="3">
        <f t="shared" si="122"/>
        <v>6.3398500028845888</v>
      </c>
      <c r="H1242" s="3">
        <f t="shared" si="123"/>
        <v>306.1940724622259</v>
      </c>
      <c r="M1242" s="1">
        <f t="shared" si="124"/>
        <v>491</v>
      </c>
      <c r="N1242" s="38">
        <f>+M1242*'Failure Data'!F$3</f>
        <v>12.684166666666666</v>
      </c>
    </row>
    <row r="1243" spans="1:14" x14ac:dyDescent="0.15">
      <c r="A1243" s="1">
        <v>1234</v>
      </c>
      <c r="B1243" s="3">
        <f t="shared" si="119"/>
        <v>312.78482595048246</v>
      </c>
      <c r="C1243" s="8"/>
      <c r="D1243" s="3">
        <f t="shared" si="120"/>
        <v>306.44497594759792</v>
      </c>
      <c r="F1243" s="3">
        <f t="shared" si="121"/>
        <v>-212.78482595048246</v>
      </c>
      <c r="G1243" s="3">
        <f t="shared" si="122"/>
        <v>6.3398500028845319</v>
      </c>
      <c r="H1243" s="3">
        <f t="shared" si="123"/>
        <v>306.44497594759792</v>
      </c>
      <c r="M1243" s="1">
        <f t="shared" si="124"/>
        <v>492</v>
      </c>
      <c r="N1243" s="38">
        <f>+M1243*'Failure Data'!F$3</f>
        <v>12.709999999999999</v>
      </c>
    </row>
    <row r="1244" spans="1:14" x14ac:dyDescent="0.15">
      <c r="A1244" s="1">
        <v>1235</v>
      </c>
      <c r="B1244" s="3">
        <f t="shared" si="119"/>
        <v>313.03572943585448</v>
      </c>
      <c r="C1244" s="8"/>
      <c r="D1244" s="3">
        <f t="shared" si="120"/>
        <v>306.69587943296989</v>
      </c>
      <c r="F1244" s="3">
        <f t="shared" si="121"/>
        <v>-213.03572943585448</v>
      </c>
      <c r="G1244" s="3">
        <f t="shared" si="122"/>
        <v>6.3398500028845888</v>
      </c>
      <c r="H1244" s="3">
        <f t="shared" si="123"/>
        <v>306.69587943296989</v>
      </c>
      <c r="M1244" s="1">
        <f t="shared" si="124"/>
        <v>493</v>
      </c>
      <c r="N1244" s="38">
        <f>+M1244*'Failure Data'!F$3</f>
        <v>12.735833333333334</v>
      </c>
    </row>
    <row r="1245" spans="1:14" x14ac:dyDescent="0.15">
      <c r="A1245" s="1">
        <v>1236</v>
      </c>
      <c r="B1245" s="3">
        <f t="shared" si="119"/>
        <v>313.28663292122644</v>
      </c>
      <c r="C1245" s="8"/>
      <c r="D1245" s="3">
        <f t="shared" si="120"/>
        <v>306.94678291834191</v>
      </c>
      <c r="F1245" s="3">
        <f t="shared" si="121"/>
        <v>-213.28663292122644</v>
      </c>
      <c r="G1245" s="3">
        <f t="shared" si="122"/>
        <v>6.3398500028845319</v>
      </c>
      <c r="H1245" s="3">
        <f t="shared" si="123"/>
        <v>306.94678291834191</v>
      </c>
      <c r="M1245" s="1">
        <f t="shared" si="124"/>
        <v>494</v>
      </c>
      <c r="N1245" s="38">
        <f>+M1245*'Failure Data'!F$3</f>
        <v>12.761666666666667</v>
      </c>
    </row>
    <row r="1246" spans="1:14" x14ac:dyDescent="0.15">
      <c r="A1246" s="1">
        <v>1237</v>
      </c>
      <c r="B1246" s="3">
        <f t="shared" si="119"/>
        <v>313.53753640659846</v>
      </c>
      <c r="C1246" s="8"/>
      <c r="D1246" s="3">
        <f t="shared" si="120"/>
        <v>307.19768640371387</v>
      </c>
      <c r="F1246" s="3">
        <f t="shared" si="121"/>
        <v>-213.53753640659846</v>
      </c>
      <c r="G1246" s="3">
        <f t="shared" si="122"/>
        <v>6.3398500028845888</v>
      </c>
      <c r="H1246" s="3">
        <f t="shared" si="123"/>
        <v>307.19768640371387</v>
      </c>
      <c r="M1246" s="1">
        <f t="shared" si="124"/>
        <v>495</v>
      </c>
      <c r="N1246" s="38">
        <f>+M1246*'Failure Data'!F$3</f>
        <v>12.7875</v>
      </c>
    </row>
    <row r="1247" spans="1:14" x14ac:dyDescent="0.15">
      <c r="A1247" s="1">
        <v>1238</v>
      </c>
      <c r="B1247" s="3">
        <f t="shared" si="119"/>
        <v>313.78843989197043</v>
      </c>
      <c r="C1247" s="8"/>
      <c r="D1247" s="3">
        <f t="shared" si="120"/>
        <v>307.44858988908589</v>
      </c>
      <c r="F1247" s="3">
        <f t="shared" si="121"/>
        <v>-213.78843989197043</v>
      </c>
      <c r="G1247" s="3">
        <f t="shared" si="122"/>
        <v>6.3398500028845319</v>
      </c>
      <c r="H1247" s="3">
        <f t="shared" si="123"/>
        <v>307.44858988908589</v>
      </c>
      <c r="M1247" s="1">
        <f t="shared" si="124"/>
        <v>496</v>
      </c>
      <c r="N1247" s="38">
        <f>+M1247*'Failure Data'!F$3</f>
        <v>12.813333333333333</v>
      </c>
    </row>
    <row r="1248" spans="1:14" x14ac:dyDescent="0.15">
      <c r="A1248" s="1">
        <v>1239</v>
      </c>
      <c r="B1248" s="3">
        <f t="shared" si="119"/>
        <v>314.03934337734245</v>
      </c>
      <c r="C1248" s="8"/>
      <c r="D1248" s="3">
        <f t="shared" si="120"/>
        <v>307.69949337445786</v>
      </c>
      <c r="F1248" s="3">
        <f t="shared" si="121"/>
        <v>-214.03934337734245</v>
      </c>
      <c r="G1248" s="3">
        <f t="shared" si="122"/>
        <v>6.3398500028845888</v>
      </c>
      <c r="H1248" s="3">
        <f t="shared" si="123"/>
        <v>307.69949337445786</v>
      </c>
      <c r="M1248" s="1">
        <f t="shared" si="124"/>
        <v>497</v>
      </c>
      <c r="N1248" s="38">
        <f>+M1248*'Failure Data'!F$3</f>
        <v>12.839166666666667</v>
      </c>
    </row>
    <row r="1249" spans="1:14" x14ac:dyDescent="0.15">
      <c r="A1249" s="1">
        <v>1240</v>
      </c>
      <c r="B1249" s="3">
        <f t="shared" si="119"/>
        <v>314.29024686271441</v>
      </c>
      <c r="C1249" s="8"/>
      <c r="D1249" s="3">
        <f t="shared" si="120"/>
        <v>307.95039685982988</v>
      </c>
      <c r="F1249" s="3">
        <f t="shared" si="121"/>
        <v>-214.29024686271441</v>
      </c>
      <c r="G1249" s="3">
        <f t="shared" si="122"/>
        <v>6.3398500028845319</v>
      </c>
      <c r="H1249" s="3">
        <f t="shared" si="123"/>
        <v>307.95039685982988</v>
      </c>
      <c r="M1249" s="1">
        <f t="shared" si="124"/>
        <v>498</v>
      </c>
      <c r="N1249" s="38">
        <f>+M1249*'Failure Data'!F$3</f>
        <v>12.865</v>
      </c>
    </row>
    <row r="1250" spans="1:14" x14ac:dyDescent="0.15">
      <c r="A1250" s="1">
        <v>1241</v>
      </c>
      <c r="B1250" s="3">
        <f t="shared" si="119"/>
        <v>314.54115034808643</v>
      </c>
      <c r="C1250" s="8"/>
      <c r="D1250" s="3">
        <f t="shared" si="120"/>
        <v>308.20130034520184</v>
      </c>
      <c r="F1250" s="3">
        <f t="shared" si="121"/>
        <v>-214.54115034808643</v>
      </c>
      <c r="G1250" s="3">
        <f t="shared" si="122"/>
        <v>6.3398500028845888</v>
      </c>
      <c r="H1250" s="3">
        <f t="shared" si="123"/>
        <v>308.20130034520184</v>
      </c>
      <c r="M1250" s="1">
        <f t="shared" si="124"/>
        <v>499</v>
      </c>
      <c r="N1250" s="38">
        <f>+M1250*'Failure Data'!F$3</f>
        <v>12.890833333333333</v>
      </c>
    </row>
    <row r="1251" spans="1:14" x14ac:dyDescent="0.15">
      <c r="A1251" s="1">
        <v>1242</v>
      </c>
      <c r="B1251" s="3">
        <f t="shared" si="119"/>
        <v>314.7920538334584</v>
      </c>
      <c r="C1251" s="8"/>
      <c r="D1251" s="3">
        <f t="shared" si="120"/>
        <v>308.45220383057386</v>
      </c>
      <c r="F1251" s="3">
        <f t="shared" si="121"/>
        <v>-214.7920538334584</v>
      </c>
      <c r="G1251" s="3">
        <f t="shared" si="122"/>
        <v>6.3398500028845319</v>
      </c>
      <c r="H1251" s="3">
        <f t="shared" si="123"/>
        <v>308.45220383057386</v>
      </c>
      <c r="M1251" s="1">
        <f t="shared" si="124"/>
        <v>500</v>
      </c>
      <c r="N1251" s="38">
        <f>+M1251*'Failure Data'!F$3</f>
        <v>12.916666666666666</v>
      </c>
    </row>
    <row r="1252" spans="1:14" x14ac:dyDescent="0.15">
      <c r="A1252" s="1">
        <v>1243</v>
      </c>
      <c r="B1252" s="3">
        <f t="shared" si="119"/>
        <v>315.04295731883042</v>
      </c>
      <c r="C1252" s="8"/>
      <c r="D1252" s="3">
        <f t="shared" si="120"/>
        <v>308.70310731594583</v>
      </c>
      <c r="F1252" s="3">
        <f t="shared" si="121"/>
        <v>-215.04295731883042</v>
      </c>
      <c r="G1252" s="3">
        <f t="shared" si="122"/>
        <v>6.3398500028845888</v>
      </c>
      <c r="H1252" s="3">
        <f t="shared" si="123"/>
        <v>308.70310731594583</v>
      </c>
      <c r="M1252" s="1">
        <f t="shared" si="124"/>
        <v>501</v>
      </c>
      <c r="N1252" s="38">
        <f>+M1252*'Failure Data'!F$3</f>
        <v>12.942500000000001</v>
      </c>
    </row>
    <row r="1253" spans="1:14" x14ac:dyDescent="0.15">
      <c r="A1253" s="1">
        <v>1244</v>
      </c>
      <c r="B1253" s="3">
        <f t="shared" si="119"/>
        <v>315.29386080420244</v>
      </c>
      <c r="C1253" s="8"/>
      <c r="D1253" s="3">
        <f t="shared" si="120"/>
        <v>308.95401080131785</v>
      </c>
      <c r="F1253" s="3">
        <f t="shared" si="121"/>
        <v>-215.29386080420244</v>
      </c>
      <c r="G1253" s="3">
        <f t="shared" si="122"/>
        <v>6.3398500028845888</v>
      </c>
      <c r="H1253" s="3">
        <f t="shared" si="123"/>
        <v>308.95401080131785</v>
      </c>
      <c r="M1253" s="1">
        <f t="shared" si="124"/>
        <v>502</v>
      </c>
      <c r="N1253" s="38">
        <f>+M1253*'Failure Data'!F$3</f>
        <v>12.968333333333334</v>
      </c>
    </row>
    <row r="1254" spans="1:14" x14ac:dyDescent="0.15">
      <c r="A1254" s="1">
        <v>1245</v>
      </c>
      <c r="B1254" s="3">
        <f t="shared" si="119"/>
        <v>315.5447642895744</v>
      </c>
      <c r="C1254" s="8"/>
      <c r="D1254" s="3">
        <f t="shared" si="120"/>
        <v>309.20491428668981</v>
      </c>
      <c r="F1254" s="3">
        <f t="shared" si="121"/>
        <v>-215.5447642895744</v>
      </c>
      <c r="G1254" s="3">
        <f t="shared" si="122"/>
        <v>6.3398500028845888</v>
      </c>
      <c r="H1254" s="3">
        <f t="shared" si="123"/>
        <v>309.20491428668981</v>
      </c>
      <c r="M1254" s="1">
        <f t="shared" si="124"/>
        <v>503</v>
      </c>
      <c r="N1254" s="38">
        <f>+M1254*'Failure Data'!F$3</f>
        <v>12.994166666666667</v>
      </c>
    </row>
    <row r="1255" spans="1:14" x14ac:dyDescent="0.15">
      <c r="A1255" s="1">
        <v>1246</v>
      </c>
      <c r="B1255" s="3">
        <f t="shared" si="119"/>
        <v>315.79566777494642</v>
      </c>
      <c r="C1255" s="8"/>
      <c r="D1255" s="3">
        <f t="shared" si="120"/>
        <v>309.45581777206183</v>
      </c>
      <c r="F1255" s="3">
        <f t="shared" si="121"/>
        <v>-215.79566777494642</v>
      </c>
      <c r="G1255" s="3">
        <f t="shared" si="122"/>
        <v>6.3398500028845888</v>
      </c>
      <c r="H1255" s="3">
        <f t="shared" si="123"/>
        <v>309.45581777206183</v>
      </c>
      <c r="M1255" s="1">
        <f t="shared" si="124"/>
        <v>504</v>
      </c>
      <c r="N1255" s="38">
        <f>+M1255*'Failure Data'!F$3</f>
        <v>13.02</v>
      </c>
    </row>
    <row r="1256" spans="1:14" x14ac:dyDescent="0.15">
      <c r="A1256" s="1">
        <v>1247</v>
      </c>
      <c r="B1256" s="3">
        <f t="shared" si="119"/>
        <v>316.04657126031839</v>
      </c>
      <c r="C1256" s="8"/>
      <c r="D1256" s="3">
        <f t="shared" si="120"/>
        <v>309.7067212574338</v>
      </c>
      <c r="F1256" s="3">
        <f t="shared" si="121"/>
        <v>-216.04657126031839</v>
      </c>
      <c r="G1256" s="3">
        <f t="shared" si="122"/>
        <v>6.3398500028845888</v>
      </c>
      <c r="H1256" s="3">
        <f t="shared" si="123"/>
        <v>309.7067212574338</v>
      </c>
      <c r="M1256" s="1">
        <f t="shared" si="124"/>
        <v>505</v>
      </c>
      <c r="N1256" s="38">
        <f>+M1256*'Failure Data'!F$3</f>
        <v>13.045833333333333</v>
      </c>
    </row>
    <row r="1257" spans="1:14" x14ac:dyDescent="0.15">
      <c r="A1257" s="1">
        <v>1248</v>
      </c>
      <c r="B1257" s="3">
        <f t="shared" si="119"/>
        <v>316.29747474569041</v>
      </c>
      <c r="C1257" s="8"/>
      <c r="D1257" s="3">
        <f t="shared" si="120"/>
        <v>309.95762474280582</v>
      </c>
      <c r="F1257" s="3">
        <f t="shared" si="121"/>
        <v>-216.29747474569041</v>
      </c>
      <c r="G1257" s="3">
        <f t="shared" si="122"/>
        <v>6.3398500028845888</v>
      </c>
      <c r="H1257" s="3">
        <f t="shared" si="123"/>
        <v>309.95762474280582</v>
      </c>
      <c r="M1257" s="1">
        <f t="shared" si="124"/>
        <v>506</v>
      </c>
      <c r="N1257" s="38">
        <f>+M1257*'Failure Data'!F$3</f>
        <v>13.071666666666667</v>
      </c>
    </row>
    <row r="1258" spans="1:14" x14ac:dyDescent="0.15">
      <c r="A1258" s="1">
        <v>1249</v>
      </c>
      <c r="B1258" s="3">
        <f t="shared" si="119"/>
        <v>316.54837823106237</v>
      </c>
      <c r="C1258" s="8"/>
      <c r="D1258" s="3">
        <f t="shared" si="120"/>
        <v>310.20852822817778</v>
      </c>
      <c r="F1258" s="3">
        <f t="shared" si="121"/>
        <v>-216.54837823106237</v>
      </c>
      <c r="G1258" s="3">
        <f t="shared" si="122"/>
        <v>6.3398500028845888</v>
      </c>
      <c r="H1258" s="3">
        <f t="shared" si="123"/>
        <v>310.20852822817778</v>
      </c>
      <c r="M1258" s="1">
        <f t="shared" si="124"/>
        <v>507</v>
      </c>
      <c r="N1258" s="38">
        <f>+M1258*'Failure Data'!F$3</f>
        <v>13.0975</v>
      </c>
    </row>
    <row r="1259" spans="1:14" x14ac:dyDescent="0.15">
      <c r="A1259" s="1">
        <v>1250</v>
      </c>
      <c r="B1259" s="3">
        <f t="shared" si="119"/>
        <v>316.79928171643439</v>
      </c>
      <c r="C1259" s="8"/>
      <c r="D1259" s="3">
        <f t="shared" si="120"/>
        <v>310.4594317135498</v>
      </c>
      <c r="F1259" s="3">
        <f t="shared" si="121"/>
        <v>-216.79928171643439</v>
      </c>
      <c r="G1259" s="3">
        <f t="shared" si="122"/>
        <v>6.3398500028845888</v>
      </c>
      <c r="H1259" s="3">
        <f t="shared" si="123"/>
        <v>310.4594317135498</v>
      </c>
      <c r="M1259" s="1">
        <f t="shared" si="124"/>
        <v>508</v>
      </c>
      <c r="N1259" s="38">
        <f>+M1259*'Failure Data'!F$3</f>
        <v>13.123333333333333</v>
      </c>
    </row>
    <row r="1260" spans="1:14" x14ac:dyDescent="0.15">
      <c r="A1260" s="1">
        <v>1251</v>
      </c>
      <c r="B1260" s="3">
        <f t="shared" si="119"/>
        <v>317.05018520180636</v>
      </c>
      <c r="C1260" s="8"/>
      <c r="D1260" s="3">
        <f t="shared" si="120"/>
        <v>310.71033519892177</v>
      </c>
      <c r="F1260" s="3">
        <f t="shared" si="121"/>
        <v>-217.05018520180636</v>
      </c>
      <c r="G1260" s="3">
        <f t="shared" si="122"/>
        <v>6.3398500028845888</v>
      </c>
      <c r="H1260" s="3">
        <f t="shared" si="123"/>
        <v>310.71033519892177</v>
      </c>
      <c r="M1260" s="1">
        <f t="shared" si="124"/>
        <v>509</v>
      </c>
      <c r="N1260" s="38">
        <f>+M1260*'Failure Data'!F$3</f>
        <v>13.149166666666666</v>
      </c>
    </row>
    <row r="1261" spans="1:14" x14ac:dyDescent="0.15">
      <c r="A1261" s="1">
        <v>1252</v>
      </c>
      <c r="B1261" s="3">
        <f t="shared" si="119"/>
        <v>317.30108868717838</v>
      </c>
      <c r="C1261" s="8"/>
      <c r="D1261" s="3">
        <f t="shared" si="120"/>
        <v>310.96123868429379</v>
      </c>
      <c r="F1261" s="3">
        <f t="shared" si="121"/>
        <v>-217.30108868717838</v>
      </c>
      <c r="G1261" s="3">
        <f t="shared" si="122"/>
        <v>6.3398500028845888</v>
      </c>
      <c r="H1261" s="3">
        <f t="shared" si="123"/>
        <v>310.96123868429379</v>
      </c>
      <c r="M1261" s="1">
        <f t="shared" si="124"/>
        <v>510</v>
      </c>
      <c r="N1261" s="38">
        <f>+M1261*'Failure Data'!F$3</f>
        <v>13.175000000000001</v>
      </c>
    </row>
    <row r="1262" spans="1:14" x14ac:dyDescent="0.15">
      <c r="A1262" s="1">
        <v>1253</v>
      </c>
      <c r="B1262" s="3">
        <f t="shared" ref="B1262:B1325" si="125">+(B$4*A1262)+B$5</f>
        <v>317.55199217255034</v>
      </c>
      <c r="C1262" s="8"/>
      <c r="D1262" s="3">
        <f t="shared" ref="D1262:D1325" si="126">+(D$4*A1262)+D$5</f>
        <v>311.21214216966575</v>
      </c>
      <c r="F1262" s="3">
        <f t="shared" ref="F1262:F1325" si="127">+xmax-B1262</f>
        <v>-217.55199217255034</v>
      </c>
      <c r="G1262" s="3">
        <f t="shared" ref="G1262:G1325" si="128">+B1262-D1262</f>
        <v>6.3398500028845888</v>
      </c>
      <c r="H1262" s="3">
        <f t="shared" ref="H1262:H1325" si="129">D1262</f>
        <v>311.21214216966575</v>
      </c>
      <c r="M1262" s="1">
        <f t="shared" si="124"/>
        <v>511</v>
      </c>
      <c r="N1262" s="38">
        <f>+M1262*'Failure Data'!F$3</f>
        <v>13.200833333333334</v>
      </c>
    </row>
    <row r="1263" spans="1:14" x14ac:dyDescent="0.15">
      <c r="A1263" s="1">
        <v>1254</v>
      </c>
      <c r="B1263" s="3">
        <f t="shared" si="125"/>
        <v>317.80289565792236</v>
      </c>
      <c r="C1263" s="8"/>
      <c r="D1263" s="3">
        <f t="shared" si="126"/>
        <v>311.46304565503777</v>
      </c>
      <c r="F1263" s="3">
        <f t="shared" si="127"/>
        <v>-217.80289565792236</v>
      </c>
      <c r="G1263" s="3">
        <f t="shared" si="128"/>
        <v>6.3398500028845888</v>
      </c>
      <c r="H1263" s="3">
        <f t="shared" si="129"/>
        <v>311.46304565503777</v>
      </c>
      <c r="M1263" s="1">
        <f t="shared" si="124"/>
        <v>512</v>
      </c>
      <c r="N1263" s="38">
        <f>+M1263*'Failure Data'!F$3</f>
        <v>13.226666666666667</v>
      </c>
    </row>
    <row r="1264" spans="1:14" x14ac:dyDescent="0.15">
      <c r="A1264" s="1">
        <v>1255</v>
      </c>
      <c r="B1264" s="3">
        <f t="shared" si="125"/>
        <v>318.05379914329433</v>
      </c>
      <c r="C1264" s="8"/>
      <c r="D1264" s="3">
        <f t="shared" si="126"/>
        <v>311.71394914040974</v>
      </c>
      <c r="F1264" s="3">
        <f t="shared" si="127"/>
        <v>-218.05379914329433</v>
      </c>
      <c r="G1264" s="3">
        <f t="shared" si="128"/>
        <v>6.3398500028845888</v>
      </c>
      <c r="H1264" s="3">
        <f t="shared" si="129"/>
        <v>311.71394914040974</v>
      </c>
      <c r="M1264" s="1">
        <f t="shared" si="124"/>
        <v>513</v>
      </c>
      <c r="N1264" s="38">
        <f>+M1264*'Failure Data'!F$3</f>
        <v>13.2525</v>
      </c>
    </row>
    <row r="1265" spans="1:14" x14ac:dyDescent="0.15">
      <c r="A1265" s="1">
        <v>1256</v>
      </c>
      <c r="B1265" s="3">
        <f t="shared" si="125"/>
        <v>318.30470262866635</v>
      </c>
      <c r="C1265" s="8"/>
      <c r="D1265" s="3">
        <f t="shared" si="126"/>
        <v>311.96485262578176</v>
      </c>
      <c r="F1265" s="3">
        <f t="shared" si="127"/>
        <v>-218.30470262866635</v>
      </c>
      <c r="G1265" s="3">
        <f t="shared" si="128"/>
        <v>6.3398500028845888</v>
      </c>
      <c r="H1265" s="3">
        <f t="shared" si="129"/>
        <v>311.96485262578176</v>
      </c>
      <c r="M1265" s="1">
        <f t="shared" si="124"/>
        <v>514</v>
      </c>
      <c r="N1265" s="38">
        <f>+M1265*'Failure Data'!F$3</f>
        <v>13.278333333333332</v>
      </c>
    </row>
    <row r="1266" spans="1:14" x14ac:dyDescent="0.15">
      <c r="A1266" s="1">
        <v>1257</v>
      </c>
      <c r="B1266" s="3">
        <f t="shared" si="125"/>
        <v>318.55560611403831</v>
      </c>
      <c r="C1266" s="8"/>
      <c r="D1266" s="3">
        <f t="shared" si="126"/>
        <v>312.21575611115378</v>
      </c>
      <c r="F1266" s="3">
        <f t="shared" si="127"/>
        <v>-218.55560611403831</v>
      </c>
      <c r="G1266" s="3">
        <f t="shared" si="128"/>
        <v>6.3398500028845319</v>
      </c>
      <c r="H1266" s="3">
        <f t="shared" si="129"/>
        <v>312.21575611115378</v>
      </c>
      <c r="M1266" s="1">
        <f t="shared" si="124"/>
        <v>515</v>
      </c>
      <c r="N1266" s="38">
        <f>+M1266*'Failure Data'!F$3</f>
        <v>13.304166666666667</v>
      </c>
    </row>
    <row r="1267" spans="1:14" x14ac:dyDescent="0.15">
      <c r="A1267" s="1">
        <v>1258</v>
      </c>
      <c r="B1267" s="3">
        <f t="shared" si="125"/>
        <v>318.80650959941033</v>
      </c>
      <c r="C1267" s="8"/>
      <c r="D1267" s="3">
        <f t="shared" si="126"/>
        <v>312.46665959652574</v>
      </c>
      <c r="F1267" s="3">
        <f t="shared" si="127"/>
        <v>-218.80650959941033</v>
      </c>
      <c r="G1267" s="3">
        <f t="shared" si="128"/>
        <v>6.3398500028845888</v>
      </c>
      <c r="H1267" s="3">
        <f t="shared" si="129"/>
        <v>312.46665959652574</v>
      </c>
      <c r="M1267" s="1">
        <f t="shared" si="124"/>
        <v>516</v>
      </c>
      <c r="N1267" s="38">
        <f>+M1267*'Failure Data'!F$3</f>
        <v>13.33</v>
      </c>
    </row>
    <row r="1268" spans="1:14" x14ac:dyDescent="0.15">
      <c r="A1268" s="1">
        <v>1259</v>
      </c>
      <c r="B1268" s="3">
        <f t="shared" si="125"/>
        <v>319.0574130847823</v>
      </c>
      <c r="C1268" s="8"/>
      <c r="D1268" s="3">
        <f t="shared" si="126"/>
        <v>312.71756308189777</v>
      </c>
      <c r="F1268" s="3">
        <f t="shared" si="127"/>
        <v>-219.0574130847823</v>
      </c>
      <c r="G1268" s="3">
        <f t="shared" si="128"/>
        <v>6.3398500028845319</v>
      </c>
      <c r="H1268" s="3">
        <f t="shared" si="129"/>
        <v>312.71756308189777</v>
      </c>
      <c r="M1268" s="1">
        <f t="shared" si="124"/>
        <v>517</v>
      </c>
      <c r="N1268" s="38">
        <f>+M1268*'Failure Data'!F$3</f>
        <v>13.355833333333333</v>
      </c>
    </row>
    <row r="1269" spans="1:14" x14ac:dyDescent="0.15">
      <c r="A1269" s="1">
        <v>1260</v>
      </c>
      <c r="B1269" s="3">
        <f t="shared" si="125"/>
        <v>319.30831657015432</v>
      </c>
      <c r="C1269" s="8"/>
      <c r="D1269" s="3">
        <f t="shared" si="126"/>
        <v>312.96846656726973</v>
      </c>
      <c r="F1269" s="3">
        <f t="shared" si="127"/>
        <v>-219.30831657015432</v>
      </c>
      <c r="G1269" s="3">
        <f t="shared" si="128"/>
        <v>6.3398500028845888</v>
      </c>
      <c r="H1269" s="3">
        <f t="shared" si="129"/>
        <v>312.96846656726973</v>
      </c>
      <c r="M1269" s="1">
        <f t="shared" si="124"/>
        <v>518</v>
      </c>
      <c r="N1269" s="38">
        <f>+M1269*'Failure Data'!F$3</f>
        <v>13.381666666666666</v>
      </c>
    </row>
    <row r="1270" spans="1:14" x14ac:dyDescent="0.15">
      <c r="A1270" s="1">
        <v>1261</v>
      </c>
      <c r="B1270" s="3">
        <f t="shared" si="125"/>
        <v>319.55922005552628</v>
      </c>
      <c r="C1270" s="8"/>
      <c r="D1270" s="3">
        <f t="shared" si="126"/>
        <v>313.21937005264175</v>
      </c>
      <c r="F1270" s="3">
        <f t="shared" si="127"/>
        <v>-219.55922005552628</v>
      </c>
      <c r="G1270" s="3">
        <f t="shared" si="128"/>
        <v>6.3398500028845319</v>
      </c>
      <c r="H1270" s="3">
        <f t="shared" si="129"/>
        <v>313.21937005264175</v>
      </c>
      <c r="M1270" s="1">
        <f t="shared" si="124"/>
        <v>519</v>
      </c>
      <c r="N1270" s="38">
        <f>+M1270*'Failure Data'!F$3</f>
        <v>13.407500000000001</v>
      </c>
    </row>
    <row r="1271" spans="1:14" x14ac:dyDescent="0.15">
      <c r="A1271" s="1">
        <v>1262</v>
      </c>
      <c r="B1271" s="3">
        <f t="shared" si="125"/>
        <v>319.8101235408983</v>
      </c>
      <c r="C1271" s="8"/>
      <c r="D1271" s="3">
        <f t="shared" si="126"/>
        <v>313.47027353801371</v>
      </c>
      <c r="F1271" s="3">
        <f t="shared" si="127"/>
        <v>-219.8101235408983</v>
      </c>
      <c r="G1271" s="3">
        <f t="shared" si="128"/>
        <v>6.3398500028845888</v>
      </c>
      <c r="H1271" s="3">
        <f t="shared" si="129"/>
        <v>313.47027353801371</v>
      </c>
      <c r="M1271" s="1">
        <f t="shared" si="124"/>
        <v>520</v>
      </c>
      <c r="N1271" s="38">
        <f>+M1271*'Failure Data'!F$3</f>
        <v>13.433333333333334</v>
      </c>
    </row>
    <row r="1272" spans="1:14" x14ac:dyDescent="0.15">
      <c r="A1272" s="1">
        <v>1263</v>
      </c>
      <c r="B1272" s="3">
        <f t="shared" si="125"/>
        <v>320.06102702627027</v>
      </c>
      <c r="C1272" s="8"/>
      <c r="D1272" s="3">
        <f t="shared" si="126"/>
        <v>313.72117702338574</v>
      </c>
      <c r="F1272" s="3">
        <f t="shared" si="127"/>
        <v>-220.06102702627027</v>
      </c>
      <c r="G1272" s="3">
        <f t="shared" si="128"/>
        <v>6.3398500028845319</v>
      </c>
      <c r="H1272" s="3">
        <f t="shared" si="129"/>
        <v>313.72117702338574</v>
      </c>
      <c r="M1272" s="1">
        <f t="shared" si="124"/>
        <v>521</v>
      </c>
      <c r="N1272" s="38">
        <f>+M1272*'Failure Data'!F$3</f>
        <v>13.459166666666667</v>
      </c>
    </row>
    <row r="1273" spans="1:14" x14ac:dyDescent="0.15">
      <c r="A1273" s="1">
        <v>1264</v>
      </c>
      <c r="B1273" s="3">
        <f t="shared" si="125"/>
        <v>320.31193051164229</v>
      </c>
      <c r="C1273" s="8"/>
      <c r="D1273" s="3">
        <f t="shared" si="126"/>
        <v>313.9720805087577</v>
      </c>
      <c r="F1273" s="3">
        <f t="shared" si="127"/>
        <v>-220.31193051164229</v>
      </c>
      <c r="G1273" s="3">
        <f t="shared" si="128"/>
        <v>6.3398500028845888</v>
      </c>
      <c r="H1273" s="3">
        <f t="shared" si="129"/>
        <v>313.9720805087577</v>
      </c>
      <c r="M1273" s="1">
        <f t="shared" si="124"/>
        <v>522</v>
      </c>
      <c r="N1273" s="38">
        <f>+M1273*'Failure Data'!F$3</f>
        <v>13.484999999999999</v>
      </c>
    </row>
    <row r="1274" spans="1:14" x14ac:dyDescent="0.15">
      <c r="A1274" s="1">
        <v>1265</v>
      </c>
      <c r="B1274" s="3">
        <f t="shared" si="125"/>
        <v>320.56283399701425</v>
      </c>
      <c r="C1274" s="8"/>
      <c r="D1274" s="3">
        <f t="shared" si="126"/>
        <v>314.22298399412972</v>
      </c>
      <c r="F1274" s="3">
        <f t="shared" si="127"/>
        <v>-220.56283399701425</v>
      </c>
      <c r="G1274" s="3">
        <f t="shared" si="128"/>
        <v>6.3398500028845319</v>
      </c>
      <c r="H1274" s="3">
        <f t="shared" si="129"/>
        <v>314.22298399412972</v>
      </c>
      <c r="M1274" s="1">
        <f t="shared" si="124"/>
        <v>523</v>
      </c>
      <c r="N1274" s="38">
        <f>+M1274*'Failure Data'!F$3</f>
        <v>13.510833333333332</v>
      </c>
    </row>
    <row r="1275" spans="1:14" x14ac:dyDescent="0.15">
      <c r="A1275" s="1">
        <v>1266</v>
      </c>
      <c r="B1275" s="3">
        <f t="shared" si="125"/>
        <v>320.81373748238627</v>
      </c>
      <c r="C1275" s="8"/>
      <c r="D1275" s="3">
        <f t="shared" si="126"/>
        <v>314.47388747950168</v>
      </c>
      <c r="F1275" s="3">
        <f t="shared" si="127"/>
        <v>-220.81373748238627</v>
      </c>
      <c r="G1275" s="3">
        <f t="shared" si="128"/>
        <v>6.3398500028845888</v>
      </c>
      <c r="H1275" s="3">
        <f t="shared" si="129"/>
        <v>314.47388747950168</v>
      </c>
      <c r="M1275" s="1">
        <f t="shared" si="124"/>
        <v>524</v>
      </c>
      <c r="N1275" s="38">
        <f>+M1275*'Failure Data'!F$3</f>
        <v>13.536666666666667</v>
      </c>
    </row>
    <row r="1276" spans="1:14" x14ac:dyDescent="0.15">
      <c r="A1276" s="1">
        <v>1267</v>
      </c>
      <c r="B1276" s="3">
        <f t="shared" si="125"/>
        <v>321.06464096775824</v>
      </c>
      <c r="C1276" s="8"/>
      <c r="D1276" s="3">
        <f t="shared" si="126"/>
        <v>314.7247909648737</v>
      </c>
      <c r="F1276" s="3">
        <f t="shared" si="127"/>
        <v>-221.06464096775824</v>
      </c>
      <c r="G1276" s="3">
        <f t="shared" si="128"/>
        <v>6.3398500028845319</v>
      </c>
      <c r="H1276" s="3">
        <f t="shared" si="129"/>
        <v>314.7247909648737</v>
      </c>
      <c r="M1276" s="1">
        <f t="shared" si="124"/>
        <v>525</v>
      </c>
      <c r="N1276" s="38">
        <f>+M1276*'Failure Data'!F$3</f>
        <v>13.5625</v>
      </c>
    </row>
    <row r="1277" spans="1:14" x14ac:dyDescent="0.15">
      <c r="A1277" s="1">
        <v>1268</v>
      </c>
      <c r="B1277" s="3">
        <f t="shared" si="125"/>
        <v>321.31554445313026</v>
      </c>
      <c r="C1277" s="8"/>
      <c r="D1277" s="3">
        <f t="shared" si="126"/>
        <v>314.97569445024567</v>
      </c>
      <c r="F1277" s="3">
        <f t="shared" si="127"/>
        <v>-221.31554445313026</v>
      </c>
      <c r="G1277" s="3">
        <f t="shared" si="128"/>
        <v>6.3398500028845888</v>
      </c>
      <c r="H1277" s="3">
        <f t="shared" si="129"/>
        <v>314.97569445024567</v>
      </c>
      <c r="M1277" s="1">
        <f t="shared" si="124"/>
        <v>526</v>
      </c>
      <c r="N1277" s="38">
        <f>+M1277*'Failure Data'!F$3</f>
        <v>13.588333333333333</v>
      </c>
    </row>
    <row r="1278" spans="1:14" x14ac:dyDescent="0.15">
      <c r="A1278" s="1">
        <v>1269</v>
      </c>
      <c r="B1278" s="3">
        <f t="shared" si="125"/>
        <v>321.56644793850228</v>
      </c>
      <c r="C1278" s="8"/>
      <c r="D1278" s="3">
        <f t="shared" si="126"/>
        <v>315.22659793561769</v>
      </c>
      <c r="F1278" s="3">
        <f t="shared" si="127"/>
        <v>-221.56644793850228</v>
      </c>
      <c r="G1278" s="3">
        <f t="shared" si="128"/>
        <v>6.3398500028845888</v>
      </c>
      <c r="H1278" s="3">
        <f t="shared" si="129"/>
        <v>315.22659793561769</v>
      </c>
      <c r="M1278" s="1">
        <f t="shared" si="124"/>
        <v>527</v>
      </c>
      <c r="N1278" s="38">
        <f>+M1278*'Failure Data'!F$3</f>
        <v>13.614166666666666</v>
      </c>
    </row>
    <row r="1279" spans="1:14" x14ac:dyDescent="0.15">
      <c r="A1279" s="1">
        <v>1270</v>
      </c>
      <c r="B1279" s="3">
        <f t="shared" si="125"/>
        <v>321.81735142387424</v>
      </c>
      <c r="C1279" s="8"/>
      <c r="D1279" s="3">
        <f t="shared" si="126"/>
        <v>315.47750142098965</v>
      </c>
      <c r="F1279" s="3">
        <f t="shared" si="127"/>
        <v>-221.81735142387424</v>
      </c>
      <c r="G1279" s="3">
        <f t="shared" si="128"/>
        <v>6.3398500028845888</v>
      </c>
      <c r="H1279" s="3">
        <f t="shared" si="129"/>
        <v>315.47750142098965</v>
      </c>
      <c r="M1279" s="1">
        <f t="shared" si="124"/>
        <v>528</v>
      </c>
      <c r="N1279" s="38">
        <f>+M1279*'Failure Data'!F$3</f>
        <v>13.64</v>
      </c>
    </row>
    <row r="1280" spans="1:14" x14ac:dyDescent="0.15">
      <c r="A1280" s="1">
        <v>1271</v>
      </c>
      <c r="B1280" s="3">
        <f t="shared" si="125"/>
        <v>322.06825490924626</v>
      </c>
      <c r="C1280" s="8"/>
      <c r="D1280" s="3">
        <f t="shared" si="126"/>
        <v>315.72840490636167</v>
      </c>
      <c r="F1280" s="3">
        <f t="shared" si="127"/>
        <v>-222.06825490924626</v>
      </c>
      <c r="G1280" s="3">
        <f t="shared" si="128"/>
        <v>6.3398500028845888</v>
      </c>
      <c r="H1280" s="3">
        <f t="shared" si="129"/>
        <v>315.72840490636167</v>
      </c>
      <c r="M1280" s="1">
        <f t="shared" si="124"/>
        <v>529</v>
      </c>
      <c r="N1280" s="38">
        <f>+M1280*'Failure Data'!F$3</f>
        <v>13.665833333333333</v>
      </c>
    </row>
    <row r="1281" spans="1:14" x14ac:dyDescent="0.15">
      <c r="A1281" s="1">
        <v>1272</v>
      </c>
      <c r="B1281" s="3">
        <f t="shared" si="125"/>
        <v>322.31915839461823</v>
      </c>
      <c r="C1281" s="8"/>
      <c r="D1281" s="3">
        <f t="shared" si="126"/>
        <v>315.97930839173364</v>
      </c>
      <c r="F1281" s="3">
        <f t="shared" si="127"/>
        <v>-222.31915839461823</v>
      </c>
      <c r="G1281" s="3">
        <f t="shared" si="128"/>
        <v>6.3398500028845888</v>
      </c>
      <c r="H1281" s="3">
        <f t="shared" si="129"/>
        <v>315.97930839173364</v>
      </c>
      <c r="M1281" s="1">
        <f t="shared" ref="M1281:M1344" si="130">M1280+1</f>
        <v>530</v>
      </c>
      <c r="N1281" s="38">
        <f>+M1281*'Failure Data'!F$3</f>
        <v>13.691666666666666</v>
      </c>
    </row>
    <row r="1282" spans="1:14" x14ac:dyDescent="0.15">
      <c r="A1282" s="1">
        <v>1273</v>
      </c>
      <c r="B1282" s="3">
        <f t="shared" si="125"/>
        <v>322.57006187999025</v>
      </c>
      <c r="C1282" s="8"/>
      <c r="D1282" s="3">
        <f t="shared" si="126"/>
        <v>316.23021187710566</v>
      </c>
      <c r="F1282" s="3">
        <f t="shared" si="127"/>
        <v>-222.57006187999025</v>
      </c>
      <c r="G1282" s="3">
        <f t="shared" si="128"/>
        <v>6.3398500028845888</v>
      </c>
      <c r="H1282" s="3">
        <f t="shared" si="129"/>
        <v>316.23021187710566</v>
      </c>
      <c r="M1282" s="1">
        <f t="shared" si="130"/>
        <v>531</v>
      </c>
      <c r="N1282" s="38">
        <f>+M1282*'Failure Data'!F$3</f>
        <v>13.717499999999999</v>
      </c>
    </row>
    <row r="1283" spans="1:14" x14ac:dyDescent="0.15">
      <c r="A1283" s="1">
        <v>1274</v>
      </c>
      <c r="B1283" s="3">
        <f t="shared" si="125"/>
        <v>322.82096536536221</v>
      </c>
      <c r="C1283" s="8"/>
      <c r="D1283" s="3">
        <f t="shared" si="126"/>
        <v>316.48111536247762</v>
      </c>
      <c r="F1283" s="3">
        <f t="shared" si="127"/>
        <v>-222.82096536536221</v>
      </c>
      <c r="G1283" s="3">
        <f t="shared" si="128"/>
        <v>6.3398500028845888</v>
      </c>
      <c r="H1283" s="3">
        <f t="shared" si="129"/>
        <v>316.48111536247762</v>
      </c>
      <c r="M1283" s="1">
        <f t="shared" si="130"/>
        <v>532</v>
      </c>
      <c r="N1283" s="38">
        <f>+M1283*'Failure Data'!F$3</f>
        <v>13.743333333333334</v>
      </c>
    </row>
    <row r="1284" spans="1:14" x14ac:dyDescent="0.15">
      <c r="A1284" s="1">
        <v>1275</v>
      </c>
      <c r="B1284" s="3">
        <f t="shared" si="125"/>
        <v>323.07186885073423</v>
      </c>
      <c r="C1284" s="8"/>
      <c r="D1284" s="3">
        <f t="shared" si="126"/>
        <v>316.73201884784964</v>
      </c>
      <c r="F1284" s="3">
        <f t="shared" si="127"/>
        <v>-223.07186885073423</v>
      </c>
      <c r="G1284" s="3">
        <f t="shared" si="128"/>
        <v>6.3398500028845888</v>
      </c>
      <c r="H1284" s="3">
        <f t="shared" si="129"/>
        <v>316.73201884784964</v>
      </c>
      <c r="M1284" s="1">
        <f t="shared" si="130"/>
        <v>533</v>
      </c>
      <c r="N1284" s="38">
        <f>+M1284*'Failure Data'!F$3</f>
        <v>13.769166666666667</v>
      </c>
    </row>
    <row r="1285" spans="1:14" x14ac:dyDescent="0.15">
      <c r="A1285" s="1">
        <v>1276</v>
      </c>
      <c r="B1285" s="3">
        <f t="shared" si="125"/>
        <v>323.3227723361062</v>
      </c>
      <c r="C1285" s="8"/>
      <c r="D1285" s="3">
        <f t="shared" si="126"/>
        <v>316.98292233322161</v>
      </c>
      <c r="F1285" s="3">
        <f t="shared" si="127"/>
        <v>-223.3227723361062</v>
      </c>
      <c r="G1285" s="3">
        <f t="shared" si="128"/>
        <v>6.3398500028845888</v>
      </c>
      <c r="H1285" s="3">
        <f t="shared" si="129"/>
        <v>316.98292233322161</v>
      </c>
      <c r="M1285" s="1">
        <f t="shared" si="130"/>
        <v>534</v>
      </c>
      <c r="N1285" s="38">
        <f>+M1285*'Failure Data'!F$3</f>
        <v>13.795</v>
      </c>
    </row>
    <row r="1286" spans="1:14" x14ac:dyDescent="0.15">
      <c r="A1286" s="1">
        <v>1277</v>
      </c>
      <c r="B1286" s="3">
        <f t="shared" si="125"/>
        <v>323.57367582147822</v>
      </c>
      <c r="C1286" s="8"/>
      <c r="D1286" s="3">
        <f t="shared" si="126"/>
        <v>317.23382581859363</v>
      </c>
      <c r="F1286" s="3">
        <f t="shared" si="127"/>
        <v>-223.57367582147822</v>
      </c>
      <c r="G1286" s="3">
        <f t="shared" si="128"/>
        <v>6.3398500028845888</v>
      </c>
      <c r="H1286" s="3">
        <f t="shared" si="129"/>
        <v>317.23382581859363</v>
      </c>
      <c r="M1286" s="1">
        <f t="shared" si="130"/>
        <v>535</v>
      </c>
      <c r="N1286" s="38">
        <f>+M1286*'Failure Data'!F$3</f>
        <v>13.820833333333333</v>
      </c>
    </row>
    <row r="1287" spans="1:14" x14ac:dyDescent="0.15">
      <c r="A1287" s="1">
        <v>1278</v>
      </c>
      <c r="B1287" s="3">
        <f t="shared" si="125"/>
        <v>323.82457930685018</v>
      </c>
      <c r="C1287" s="8"/>
      <c r="D1287" s="3">
        <f t="shared" si="126"/>
        <v>317.48472930396559</v>
      </c>
      <c r="F1287" s="3">
        <f t="shared" si="127"/>
        <v>-223.82457930685018</v>
      </c>
      <c r="G1287" s="3">
        <f t="shared" si="128"/>
        <v>6.3398500028845888</v>
      </c>
      <c r="H1287" s="3">
        <f t="shared" si="129"/>
        <v>317.48472930396559</v>
      </c>
      <c r="M1287" s="1">
        <f t="shared" si="130"/>
        <v>536</v>
      </c>
      <c r="N1287" s="38">
        <f>+M1287*'Failure Data'!F$3</f>
        <v>13.846666666666666</v>
      </c>
    </row>
    <row r="1288" spans="1:14" x14ac:dyDescent="0.15">
      <c r="A1288" s="1">
        <v>1279</v>
      </c>
      <c r="B1288" s="3">
        <f t="shared" si="125"/>
        <v>324.0754827922222</v>
      </c>
      <c r="C1288" s="8"/>
      <c r="D1288" s="3">
        <f t="shared" si="126"/>
        <v>317.73563278933761</v>
      </c>
      <c r="F1288" s="3">
        <f t="shared" si="127"/>
        <v>-224.0754827922222</v>
      </c>
      <c r="G1288" s="3">
        <f t="shared" si="128"/>
        <v>6.3398500028845888</v>
      </c>
      <c r="H1288" s="3">
        <f t="shared" si="129"/>
        <v>317.73563278933761</v>
      </c>
      <c r="M1288" s="1">
        <f t="shared" si="130"/>
        <v>537</v>
      </c>
      <c r="N1288" s="38">
        <f>+M1288*'Failure Data'!F$3</f>
        <v>13.8725</v>
      </c>
    </row>
    <row r="1289" spans="1:14" x14ac:dyDescent="0.15">
      <c r="A1289" s="1">
        <v>1280</v>
      </c>
      <c r="B1289" s="3">
        <f t="shared" si="125"/>
        <v>324.32638627759417</v>
      </c>
      <c r="C1289" s="8"/>
      <c r="D1289" s="3">
        <f t="shared" si="126"/>
        <v>317.98653627470964</v>
      </c>
      <c r="F1289" s="3">
        <f t="shared" si="127"/>
        <v>-224.32638627759417</v>
      </c>
      <c r="G1289" s="3">
        <f t="shared" si="128"/>
        <v>6.3398500028845319</v>
      </c>
      <c r="H1289" s="3">
        <f t="shared" si="129"/>
        <v>317.98653627470964</v>
      </c>
      <c r="M1289" s="1">
        <f t="shared" si="130"/>
        <v>538</v>
      </c>
      <c r="N1289" s="38">
        <f>+M1289*'Failure Data'!F$3</f>
        <v>13.898333333333333</v>
      </c>
    </row>
    <row r="1290" spans="1:14" x14ac:dyDescent="0.15">
      <c r="A1290" s="1">
        <v>1281</v>
      </c>
      <c r="B1290" s="3">
        <f t="shared" si="125"/>
        <v>324.57728976296619</v>
      </c>
      <c r="C1290" s="8"/>
      <c r="D1290" s="3">
        <f t="shared" si="126"/>
        <v>318.2374397600816</v>
      </c>
      <c r="F1290" s="3">
        <f t="shared" si="127"/>
        <v>-224.57728976296619</v>
      </c>
      <c r="G1290" s="3">
        <f t="shared" si="128"/>
        <v>6.3398500028845888</v>
      </c>
      <c r="H1290" s="3">
        <f t="shared" si="129"/>
        <v>318.2374397600816</v>
      </c>
      <c r="M1290" s="1">
        <f t="shared" si="130"/>
        <v>539</v>
      </c>
      <c r="N1290" s="38">
        <f>+M1290*'Failure Data'!F$3</f>
        <v>13.924166666666666</v>
      </c>
    </row>
    <row r="1291" spans="1:14" x14ac:dyDescent="0.15">
      <c r="A1291" s="1">
        <v>1282</v>
      </c>
      <c r="B1291" s="3">
        <f t="shared" si="125"/>
        <v>324.82819324833815</v>
      </c>
      <c r="C1291" s="8"/>
      <c r="D1291" s="3">
        <f t="shared" si="126"/>
        <v>318.48834324545362</v>
      </c>
      <c r="F1291" s="3">
        <f t="shared" si="127"/>
        <v>-224.82819324833815</v>
      </c>
      <c r="G1291" s="3">
        <f t="shared" si="128"/>
        <v>6.3398500028845319</v>
      </c>
      <c r="H1291" s="3">
        <f t="shared" si="129"/>
        <v>318.48834324545362</v>
      </c>
      <c r="M1291" s="1">
        <f t="shared" si="130"/>
        <v>540</v>
      </c>
      <c r="N1291" s="38">
        <f>+M1291*'Failure Data'!F$3</f>
        <v>13.95</v>
      </c>
    </row>
    <row r="1292" spans="1:14" x14ac:dyDescent="0.15">
      <c r="A1292" s="1">
        <v>1283</v>
      </c>
      <c r="B1292" s="3">
        <f t="shared" si="125"/>
        <v>325.07909673371017</v>
      </c>
      <c r="C1292" s="8"/>
      <c r="D1292" s="3">
        <f t="shared" si="126"/>
        <v>318.73924673082558</v>
      </c>
      <c r="F1292" s="3">
        <f t="shared" si="127"/>
        <v>-225.07909673371017</v>
      </c>
      <c r="G1292" s="3">
        <f t="shared" si="128"/>
        <v>6.3398500028845888</v>
      </c>
      <c r="H1292" s="3">
        <f t="shared" si="129"/>
        <v>318.73924673082558</v>
      </c>
      <c r="M1292" s="1">
        <f t="shared" si="130"/>
        <v>541</v>
      </c>
      <c r="N1292" s="38">
        <f>+M1292*'Failure Data'!F$3</f>
        <v>13.975833333333334</v>
      </c>
    </row>
    <row r="1293" spans="1:14" x14ac:dyDescent="0.15">
      <c r="A1293" s="1">
        <v>1284</v>
      </c>
      <c r="B1293" s="3">
        <f t="shared" si="125"/>
        <v>325.33000021908214</v>
      </c>
      <c r="C1293" s="8"/>
      <c r="D1293" s="3">
        <f t="shared" si="126"/>
        <v>318.99015021619761</v>
      </c>
      <c r="F1293" s="3">
        <f t="shared" si="127"/>
        <v>-225.33000021908214</v>
      </c>
      <c r="G1293" s="3">
        <f t="shared" si="128"/>
        <v>6.3398500028845319</v>
      </c>
      <c r="H1293" s="3">
        <f t="shared" si="129"/>
        <v>318.99015021619761</v>
      </c>
      <c r="M1293" s="1">
        <f t="shared" si="130"/>
        <v>542</v>
      </c>
      <c r="N1293" s="38">
        <f>+M1293*'Failure Data'!F$3</f>
        <v>14.001666666666667</v>
      </c>
    </row>
    <row r="1294" spans="1:14" x14ac:dyDescent="0.15">
      <c r="A1294" s="1">
        <v>1285</v>
      </c>
      <c r="B1294" s="3">
        <f t="shared" si="125"/>
        <v>325.58090370445416</v>
      </c>
      <c r="C1294" s="8"/>
      <c r="D1294" s="3">
        <f t="shared" si="126"/>
        <v>319.24105370156957</v>
      </c>
      <c r="F1294" s="3">
        <f t="shared" si="127"/>
        <v>-225.58090370445416</v>
      </c>
      <c r="G1294" s="3">
        <f t="shared" si="128"/>
        <v>6.3398500028845888</v>
      </c>
      <c r="H1294" s="3">
        <f t="shared" si="129"/>
        <v>319.24105370156957</v>
      </c>
      <c r="M1294" s="1">
        <f t="shared" si="130"/>
        <v>543</v>
      </c>
      <c r="N1294" s="38">
        <f>+M1294*'Failure Data'!F$3</f>
        <v>14.0275</v>
      </c>
    </row>
    <row r="1295" spans="1:14" x14ac:dyDescent="0.15">
      <c r="A1295" s="1">
        <v>1286</v>
      </c>
      <c r="B1295" s="3">
        <f t="shared" si="125"/>
        <v>325.83180718982612</v>
      </c>
      <c r="C1295" s="8"/>
      <c r="D1295" s="3">
        <f t="shared" si="126"/>
        <v>319.49195718694159</v>
      </c>
      <c r="F1295" s="3">
        <f t="shared" si="127"/>
        <v>-225.83180718982612</v>
      </c>
      <c r="G1295" s="3">
        <f t="shared" si="128"/>
        <v>6.3398500028845319</v>
      </c>
      <c r="H1295" s="3">
        <f t="shared" si="129"/>
        <v>319.49195718694159</v>
      </c>
      <c r="M1295" s="1">
        <f t="shared" si="130"/>
        <v>544</v>
      </c>
      <c r="N1295" s="38">
        <f>+M1295*'Failure Data'!F$3</f>
        <v>14.053333333333333</v>
      </c>
    </row>
    <row r="1296" spans="1:14" x14ac:dyDescent="0.15">
      <c r="A1296" s="1">
        <v>1287</v>
      </c>
      <c r="B1296" s="3">
        <f t="shared" si="125"/>
        <v>326.08271067519814</v>
      </c>
      <c r="C1296" s="8"/>
      <c r="D1296" s="3">
        <f t="shared" si="126"/>
        <v>319.74286067231355</v>
      </c>
      <c r="F1296" s="3">
        <f t="shared" si="127"/>
        <v>-226.08271067519814</v>
      </c>
      <c r="G1296" s="3">
        <f t="shared" si="128"/>
        <v>6.3398500028845888</v>
      </c>
      <c r="H1296" s="3">
        <f t="shared" si="129"/>
        <v>319.74286067231355</v>
      </c>
      <c r="M1296" s="1">
        <f t="shared" si="130"/>
        <v>545</v>
      </c>
      <c r="N1296" s="38">
        <f>+M1296*'Failure Data'!F$3</f>
        <v>14.079166666666666</v>
      </c>
    </row>
    <row r="1297" spans="1:14" x14ac:dyDescent="0.15">
      <c r="A1297" s="1">
        <v>1288</v>
      </c>
      <c r="B1297" s="3">
        <f t="shared" si="125"/>
        <v>326.33361416057011</v>
      </c>
      <c r="C1297" s="8"/>
      <c r="D1297" s="3">
        <f t="shared" si="126"/>
        <v>319.99376415768558</v>
      </c>
      <c r="F1297" s="3">
        <f t="shared" si="127"/>
        <v>-226.33361416057011</v>
      </c>
      <c r="G1297" s="3">
        <f t="shared" si="128"/>
        <v>6.3398500028845319</v>
      </c>
      <c r="H1297" s="3">
        <f t="shared" si="129"/>
        <v>319.99376415768558</v>
      </c>
      <c r="M1297" s="1">
        <f t="shared" si="130"/>
        <v>546</v>
      </c>
      <c r="N1297" s="38">
        <f>+M1297*'Failure Data'!F$3</f>
        <v>14.105</v>
      </c>
    </row>
    <row r="1298" spans="1:14" x14ac:dyDescent="0.15">
      <c r="A1298" s="1">
        <v>1289</v>
      </c>
      <c r="B1298" s="3">
        <f t="shared" si="125"/>
        <v>326.58451764594213</v>
      </c>
      <c r="C1298" s="8"/>
      <c r="D1298" s="3">
        <f t="shared" si="126"/>
        <v>320.24466764305754</v>
      </c>
      <c r="F1298" s="3">
        <f t="shared" si="127"/>
        <v>-226.58451764594213</v>
      </c>
      <c r="G1298" s="3">
        <f t="shared" si="128"/>
        <v>6.3398500028845888</v>
      </c>
      <c r="H1298" s="3">
        <f t="shared" si="129"/>
        <v>320.24466764305754</v>
      </c>
      <c r="M1298" s="1">
        <f t="shared" si="130"/>
        <v>547</v>
      </c>
      <c r="N1298" s="38">
        <f>+M1298*'Failure Data'!F$3</f>
        <v>14.130833333333333</v>
      </c>
    </row>
    <row r="1299" spans="1:14" x14ac:dyDescent="0.15">
      <c r="A1299" s="1">
        <v>1290</v>
      </c>
      <c r="B1299" s="3">
        <f t="shared" si="125"/>
        <v>326.83542113131409</v>
      </c>
      <c r="C1299" s="8"/>
      <c r="D1299" s="3">
        <f t="shared" si="126"/>
        <v>320.49557112842956</v>
      </c>
      <c r="F1299" s="3">
        <f t="shared" si="127"/>
        <v>-226.83542113131409</v>
      </c>
      <c r="G1299" s="3">
        <f t="shared" si="128"/>
        <v>6.3398500028845319</v>
      </c>
      <c r="H1299" s="3">
        <f t="shared" si="129"/>
        <v>320.49557112842956</v>
      </c>
      <c r="M1299" s="1">
        <f t="shared" si="130"/>
        <v>548</v>
      </c>
      <c r="N1299" s="38">
        <f>+M1299*'Failure Data'!F$3</f>
        <v>14.156666666666666</v>
      </c>
    </row>
    <row r="1300" spans="1:14" x14ac:dyDescent="0.15">
      <c r="A1300" s="1">
        <v>1291</v>
      </c>
      <c r="B1300" s="3">
        <f t="shared" si="125"/>
        <v>327.08632461668611</v>
      </c>
      <c r="C1300" s="8"/>
      <c r="D1300" s="3">
        <f t="shared" si="126"/>
        <v>320.74647461380152</v>
      </c>
      <c r="F1300" s="3">
        <f t="shared" si="127"/>
        <v>-227.08632461668611</v>
      </c>
      <c r="G1300" s="3">
        <f t="shared" si="128"/>
        <v>6.3398500028845888</v>
      </c>
      <c r="H1300" s="3">
        <f t="shared" si="129"/>
        <v>320.74647461380152</v>
      </c>
      <c r="M1300" s="1">
        <f t="shared" si="130"/>
        <v>549</v>
      </c>
      <c r="N1300" s="38">
        <f>+M1300*'Failure Data'!F$3</f>
        <v>14.182499999999999</v>
      </c>
    </row>
    <row r="1301" spans="1:14" x14ac:dyDescent="0.15">
      <c r="A1301" s="1">
        <v>1292</v>
      </c>
      <c r="B1301" s="3">
        <f t="shared" si="125"/>
        <v>327.33722810205808</v>
      </c>
      <c r="C1301" s="8"/>
      <c r="D1301" s="3">
        <f t="shared" si="126"/>
        <v>320.99737809917355</v>
      </c>
      <c r="F1301" s="3">
        <f t="shared" si="127"/>
        <v>-227.33722810205808</v>
      </c>
      <c r="G1301" s="3">
        <f t="shared" si="128"/>
        <v>6.3398500028845319</v>
      </c>
      <c r="H1301" s="3">
        <f t="shared" si="129"/>
        <v>320.99737809917355</v>
      </c>
      <c r="M1301" s="1">
        <f t="shared" si="130"/>
        <v>550</v>
      </c>
      <c r="N1301" s="38">
        <f>+M1301*'Failure Data'!F$3</f>
        <v>14.208333333333334</v>
      </c>
    </row>
    <row r="1302" spans="1:14" x14ac:dyDescent="0.15">
      <c r="A1302" s="1">
        <v>1293</v>
      </c>
      <c r="B1302" s="3">
        <f t="shared" si="125"/>
        <v>327.5881315874301</v>
      </c>
      <c r="C1302" s="8"/>
      <c r="D1302" s="3">
        <f t="shared" si="126"/>
        <v>321.24828158454551</v>
      </c>
      <c r="F1302" s="3">
        <f t="shared" si="127"/>
        <v>-227.5881315874301</v>
      </c>
      <c r="G1302" s="3">
        <f t="shared" si="128"/>
        <v>6.3398500028845888</v>
      </c>
      <c r="H1302" s="3">
        <f t="shared" si="129"/>
        <v>321.24828158454551</v>
      </c>
      <c r="M1302" s="1">
        <f t="shared" si="130"/>
        <v>551</v>
      </c>
      <c r="N1302" s="38">
        <f>+M1302*'Failure Data'!F$3</f>
        <v>14.234166666666667</v>
      </c>
    </row>
    <row r="1303" spans="1:14" x14ac:dyDescent="0.15">
      <c r="A1303" s="1">
        <v>1294</v>
      </c>
      <c r="B1303" s="3">
        <f t="shared" si="125"/>
        <v>327.83903507280212</v>
      </c>
      <c r="C1303" s="8"/>
      <c r="D1303" s="3">
        <f t="shared" si="126"/>
        <v>321.49918506991753</v>
      </c>
      <c r="F1303" s="3">
        <f t="shared" si="127"/>
        <v>-227.83903507280212</v>
      </c>
      <c r="G1303" s="3">
        <f t="shared" si="128"/>
        <v>6.3398500028845888</v>
      </c>
      <c r="H1303" s="3">
        <f t="shared" si="129"/>
        <v>321.49918506991753</v>
      </c>
      <c r="M1303" s="1">
        <f t="shared" si="130"/>
        <v>552</v>
      </c>
      <c r="N1303" s="38">
        <f>+M1303*'Failure Data'!F$3</f>
        <v>14.26</v>
      </c>
    </row>
    <row r="1304" spans="1:14" x14ac:dyDescent="0.15">
      <c r="A1304" s="1">
        <v>1295</v>
      </c>
      <c r="B1304" s="3">
        <f t="shared" si="125"/>
        <v>328.08993855817408</v>
      </c>
      <c r="C1304" s="8"/>
      <c r="D1304" s="3">
        <f t="shared" si="126"/>
        <v>321.75008855528949</v>
      </c>
      <c r="F1304" s="3">
        <f t="shared" si="127"/>
        <v>-228.08993855817408</v>
      </c>
      <c r="G1304" s="3">
        <f t="shared" si="128"/>
        <v>6.3398500028845888</v>
      </c>
      <c r="H1304" s="3">
        <f t="shared" si="129"/>
        <v>321.75008855528949</v>
      </c>
      <c r="M1304" s="1">
        <f t="shared" si="130"/>
        <v>553</v>
      </c>
      <c r="N1304" s="38">
        <f>+M1304*'Failure Data'!F$3</f>
        <v>14.285833333333333</v>
      </c>
    </row>
    <row r="1305" spans="1:14" x14ac:dyDescent="0.15">
      <c r="A1305" s="1">
        <v>1296</v>
      </c>
      <c r="B1305" s="3">
        <f t="shared" si="125"/>
        <v>328.3408420435461</v>
      </c>
      <c r="C1305" s="8"/>
      <c r="D1305" s="3">
        <f t="shared" si="126"/>
        <v>322.00099204066152</v>
      </c>
      <c r="F1305" s="3">
        <f t="shared" si="127"/>
        <v>-228.3408420435461</v>
      </c>
      <c r="G1305" s="3">
        <f t="shared" si="128"/>
        <v>6.3398500028845888</v>
      </c>
      <c r="H1305" s="3">
        <f t="shared" si="129"/>
        <v>322.00099204066152</v>
      </c>
      <c r="M1305" s="1">
        <f t="shared" si="130"/>
        <v>554</v>
      </c>
      <c r="N1305" s="38">
        <f>+M1305*'Failure Data'!F$3</f>
        <v>14.311666666666667</v>
      </c>
    </row>
    <row r="1306" spans="1:14" x14ac:dyDescent="0.15">
      <c r="A1306" s="1">
        <v>1297</v>
      </c>
      <c r="B1306" s="3">
        <f t="shared" si="125"/>
        <v>328.59174552891807</v>
      </c>
      <c r="C1306" s="8"/>
      <c r="D1306" s="3">
        <f t="shared" si="126"/>
        <v>322.25189552603348</v>
      </c>
      <c r="F1306" s="3">
        <f t="shared" si="127"/>
        <v>-228.59174552891807</v>
      </c>
      <c r="G1306" s="3">
        <f t="shared" si="128"/>
        <v>6.3398500028845888</v>
      </c>
      <c r="H1306" s="3">
        <f t="shared" si="129"/>
        <v>322.25189552603348</v>
      </c>
      <c r="M1306" s="1">
        <f t="shared" si="130"/>
        <v>555</v>
      </c>
      <c r="N1306" s="38">
        <f>+M1306*'Failure Data'!F$3</f>
        <v>14.3375</v>
      </c>
    </row>
    <row r="1307" spans="1:14" x14ac:dyDescent="0.15">
      <c r="A1307" s="1">
        <v>1298</v>
      </c>
      <c r="B1307" s="3">
        <f t="shared" si="125"/>
        <v>328.84264901429009</v>
      </c>
      <c r="C1307" s="8"/>
      <c r="D1307" s="3">
        <f t="shared" si="126"/>
        <v>322.5027990114055</v>
      </c>
      <c r="F1307" s="3">
        <f t="shared" si="127"/>
        <v>-228.84264901429009</v>
      </c>
      <c r="G1307" s="3">
        <f t="shared" si="128"/>
        <v>6.3398500028845888</v>
      </c>
      <c r="H1307" s="3">
        <f t="shared" si="129"/>
        <v>322.5027990114055</v>
      </c>
      <c r="M1307" s="1">
        <f t="shared" si="130"/>
        <v>556</v>
      </c>
      <c r="N1307" s="38">
        <f>+M1307*'Failure Data'!F$3</f>
        <v>14.363333333333333</v>
      </c>
    </row>
    <row r="1308" spans="1:14" x14ac:dyDescent="0.15">
      <c r="A1308" s="1">
        <v>1299</v>
      </c>
      <c r="B1308" s="3">
        <f t="shared" si="125"/>
        <v>329.09355249966205</v>
      </c>
      <c r="C1308" s="8"/>
      <c r="D1308" s="3">
        <f t="shared" si="126"/>
        <v>322.75370249677746</v>
      </c>
      <c r="F1308" s="3">
        <f t="shared" si="127"/>
        <v>-229.09355249966205</v>
      </c>
      <c r="G1308" s="3">
        <f t="shared" si="128"/>
        <v>6.3398500028845888</v>
      </c>
      <c r="H1308" s="3">
        <f t="shared" si="129"/>
        <v>322.75370249677746</v>
      </c>
      <c r="M1308" s="1">
        <f t="shared" si="130"/>
        <v>557</v>
      </c>
      <c r="N1308" s="38">
        <f>+M1308*'Failure Data'!F$3</f>
        <v>14.389166666666666</v>
      </c>
    </row>
    <row r="1309" spans="1:14" x14ac:dyDescent="0.15">
      <c r="A1309" s="1">
        <v>1300</v>
      </c>
      <c r="B1309" s="3">
        <f t="shared" si="125"/>
        <v>329.34445598503407</v>
      </c>
      <c r="C1309" s="8"/>
      <c r="D1309" s="3">
        <f t="shared" si="126"/>
        <v>323.00460598214949</v>
      </c>
      <c r="F1309" s="3">
        <f t="shared" si="127"/>
        <v>-229.34445598503407</v>
      </c>
      <c r="G1309" s="3">
        <f t="shared" si="128"/>
        <v>6.3398500028845888</v>
      </c>
      <c r="H1309" s="3">
        <f t="shared" si="129"/>
        <v>323.00460598214949</v>
      </c>
      <c r="M1309" s="1">
        <f t="shared" si="130"/>
        <v>558</v>
      </c>
      <c r="N1309" s="38">
        <f>+M1309*'Failure Data'!F$3</f>
        <v>14.414999999999999</v>
      </c>
    </row>
    <row r="1310" spans="1:14" x14ac:dyDescent="0.15">
      <c r="A1310" s="1">
        <v>1301</v>
      </c>
      <c r="B1310" s="3">
        <f t="shared" si="125"/>
        <v>329.59535947040604</v>
      </c>
      <c r="C1310" s="8"/>
      <c r="D1310" s="3">
        <f t="shared" si="126"/>
        <v>323.25550946752145</v>
      </c>
      <c r="F1310" s="3">
        <f t="shared" si="127"/>
        <v>-229.59535947040604</v>
      </c>
      <c r="G1310" s="3">
        <f t="shared" si="128"/>
        <v>6.3398500028845888</v>
      </c>
      <c r="H1310" s="3">
        <f t="shared" si="129"/>
        <v>323.25550946752145</v>
      </c>
      <c r="M1310" s="1">
        <f t="shared" si="130"/>
        <v>559</v>
      </c>
      <c r="N1310" s="38">
        <f>+M1310*'Failure Data'!F$3</f>
        <v>14.440833333333334</v>
      </c>
    </row>
    <row r="1311" spans="1:14" x14ac:dyDescent="0.15">
      <c r="A1311" s="1">
        <v>1302</v>
      </c>
      <c r="B1311" s="3">
        <f t="shared" si="125"/>
        <v>329.84626295577806</v>
      </c>
      <c r="C1311" s="8"/>
      <c r="D1311" s="3">
        <f t="shared" si="126"/>
        <v>323.50641295289347</v>
      </c>
      <c r="F1311" s="3">
        <f t="shared" si="127"/>
        <v>-229.84626295577806</v>
      </c>
      <c r="G1311" s="3">
        <f t="shared" si="128"/>
        <v>6.3398500028845888</v>
      </c>
      <c r="H1311" s="3">
        <f t="shared" si="129"/>
        <v>323.50641295289347</v>
      </c>
      <c r="M1311" s="1">
        <f t="shared" si="130"/>
        <v>560</v>
      </c>
      <c r="N1311" s="38">
        <f>+M1311*'Failure Data'!F$3</f>
        <v>14.466666666666667</v>
      </c>
    </row>
    <row r="1312" spans="1:14" x14ac:dyDescent="0.15">
      <c r="A1312" s="1">
        <v>1303</v>
      </c>
      <c r="B1312" s="3">
        <f t="shared" si="125"/>
        <v>330.09716644115002</v>
      </c>
      <c r="C1312" s="8"/>
      <c r="D1312" s="3">
        <f t="shared" si="126"/>
        <v>323.75731643826543</v>
      </c>
      <c r="F1312" s="3">
        <f t="shared" si="127"/>
        <v>-230.09716644115002</v>
      </c>
      <c r="G1312" s="3">
        <f t="shared" si="128"/>
        <v>6.3398500028845888</v>
      </c>
      <c r="H1312" s="3">
        <f t="shared" si="129"/>
        <v>323.75731643826543</v>
      </c>
      <c r="M1312" s="1">
        <f t="shared" si="130"/>
        <v>561</v>
      </c>
      <c r="N1312" s="38">
        <f>+M1312*'Failure Data'!F$3</f>
        <v>14.4925</v>
      </c>
    </row>
    <row r="1313" spans="1:14" x14ac:dyDescent="0.15">
      <c r="A1313" s="1">
        <v>1304</v>
      </c>
      <c r="B1313" s="3">
        <f t="shared" si="125"/>
        <v>330.34806992652204</v>
      </c>
      <c r="C1313" s="8"/>
      <c r="D1313" s="3">
        <f t="shared" si="126"/>
        <v>324.00821992363745</v>
      </c>
      <c r="F1313" s="3">
        <f t="shared" si="127"/>
        <v>-230.34806992652204</v>
      </c>
      <c r="G1313" s="3">
        <f t="shared" si="128"/>
        <v>6.3398500028845888</v>
      </c>
      <c r="H1313" s="3">
        <f t="shared" si="129"/>
        <v>324.00821992363745</v>
      </c>
      <c r="M1313" s="1">
        <f t="shared" si="130"/>
        <v>562</v>
      </c>
      <c r="N1313" s="38">
        <f>+M1313*'Failure Data'!F$3</f>
        <v>14.518333333333333</v>
      </c>
    </row>
    <row r="1314" spans="1:14" x14ac:dyDescent="0.15">
      <c r="A1314" s="1">
        <v>1305</v>
      </c>
      <c r="B1314" s="3">
        <f t="shared" si="125"/>
        <v>330.59897341189401</v>
      </c>
      <c r="C1314" s="8"/>
      <c r="D1314" s="3">
        <f t="shared" si="126"/>
        <v>324.25912340900948</v>
      </c>
      <c r="F1314" s="3">
        <f t="shared" si="127"/>
        <v>-230.59897341189401</v>
      </c>
      <c r="G1314" s="3">
        <f t="shared" si="128"/>
        <v>6.3398500028845319</v>
      </c>
      <c r="H1314" s="3">
        <f t="shared" si="129"/>
        <v>324.25912340900948</v>
      </c>
      <c r="M1314" s="1">
        <f t="shared" si="130"/>
        <v>563</v>
      </c>
      <c r="N1314" s="38">
        <f>+M1314*'Failure Data'!F$3</f>
        <v>14.544166666666667</v>
      </c>
    </row>
    <row r="1315" spans="1:14" x14ac:dyDescent="0.15">
      <c r="A1315" s="1">
        <v>1306</v>
      </c>
      <c r="B1315" s="3">
        <f t="shared" si="125"/>
        <v>330.84987689726603</v>
      </c>
      <c r="C1315" s="8"/>
      <c r="D1315" s="3">
        <f t="shared" si="126"/>
        <v>324.51002689438144</v>
      </c>
      <c r="F1315" s="3">
        <f t="shared" si="127"/>
        <v>-230.84987689726603</v>
      </c>
      <c r="G1315" s="3">
        <f t="shared" si="128"/>
        <v>6.3398500028845888</v>
      </c>
      <c r="H1315" s="3">
        <f t="shared" si="129"/>
        <v>324.51002689438144</v>
      </c>
      <c r="M1315" s="1">
        <f t="shared" si="130"/>
        <v>564</v>
      </c>
      <c r="N1315" s="38">
        <f>+M1315*'Failure Data'!F$3</f>
        <v>14.57</v>
      </c>
    </row>
    <row r="1316" spans="1:14" x14ac:dyDescent="0.15">
      <c r="A1316" s="1">
        <v>1307</v>
      </c>
      <c r="B1316" s="3">
        <f t="shared" si="125"/>
        <v>331.10078038263799</v>
      </c>
      <c r="C1316" s="8"/>
      <c r="D1316" s="3">
        <f t="shared" si="126"/>
        <v>324.76093037975346</v>
      </c>
      <c r="F1316" s="3">
        <f t="shared" si="127"/>
        <v>-231.10078038263799</v>
      </c>
      <c r="G1316" s="3">
        <f t="shared" si="128"/>
        <v>6.3398500028845319</v>
      </c>
      <c r="H1316" s="3">
        <f t="shared" si="129"/>
        <v>324.76093037975346</v>
      </c>
      <c r="M1316" s="1">
        <f t="shared" si="130"/>
        <v>565</v>
      </c>
      <c r="N1316" s="38">
        <f>+M1316*'Failure Data'!F$3</f>
        <v>14.595833333333333</v>
      </c>
    </row>
    <row r="1317" spans="1:14" x14ac:dyDescent="0.15">
      <c r="A1317" s="1">
        <v>1308</v>
      </c>
      <c r="B1317" s="3">
        <f t="shared" si="125"/>
        <v>331.35168386801001</v>
      </c>
      <c r="C1317" s="8"/>
      <c r="D1317" s="3">
        <f t="shared" si="126"/>
        <v>325.01183386512542</v>
      </c>
      <c r="F1317" s="3">
        <f t="shared" si="127"/>
        <v>-231.35168386801001</v>
      </c>
      <c r="G1317" s="3">
        <f t="shared" si="128"/>
        <v>6.3398500028845888</v>
      </c>
      <c r="H1317" s="3">
        <f t="shared" si="129"/>
        <v>325.01183386512542</v>
      </c>
      <c r="M1317" s="1">
        <f t="shared" si="130"/>
        <v>566</v>
      </c>
      <c r="N1317" s="38">
        <f>+M1317*'Failure Data'!F$3</f>
        <v>14.621666666666666</v>
      </c>
    </row>
    <row r="1318" spans="1:14" x14ac:dyDescent="0.15">
      <c r="A1318" s="1">
        <v>1309</v>
      </c>
      <c r="B1318" s="3">
        <f t="shared" si="125"/>
        <v>331.60258735338198</v>
      </c>
      <c r="C1318" s="8"/>
      <c r="D1318" s="3">
        <f t="shared" si="126"/>
        <v>325.26273735049745</v>
      </c>
      <c r="F1318" s="3">
        <f t="shared" si="127"/>
        <v>-231.60258735338198</v>
      </c>
      <c r="G1318" s="3">
        <f t="shared" si="128"/>
        <v>6.3398500028845319</v>
      </c>
      <c r="H1318" s="3">
        <f t="shared" si="129"/>
        <v>325.26273735049745</v>
      </c>
      <c r="M1318" s="1">
        <f t="shared" si="130"/>
        <v>567</v>
      </c>
      <c r="N1318" s="38">
        <f>+M1318*'Failure Data'!F$3</f>
        <v>14.647499999999999</v>
      </c>
    </row>
    <row r="1319" spans="1:14" x14ac:dyDescent="0.15">
      <c r="A1319" s="1">
        <v>1310</v>
      </c>
      <c r="B1319" s="3">
        <f t="shared" si="125"/>
        <v>331.853490838754</v>
      </c>
      <c r="C1319" s="8"/>
      <c r="D1319" s="3">
        <f t="shared" si="126"/>
        <v>325.51364083586941</v>
      </c>
      <c r="F1319" s="3">
        <f t="shared" si="127"/>
        <v>-231.853490838754</v>
      </c>
      <c r="G1319" s="3">
        <f t="shared" si="128"/>
        <v>6.3398500028845888</v>
      </c>
      <c r="H1319" s="3">
        <f t="shared" si="129"/>
        <v>325.51364083586941</v>
      </c>
      <c r="M1319" s="1">
        <f t="shared" si="130"/>
        <v>568</v>
      </c>
      <c r="N1319" s="38">
        <f>+M1319*'Failure Data'!F$3</f>
        <v>14.673333333333334</v>
      </c>
    </row>
    <row r="1320" spans="1:14" x14ac:dyDescent="0.15">
      <c r="A1320" s="1">
        <v>1311</v>
      </c>
      <c r="B1320" s="3">
        <f t="shared" si="125"/>
        <v>332.10439432412596</v>
      </c>
      <c r="C1320" s="8"/>
      <c r="D1320" s="3">
        <f t="shared" si="126"/>
        <v>325.76454432124143</v>
      </c>
      <c r="F1320" s="3">
        <f t="shared" si="127"/>
        <v>-232.10439432412596</v>
      </c>
      <c r="G1320" s="3">
        <f t="shared" si="128"/>
        <v>6.3398500028845319</v>
      </c>
      <c r="H1320" s="3">
        <f t="shared" si="129"/>
        <v>325.76454432124143</v>
      </c>
      <c r="M1320" s="1">
        <f t="shared" si="130"/>
        <v>569</v>
      </c>
      <c r="N1320" s="38">
        <f>+M1320*'Failure Data'!F$3</f>
        <v>14.699166666666667</v>
      </c>
    </row>
    <row r="1321" spans="1:14" x14ac:dyDescent="0.15">
      <c r="A1321" s="1">
        <v>1312</v>
      </c>
      <c r="B1321" s="3">
        <f t="shared" si="125"/>
        <v>332.35529780949798</v>
      </c>
      <c r="C1321" s="8"/>
      <c r="D1321" s="3">
        <f t="shared" si="126"/>
        <v>326.01544780661339</v>
      </c>
      <c r="F1321" s="3">
        <f t="shared" si="127"/>
        <v>-232.35529780949798</v>
      </c>
      <c r="G1321" s="3">
        <f t="shared" si="128"/>
        <v>6.3398500028845888</v>
      </c>
      <c r="H1321" s="3">
        <f t="shared" si="129"/>
        <v>326.01544780661339</v>
      </c>
      <c r="M1321" s="1">
        <f t="shared" si="130"/>
        <v>570</v>
      </c>
      <c r="N1321" s="38">
        <f>+M1321*'Failure Data'!F$3</f>
        <v>14.725</v>
      </c>
    </row>
    <row r="1322" spans="1:14" x14ac:dyDescent="0.15">
      <c r="A1322" s="1">
        <v>1313</v>
      </c>
      <c r="B1322" s="3">
        <f t="shared" si="125"/>
        <v>332.60620129486995</v>
      </c>
      <c r="C1322" s="8"/>
      <c r="D1322" s="3">
        <f t="shared" si="126"/>
        <v>326.26635129198542</v>
      </c>
      <c r="F1322" s="3">
        <f t="shared" si="127"/>
        <v>-232.60620129486995</v>
      </c>
      <c r="G1322" s="3">
        <f t="shared" si="128"/>
        <v>6.3398500028845319</v>
      </c>
      <c r="H1322" s="3">
        <f t="shared" si="129"/>
        <v>326.26635129198542</v>
      </c>
      <c r="M1322" s="1">
        <f t="shared" si="130"/>
        <v>571</v>
      </c>
      <c r="N1322" s="38">
        <f>+M1322*'Failure Data'!F$3</f>
        <v>14.750833333333333</v>
      </c>
    </row>
    <row r="1323" spans="1:14" x14ac:dyDescent="0.15">
      <c r="A1323" s="1">
        <v>1314</v>
      </c>
      <c r="B1323" s="3">
        <f t="shared" si="125"/>
        <v>332.85710478024197</v>
      </c>
      <c r="C1323" s="8"/>
      <c r="D1323" s="3">
        <f t="shared" si="126"/>
        <v>326.51725477735738</v>
      </c>
      <c r="F1323" s="3">
        <f t="shared" si="127"/>
        <v>-232.85710478024197</v>
      </c>
      <c r="G1323" s="3">
        <f t="shared" si="128"/>
        <v>6.3398500028845888</v>
      </c>
      <c r="H1323" s="3">
        <f t="shared" si="129"/>
        <v>326.51725477735738</v>
      </c>
      <c r="M1323" s="1">
        <f t="shared" si="130"/>
        <v>572</v>
      </c>
      <c r="N1323" s="38">
        <f>+M1323*'Failure Data'!F$3</f>
        <v>14.776666666666667</v>
      </c>
    </row>
    <row r="1324" spans="1:14" x14ac:dyDescent="0.15">
      <c r="A1324" s="1">
        <v>1315</v>
      </c>
      <c r="B1324" s="3">
        <f t="shared" si="125"/>
        <v>333.10800826561393</v>
      </c>
      <c r="C1324" s="8"/>
      <c r="D1324" s="3">
        <f t="shared" si="126"/>
        <v>326.7681582627294</v>
      </c>
      <c r="F1324" s="3">
        <f t="shared" si="127"/>
        <v>-233.10800826561393</v>
      </c>
      <c r="G1324" s="3">
        <f t="shared" si="128"/>
        <v>6.3398500028845319</v>
      </c>
      <c r="H1324" s="3">
        <f t="shared" si="129"/>
        <v>326.7681582627294</v>
      </c>
      <c r="M1324" s="1">
        <f t="shared" si="130"/>
        <v>573</v>
      </c>
      <c r="N1324" s="38">
        <f>+M1324*'Failure Data'!F$3</f>
        <v>14.8025</v>
      </c>
    </row>
    <row r="1325" spans="1:14" x14ac:dyDescent="0.15">
      <c r="A1325" s="1">
        <v>1316</v>
      </c>
      <c r="B1325" s="3">
        <f t="shared" si="125"/>
        <v>333.35891175098595</v>
      </c>
      <c r="C1325" s="8"/>
      <c r="D1325" s="3">
        <f t="shared" si="126"/>
        <v>327.01906174810136</v>
      </c>
      <c r="F1325" s="3">
        <f t="shared" si="127"/>
        <v>-233.35891175098595</v>
      </c>
      <c r="G1325" s="3">
        <f t="shared" si="128"/>
        <v>6.3398500028845888</v>
      </c>
      <c r="H1325" s="3">
        <f t="shared" si="129"/>
        <v>327.01906174810136</v>
      </c>
      <c r="M1325" s="1">
        <f t="shared" si="130"/>
        <v>574</v>
      </c>
      <c r="N1325" s="38">
        <f>+M1325*'Failure Data'!F$3</f>
        <v>14.828333333333333</v>
      </c>
    </row>
    <row r="1326" spans="1:14" x14ac:dyDescent="0.15">
      <c r="A1326" s="1">
        <v>1317</v>
      </c>
      <c r="B1326" s="3">
        <f t="shared" ref="B1326:B1389" si="131">+(B$4*A1326)+B$5</f>
        <v>333.60981523635797</v>
      </c>
      <c r="C1326" s="8"/>
      <c r="D1326" s="3">
        <f t="shared" ref="D1326:D1389" si="132">+(D$4*A1326)+D$5</f>
        <v>327.26996523347339</v>
      </c>
      <c r="F1326" s="3">
        <f t="shared" ref="F1326:F1389" si="133">+xmax-B1326</f>
        <v>-233.60981523635797</v>
      </c>
      <c r="G1326" s="3">
        <f t="shared" ref="G1326:G1389" si="134">+B1326-D1326</f>
        <v>6.3398500028845888</v>
      </c>
      <c r="H1326" s="3">
        <f t="shared" ref="H1326:H1389" si="135">D1326</f>
        <v>327.26996523347339</v>
      </c>
      <c r="M1326" s="1">
        <f t="shared" si="130"/>
        <v>575</v>
      </c>
      <c r="N1326" s="38">
        <f>+M1326*'Failure Data'!F$3</f>
        <v>14.854166666666666</v>
      </c>
    </row>
    <row r="1327" spans="1:14" x14ac:dyDescent="0.15">
      <c r="A1327" s="1">
        <v>1318</v>
      </c>
      <c r="B1327" s="3">
        <f t="shared" si="131"/>
        <v>333.86071872172994</v>
      </c>
      <c r="C1327" s="8"/>
      <c r="D1327" s="3">
        <f t="shared" si="132"/>
        <v>327.52086871884535</v>
      </c>
      <c r="F1327" s="3">
        <f t="shared" si="133"/>
        <v>-233.86071872172994</v>
      </c>
      <c r="G1327" s="3">
        <f t="shared" si="134"/>
        <v>6.3398500028845888</v>
      </c>
      <c r="H1327" s="3">
        <f t="shared" si="135"/>
        <v>327.52086871884535</v>
      </c>
      <c r="M1327" s="1">
        <f t="shared" si="130"/>
        <v>576</v>
      </c>
      <c r="N1327" s="38">
        <f>+M1327*'Failure Data'!F$3</f>
        <v>14.879999999999999</v>
      </c>
    </row>
    <row r="1328" spans="1:14" x14ac:dyDescent="0.15">
      <c r="A1328" s="1">
        <v>1319</v>
      </c>
      <c r="B1328" s="3">
        <f t="shared" si="131"/>
        <v>334.11162220710196</v>
      </c>
      <c r="C1328" s="8"/>
      <c r="D1328" s="3">
        <f t="shared" si="132"/>
        <v>327.77177220421737</v>
      </c>
      <c r="F1328" s="3">
        <f t="shared" si="133"/>
        <v>-234.11162220710196</v>
      </c>
      <c r="G1328" s="3">
        <f t="shared" si="134"/>
        <v>6.3398500028845888</v>
      </c>
      <c r="H1328" s="3">
        <f t="shared" si="135"/>
        <v>327.77177220421737</v>
      </c>
      <c r="M1328" s="1">
        <f t="shared" si="130"/>
        <v>577</v>
      </c>
      <c r="N1328" s="38">
        <f>+M1328*'Failure Data'!F$3</f>
        <v>14.905833333333334</v>
      </c>
    </row>
    <row r="1329" spans="1:14" x14ac:dyDescent="0.15">
      <c r="A1329" s="1">
        <v>1320</v>
      </c>
      <c r="B1329" s="3">
        <f t="shared" si="131"/>
        <v>334.36252569247392</v>
      </c>
      <c r="C1329" s="8"/>
      <c r="D1329" s="3">
        <f t="shared" si="132"/>
        <v>328.02267568958933</v>
      </c>
      <c r="F1329" s="3">
        <f t="shared" si="133"/>
        <v>-234.36252569247392</v>
      </c>
      <c r="G1329" s="3">
        <f t="shared" si="134"/>
        <v>6.3398500028845888</v>
      </c>
      <c r="H1329" s="3">
        <f t="shared" si="135"/>
        <v>328.02267568958933</v>
      </c>
      <c r="M1329" s="1">
        <f t="shared" si="130"/>
        <v>578</v>
      </c>
      <c r="N1329" s="38">
        <f>+M1329*'Failure Data'!F$3</f>
        <v>14.931666666666667</v>
      </c>
    </row>
    <row r="1330" spans="1:14" x14ac:dyDescent="0.15">
      <c r="A1330" s="1">
        <v>1321</v>
      </c>
      <c r="B1330" s="3">
        <f t="shared" si="131"/>
        <v>334.61342917784594</v>
      </c>
      <c r="C1330" s="8"/>
      <c r="D1330" s="3">
        <f t="shared" si="132"/>
        <v>328.27357917496136</v>
      </c>
      <c r="F1330" s="3">
        <f t="shared" si="133"/>
        <v>-234.61342917784594</v>
      </c>
      <c r="G1330" s="3">
        <f t="shared" si="134"/>
        <v>6.3398500028845888</v>
      </c>
      <c r="H1330" s="3">
        <f t="shared" si="135"/>
        <v>328.27357917496136</v>
      </c>
      <c r="M1330" s="1">
        <f t="shared" si="130"/>
        <v>579</v>
      </c>
      <c r="N1330" s="38">
        <f>+M1330*'Failure Data'!F$3</f>
        <v>14.9575</v>
      </c>
    </row>
    <row r="1331" spans="1:14" x14ac:dyDescent="0.15">
      <c r="A1331" s="1">
        <v>1322</v>
      </c>
      <c r="B1331" s="3">
        <f t="shared" si="131"/>
        <v>334.86433266321791</v>
      </c>
      <c r="C1331" s="8"/>
      <c r="D1331" s="3">
        <f t="shared" si="132"/>
        <v>328.52448266033332</v>
      </c>
      <c r="F1331" s="3">
        <f t="shared" si="133"/>
        <v>-234.86433266321791</v>
      </c>
      <c r="G1331" s="3">
        <f t="shared" si="134"/>
        <v>6.3398500028845888</v>
      </c>
      <c r="H1331" s="3">
        <f t="shared" si="135"/>
        <v>328.52448266033332</v>
      </c>
      <c r="M1331" s="1">
        <f t="shared" si="130"/>
        <v>580</v>
      </c>
      <c r="N1331" s="38">
        <f>+M1331*'Failure Data'!F$3</f>
        <v>14.983333333333333</v>
      </c>
    </row>
    <row r="1332" spans="1:14" x14ac:dyDescent="0.15">
      <c r="A1332" s="1">
        <v>1323</v>
      </c>
      <c r="B1332" s="3">
        <f t="shared" si="131"/>
        <v>335.11523614858993</v>
      </c>
      <c r="C1332" s="8"/>
      <c r="D1332" s="3">
        <f t="shared" si="132"/>
        <v>328.77538614570534</v>
      </c>
      <c r="F1332" s="3">
        <f t="shared" si="133"/>
        <v>-235.11523614858993</v>
      </c>
      <c r="G1332" s="3">
        <f t="shared" si="134"/>
        <v>6.3398500028845888</v>
      </c>
      <c r="H1332" s="3">
        <f t="shared" si="135"/>
        <v>328.77538614570534</v>
      </c>
      <c r="M1332" s="1">
        <f t="shared" si="130"/>
        <v>581</v>
      </c>
      <c r="N1332" s="38">
        <f>+M1332*'Failure Data'!F$3</f>
        <v>15.009166666666667</v>
      </c>
    </row>
    <row r="1333" spans="1:14" x14ac:dyDescent="0.15">
      <c r="A1333" s="1">
        <v>1324</v>
      </c>
      <c r="B1333" s="3">
        <f t="shared" si="131"/>
        <v>335.36613963396189</v>
      </c>
      <c r="C1333" s="8"/>
      <c r="D1333" s="3">
        <f t="shared" si="132"/>
        <v>329.0262896310773</v>
      </c>
      <c r="F1333" s="3">
        <f t="shared" si="133"/>
        <v>-235.36613963396189</v>
      </c>
      <c r="G1333" s="3">
        <f t="shared" si="134"/>
        <v>6.3398500028845888</v>
      </c>
      <c r="H1333" s="3">
        <f t="shared" si="135"/>
        <v>329.0262896310773</v>
      </c>
      <c r="M1333" s="1">
        <f t="shared" si="130"/>
        <v>582</v>
      </c>
      <c r="N1333" s="38">
        <f>+M1333*'Failure Data'!F$3</f>
        <v>15.035</v>
      </c>
    </row>
    <row r="1334" spans="1:14" x14ac:dyDescent="0.15">
      <c r="A1334" s="1">
        <v>1325</v>
      </c>
      <c r="B1334" s="3">
        <f t="shared" si="131"/>
        <v>335.61704311933391</v>
      </c>
      <c r="C1334" s="8"/>
      <c r="D1334" s="3">
        <f t="shared" si="132"/>
        <v>329.27719311644933</v>
      </c>
      <c r="F1334" s="3">
        <f t="shared" si="133"/>
        <v>-235.61704311933391</v>
      </c>
      <c r="G1334" s="3">
        <f t="shared" si="134"/>
        <v>6.3398500028845888</v>
      </c>
      <c r="H1334" s="3">
        <f t="shared" si="135"/>
        <v>329.27719311644933</v>
      </c>
      <c r="M1334" s="1">
        <f t="shared" si="130"/>
        <v>583</v>
      </c>
      <c r="N1334" s="38">
        <f>+M1334*'Failure Data'!F$3</f>
        <v>15.060833333333333</v>
      </c>
    </row>
    <row r="1335" spans="1:14" x14ac:dyDescent="0.15">
      <c r="A1335" s="1">
        <v>1326</v>
      </c>
      <c r="B1335" s="3">
        <f t="shared" si="131"/>
        <v>335.86794660470588</v>
      </c>
      <c r="C1335" s="8"/>
      <c r="D1335" s="3">
        <f t="shared" si="132"/>
        <v>329.52809660182129</v>
      </c>
      <c r="F1335" s="3">
        <f t="shared" si="133"/>
        <v>-235.86794660470588</v>
      </c>
      <c r="G1335" s="3">
        <f t="shared" si="134"/>
        <v>6.3398500028845888</v>
      </c>
      <c r="H1335" s="3">
        <f t="shared" si="135"/>
        <v>329.52809660182129</v>
      </c>
      <c r="M1335" s="1">
        <f t="shared" si="130"/>
        <v>584</v>
      </c>
      <c r="N1335" s="38">
        <f>+M1335*'Failure Data'!F$3</f>
        <v>15.086666666666666</v>
      </c>
    </row>
    <row r="1336" spans="1:14" x14ac:dyDescent="0.15">
      <c r="A1336" s="1">
        <v>1327</v>
      </c>
      <c r="B1336" s="3">
        <f t="shared" si="131"/>
        <v>336.1188500900779</v>
      </c>
      <c r="C1336" s="8"/>
      <c r="D1336" s="3">
        <f t="shared" si="132"/>
        <v>329.77900008719331</v>
      </c>
      <c r="F1336" s="3">
        <f t="shared" si="133"/>
        <v>-236.1188500900779</v>
      </c>
      <c r="G1336" s="3">
        <f t="shared" si="134"/>
        <v>6.3398500028845888</v>
      </c>
      <c r="H1336" s="3">
        <f t="shared" si="135"/>
        <v>329.77900008719331</v>
      </c>
      <c r="M1336" s="1">
        <f t="shared" si="130"/>
        <v>585</v>
      </c>
      <c r="N1336" s="38">
        <f>+M1336*'Failure Data'!F$3</f>
        <v>15.112500000000001</v>
      </c>
    </row>
    <row r="1337" spans="1:14" x14ac:dyDescent="0.15">
      <c r="A1337" s="1">
        <v>1328</v>
      </c>
      <c r="B1337" s="3">
        <f t="shared" si="131"/>
        <v>336.36975357544986</v>
      </c>
      <c r="C1337" s="8"/>
      <c r="D1337" s="3">
        <f t="shared" si="132"/>
        <v>330.02990357256533</v>
      </c>
      <c r="F1337" s="3">
        <f t="shared" si="133"/>
        <v>-236.36975357544986</v>
      </c>
      <c r="G1337" s="3">
        <f t="shared" si="134"/>
        <v>6.3398500028845319</v>
      </c>
      <c r="H1337" s="3">
        <f t="shared" si="135"/>
        <v>330.02990357256533</v>
      </c>
      <c r="M1337" s="1">
        <f t="shared" si="130"/>
        <v>586</v>
      </c>
      <c r="N1337" s="38">
        <f>+M1337*'Failure Data'!F$3</f>
        <v>15.138333333333334</v>
      </c>
    </row>
    <row r="1338" spans="1:14" x14ac:dyDescent="0.15">
      <c r="A1338" s="1">
        <v>1329</v>
      </c>
      <c r="B1338" s="3">
        <f t="shared" si="131"/>
        <v>336.62065706082188</v>
      </c>
      <c r="C1338" s="8"/>
      <c r="D1338" s="3">
        <f t="shared" si="132"/>
        <v>330.2808070579373</v>
      </c>
      <c r="F1338" s="3">
        <f t="shared" si="133"/>
        <v>-236.62065706082188</v>
      </c>
      <c r="G1338" s="3">
        <f t="shared" si="134"/>
        <v>6.3398500028845888</v>
      </c>
      <c r="H1338" s="3">
        <f t="shared" si="135"/>
        <v>330.2808070579373</v>
      </c>
      <c r="M1338" s="1">
        <f t="shared" si="130"/>
        <v>587</v>
      </c>
      <c r="N1338" s="38">
        <f>+M1338*'Failure Data'!F$3</f>
        <v>15.164166666666667</v>
      </c>
    </row>
    <row r="1339" spans="1:14" x14ac:dyDescent="0.15">
      <c r="A1339" s="1">
        <v>1330</v>
      </c>
      <c r="B1339" s="3">
        <f t="shared" si="131"/>
        <v>336.87156054619385</v>
      </c>
      <c r="C1339" s="8"/>
      <c r="D1339" s="3">
        <f t="shared" si="132"/>
        <v>330.53171054330932</v>
      </c>
      <c r="F1339" s="3">
        <f t="shared" si="133"/>
        <v>-236.87156054619385</v>
      </c>
      <c r="G1339" s="3">
        <f t="shared" si="134"/>
        <v>6.3398500028845319</v>
      </c>
      <c r="H1339" s="3">
        <f t="shared" si="135"/>
        <v>330.53171054330932</v>
      </c>
      <c r="M1339" s="1">
        <f t="shared" si="130"/>
        <v>588</v>
      </c>
      <c r="N1339" s="38">
        <f>+M1339*'Failure Data'!F$3</f>
        <v>15.19</v>
      </c>
    </row>
    <row r="1340" spans="1:14" x14ac:dyDescent="0.15">
      <c r="A1340" s="1">
        <v>1331</v>
      </c>
      <c r="B1340" s="3">
        <f t="shared" si="131"/>
        <v>337.12246403156587</v>
      </c>
      <c r="C1340" s="8"/>
      <c r="D1340" s="3">
        <f t="shared" si="132"/>
        <v>330.78261402868128</v>
      </c>
      <c r="F1340" s="3">
        <f t="shared" si="133"/>
        <v>-237.12246403156587</v>
      </c>
      <c r="G1340" s="3">
        <f t="shared" si="134"/>
        <v>6.3398500028845888</v>
      </c>
      <c r="H1340" s="3">
        <f t="shared" si="135"/>
        <v>330.78261402868128</v>
      </c>
      <c r="M1340" s="1">
        <f t="shared" si="130"/>
        <v>589</v>
      </c>
      <c r="N1340" s="38">
        <f>+M1340*'Failure Data'!F$3</f>
        <v>15.215833333333332</v>
      </c>
    </row>
    <row r="1341" spans="1:14" x14ac:dyDescent="0.15">
      <c r="A1341" s="1">
        <v>1332</v>
      </c>
      <c r="B1341" s="3">
        <f t="shared" si="131"/>
        <v>337.37336751693783</v>
      </c>
      <c r="C1341" s="8"/>
      <c r="D1341" s="3">
        <f t="shared" si="132"/>
        <v>331.0335175140533</v>
      </c>
      <c r="F1341" s="3">
        <f t="shared" si="133"/>
        <v>-237.37336751693783</v>
      </c>
      <c r="G1341" s="3">
        <f t="shared" si="134"/>
        <v>6.3398500028845319</v>
      </c>
      <c r="H1341" s="3">
        <f t="shared" si="135"/>
        <v>331.0335175140533</v>
      </c>
      <c r="M1341" s="1">
        <f t="shared" si="130"/>
        <v>590</v>
      </c>
      <c r="N1341" s="38">
        <f>+M1341*'Failure Data'!F$3</f>
        <v>15.241666666666667</v>
      </c>
    </row>
    <row r="1342" spans="1:14" x14ac:dyDescent="0.15">
      <c r="A1342" s="1">
        <v>1333</v>
      </c>
      <c r="B1342" s="3">
        <f t="shared" si="131"/>
        <v>337.62427100230985</v>
      </c>
      <c r="C1342" s="8"/>
      <c r="D1342" s="3">
        <f t="shared" si="132"/>
        <v>331.28442099942527</v>
      </c>
      <c r="F1342" s="3">
        <f t="shared" si="133"/>
        <v>-237.62427100230985</v>
      </c>
      <c r="G1342" s="3">
        <f t="shared" si="134"/>
        <v>6.3398500028845888</v>
      </c>
      <c r="H1342" s="3">
        <f t="shared" si="135"/>
        <v>331.28442099942527</v>
      </c>
      <c r="M1342" s="1">
        <f t="shared" si="130"/>
        <v>591</v>
      </c>
      <c r="N1342" s="38">
        <f>+M1342*'Failure Data'!F$3</f>
        <v>15.2675</v>
      </c>
    </row>
    <row r="1343" spans="1:14" x14ac:dyDescent="0.15">
      <c r="A1343" s="1">
        <v>1334</v>
      </c>
      <c r="B1343" s="3">
        <f t="shared" si="131"/>
        <v>337.87517448768182</v>
      </c>
      <c r="C1343" s="8"/>
      <c r="D1343" s="3">
        <f t="shared" si="132"/>
        <v>331.53532448479729</v>
      </c>
      <c r="F1343" s="3">
        <f t="shared" si="133"/>
        <v>-237.87517448768182</v>
      </c>
      <c r="G1343" s="3">
        <f t="shared" si="134"/>
        <v>6.3398500028845319</v>
      </c>
      <c r="H1343" s="3">
        <f t="shared" si="135"/>
        <v>331.53532448479729</v>
      </c>
      <c r="M1343" s="1">
        <f t="shared" si="130"/>
        <v>592</v>
      </c>
      <c r="N1343" s="38">
        <f>+M1343*'Failure Data'!F$3</f>
        <v>15.293333333333333</v>
      </c>
    </row>
    <row r="1344" spans="1:14" x14ac:dyDescent="0.15">
      <c r="A1344" s="1">
        <v>1335</v>
      </c>
      <c r="B1344" s="3">
        <f t="shared" si="131"/>
        <v>338.12607797305384</v>
      </c>
      <c r="C1344" s="8"/>
      <c r="D1344" s="3">
        <f t="shared" si="132"/>
        <v>331.78622797016925</v>
      </c>
      <c r="F1344" s="3">
        <f t="shared" si="133"/>
        <v>-238.12607797305384</v>
      </c>
      <c r="G1344" s="3">
        <f t="shared" si="134"/>
        <v>6.3398500028845888</v>
      </c>
      <c r="H1344" s="3">
        <f t="shared" si="135"/>
        <v>331.78622797016925</v>
      </c>
      <c r="M1344" s="1">
        <f t="shared" si="130"/>
        <v>593</v>
      </c>
      <c r="N1344" s="38">
        <f>+M1344*'Failure Data'!F$3</f>
        <v>15.319166666666666</v>
      </c>
    </row>
    <row r="1345" spans="1:14" x14ac:dyDescent="0.15">
      <c r="A1345" s="1">
        <v>1336</v>
      </c>
      <c r="B1345" s="3">
        <f t="shared" si="131"/>
        <v>338.3769814584258</v>
      </c>
      <c r="C1345" s="8"/>
      <c r="D1345" s="3">
        <f t="shared" si="132"/>
        <v>332.03713145554127</v>
      </c>
      <c r="F1345" s="3">
        <f t="shared" si="133"/>
        <v>-238.3769814584258</v>
      </c>
      <c r="G1345" s="3">
        <f t="shared" si="134"/>
        <v>6.3398500028845319</v>
      </c>
      <c r="H1345" s="3">
        <f t="shared" si="135"/>
        <v>332.03713145554127</v>
      </c>
      <c r="M1345" s="1">
        <f t="shared" ref="M1345:M1408" si="136">M1344+1</f>
        <v>594</v>
      </c>
      <c r="N1345" s="38">
        <f>+M1345*'Failure Data'!F$3</f>
        <v>15.345000000000001</v>
      </c>
    </row>
    <row r="1346" spans="1:14" x14ac:dyDescent="0.15">
      <c r="A1346" s="1">
        <v>1337</v>
      </c>
      <c r="B1346" s="3">
        <f t="shared" si="131"/>
        <v>338.62788494379782</v>
      </c>
      <c r="C1346" s="8"/>
      <c r="D1346" s="3">
        <f t="shared" si="132"/>
        <v>332.28803494091324</v>
      </c>
      <c r="F1346" s="3">
        <f t="shared" si="133"/>
        <v>-238.62788494379782</v>
      </c>
      <c r="G1346" s="3">
        <f t="shared" si="134"/>
        <v>6.3398500028845888</v>
      </c>
      <c r="H1346" s="3">
        <f t="shared" si="135"/>
        <v>332.28803494091324</v>
      </c>
      <c r="M1346" s="1">
        <f t="shared" si="136"/>
        <v>595</v>
      </c>
      <c r="N1346" s="38">
        <f>+M1346*'Failure Data'!F$3</f>
        <v>15.370833333333334</v>
      </c>
    </row>
    <row r="1347" spans="1:14" x14ac:dyDescent="0.15">
      <c r="A1347" s="1">
        <v>1338</v>
      </c>
      <c r="B1347" s="3">
        <f t="shared" si="131"/>
        <v>338.87878842916979</v>
      </c>
      <c r="C1347" s="8"/>
      <c r="D1347" s="3">
        <f t="shared" si="132"/>
        <v>332.53893842628526</v>
      </c>
      <c r="F1347" s="3">
        <f t="shared" si="133"/>
        <v>-238.87878842916979</v>
      </c>
      <c r="G1347" s="3">
        <f t="shared" si="134"/>
        <v>6.3398500028845319</v>
      </c>
      <c r="H1347" s="3">
        <f t="shared" si="135"/>
        <v>332.53893842628526</v>
      </c>
      <c r="M1347" s="1">
        <f t="shared" si="136"/>
        <v>596</v>
      </c>
      <c r="N1347" s="38">
        <f>+M1347*'Failure Data'!F$3</f>
        <v>15.396666666666667</v>
      </c>
    </row>
    <row r="1348" spans="1:14" x14ac:dyDescent="0.15">
      <c r="A1348" s="1">
        <v>1339</v>
      </c>
      <c r="B1348" s="3">
        <f t="shared" si="131"/>
        <v>339.12969191454181</v>
      </c>
      <c r="C1348" s="8"/>
      <c r="D1348" s="3">
        <f t="shared" si="132"/>
        <v>332.78984191165722</v>
      </c>
      <c r="F1348" s="3">
        <f t="shared" si="133"/>
        <v>-239.12969191454181</v>
      </c>
      <c r="G1348" s="3">
        <f t="shared" si="134"/>
        <v>6.3398500028845888</v>
      </c>
      <c r="H1348" s="3">
        <f t="shared" si="135"/>
        <v>332.78984191165722</v>
      </c>
      <c r="M1348" s="1">
        <f t="shared" si="136"/>
        <v>597</v>
      </c>
      <c r="N1348" s="38">
        <f>+M1348*'Failure Data'!F$3</f>
        <v>15.422499999999999</v>
      </c>
    </row>
    <row r="1349" spans="1:14" x14ac:dyDescent="0.15">
      <c r="A1349" s="1">
        <v>1340</v>
      </c>
      <c r="B1349" s="3">
        <f t="shared" si="131"/>
        <v>339.38059539991377</v>
      </c>
      <c r="C1349" s="8"/>
      <c r="D1349" s="3">
        <f t="shared" si="132"/>
        <v>333.04074539702924</v>
      </c>
      <c r="F1349" s="3">
        <f t="shared" si="133"/>
        <v>-239.38059539991377</v>
      </c>
      <c r="G1349" s="3">
        <f t="shared" si="134"/>
        <v>6.3398500028845319</v>
      </c>
      <c r="H1349" s="3">
        <f t="shared" si="135"/>
        <v>333.04074539702924</v>
      </c>
      <c r="M1349" s="1">
        <f t="shared" si="136"/>
        <v>598</v>
      </c>
      <c r="N1349" s="38">
        <f>+M1349*'Failure Data'!F$3</f>
        <v>15.448333333333332</v>
      </c>
    </row>
    <row r="1350" spans="1:14" x14ac:dyDescent="0.15">
      <c r="A1350" s="1">
        <v>1341</v>
      </c>
      <c r="B1350" s="3">
        <f t="shared" si="131"/>
        <v>339.63149888528579</v>
      </c>
      <c r="C1350" s="8"/>
      <c r="D1350" s="3">
        <f t="shared" si="132"/>
        <v>333.2916488824012</v>
      </c>
      <c r="F1350" s="3">
        <f t="shared" si="133"/>
        <v>-239.63149888528579</v>
      </c>
      <c r="G1350" s="3">
        <f t="shared" si="134"/>
        <v>6.3398500028845888</v>
      </c>
      <c r="H1350" s="3">
        <f t="shared" si="135"/>
        <v>333.2916488824012</v>
      </c>
      <c r="M1350" s="1">
        <f t="shared" si="136"/>
        <v>599</v>
      </c>
      <c r="N1350" s="38">
        <f>+M1350*'Failure Data'!F$3</f>
        <v>15.474166666666667</v>
      </c>
    </row>
    <row r="1351" spans="1:14" x14ac:dyDescent="0.15">
      <c r="A1351" s="1">
        <v>1342</v>
      </c>
      <c r="B1351" s="3">
        <f t="shared" si="131"/>
        <v>339.88240237065781</v>
      </c>
      <c r="C1351" s="8"/>
      <c r="D1351" s="3">
        <f t="shared" si="132"/>
        <v>333.54255236777323</v>
      </c>
      <c r="F1351" s="3">
        <f t="shared" si="133"/>
        <v>-239.88240237065781</v>
      </c>
      <c r="G1351" s="3">
        <f t="shared" si="134"/>
        <v>6.3398500028845888</v>
      </c>
      <c r="H1351" s="3">
        <f t="shared" si="135"/>
        <v>333.54255236777323</v>
      </c>
      <c r="M1351" s="1">
        <f t="shared" si="136"/>
        <v>600</v>
      </c>
      <c r="N1351" s="38">
        <f>+M1351*'Failure Data'!F$3</f>
        <v>15.5</v>
      </c>
    </row>
    <row r="1352" spans="1:14" x14ac:dyDescent="0.15">
      <c r="A1352" s="1">
        <v>1343</v>
      </c>
      <c r="B1352" s="3">
        <f t="shared" si="131"/>
        <v>340.13330585602978</v>
      </c>
      <c r="C1352" s="8"/>
      <c r="D1352" s="3">
        <f t="shared" si="132"/>
        <v>333.79345585314519</v>
      </c>
      <c r="F1352" s="3">
        <f t="shared" si="133"/>
        <v>-240.13330585602978</v>
      </c>
      <c r="G1352" s="3">
        <f t="shared" si="134"/>
        <v>6.3398500028845888</v>
      </c>
      <c r="H1352" s="3">
        <f t="shared" si="135"/>
        <v>333.79345585314519</v>
      </c>
      <c r="M1352" s="1">
        <f t="shared" si="136"/>
        <v>601</v>
      </c>
      <c r="N1352" s="38">
        <f>+M1352*'Failure Data'!F$3</f>
        <v>15.525833333333333</v>
      </c>
    </row>
    <row r="1353" spans="1:14" x14ac:dyDescent="0.15">
      <c r="A1353" s="1">
        <v>1344</v>
      </c>
      <c r="B1353" s="3">
        <f t="shared" si="131"/>
        <v>340.3842093414018</v>
      </c>
      <c r="C1353" s="8"/>
      <c r="D1353" s="3">
        <f t="shared" si="132"/>
        <v>334.04435933851721</v>
      </c>
      <c r="F1353" s="3">
        <f t="shared" si="133"/>
        <v>-240.3842093414018</v>
      </c>
      <c r="G1353" s="3">
        <f t="shared" si="134"/>
        <v>6.3398500028845888</v>
      </c>
      <c r="H1353" s="3">
        <f t="shared" si="135"/>
        <v>334.04435933851721</v>
      </c>
      <c r="M1353" s="1">
        <f t="shared" si="136"/>
        <v>602</v>
      </c>
      <c r="N1353" s="38">
        <f>+M1353*'Failure Data'!F$3</f>
        <v>15.551666666666666</v>
      </c>
    </row>
    <row r="1354" spans="1:14" x14ac:dyDescent="0.15">
      <c r="A1354" s="1">
        <v>1345</v>
      </c>
      <c r="B1354" s="3">
        <f t="shared" si="131"/>
        <v>340.63511282677376</v>
      </c>
      <c r="C1354" s="8"/>
      <c r="D1354" s="3">
        <f t="shared" si="132"/>
        <v>334.29526282388917</v>
      </c>
      <c r="F1354" s="3">
        <f t="shared" si="133"/>
        <v>-240.63511282677376</v>
      </c>
      <c r="G1354" s="3">
        <f t="shared" si="134"/>
        <v>6.3398500028845888</v>
      </c>
      <c r="H1354" s="3">
        <f t="shared" si="135"/>
        <v>334.29526282388917</v>
      </c>
      <c r="M1354" s="1">
        <f t="shared" si="136"/>
        <v>603</v>
      </c>
      <c r="N1354" s="38">
        <f>+M1354*'Failure Data'!F$3</f>
        <v>15.577500000000001</v>
      </c>
    </row>
    <row r="1355" spans="1:14" x14ac:dyDescent="0.15">
      <c r="A1355" s="1">
        <v>1346</v>
      </c>
      <c r="B1355" s="3">
        <f t="shared" si="131"/>
        <v>340.88601631214578</v>
      </c>
      <c r="C1355" s="8"/>
      <c r="D1355" s="3">
        <f t="shared" si="132"/>
        <v>334.5461663092612</v>
      </c>
      <c r="F1355" s="3">
        <f t="shared" si="133"/>
        <v>-240.88601631214578</v>
      </c>
      <c r="G1355" s="3">
        <f t="shared" si="134"/>
        <v>6.3398500028845888</v>
      </c>
      <c r="H1355" s="3">
        <f t="shared" si="135"/>
        <v>334.5461663092612</v>
      </c>
      <c r="M1355" s="1">
        <f t="shared" si="136"/>
        <v>604</v>
      </c>
      <c r="N1355" s="38">
        <f>+M1355*'Failure Data'!F$3</f>
        <v>15.603333333333333</v>
      </c>
    </row>
    <row r="1356" spans="1:14" x14ac:dyDescent="0.15">
      <c r="A1356" s="1">
        <v>1347</v>
      </c>
      <c r="B1356" s="3">
        <f t="shared" si="131"/>
        <v>341.13691979751775</v>
      </c>
      <c r="C1356" s="8"/>
      <c r="D1356" s="3">
        <f t="shared" si="132"/>
        <v>334.79706979463316</v>
      </c>
      <c r="F1356" s="3">
        <f t="shared" si="133"/>
        <v>-241.13691979751775</v>
      </c>
      <c r="G1356" s="3">
        <f t="shared" si="134"/>
        <v>6.3398500028845888</v>
      </c>
      <c r="H1356" s="3">
        <f t="shared" si="135"/>
        <v>334.79706979463316</v>
      </c>
      <c r="M1356" s="1">
        <f t="shared" si="136"/>
        <v>605</v>
      </c>
      <c r="N1356" s="38">
        <f>+M1356*'Failure Data'!F$3</f>
        <v>15.629166666666666</v>
      </c>
    </row>
    <row r="1357" spans="1:14" x14ac:dyDescent="0.15">
      <c r="A1357" s="1">
        <v>1348</v>
      </c>
      <c r="B1357" s="3">
        <f t="shared" si="131"/>
        <v>341.38782328288977</v>
      </c>
      <c r="C1357" s="8"/>
      <c r="D1357" s="3">
        <f t="shared" si="132"/>
        <v>335.04797328000518</v>
      </c>
      <c r="F1357" s="3">
        <f t="shared" si="133"/>
        <v>-241.38782328288977</v>
      </c>
      <c r="G1357" s="3">
        <f t="shared" si="134"/>
        <v>6.3398500028845888</v>
      </c>
      <c r="H1357" s="3">
        <f t="shared" si="135"/>
        <v>335.04797328000518</v>
      </c>
      <c r="M1357" s="1">
        <f t="shared" si="136"/>
        <v>606</v>
      </c>
      <c r="N1357" s="38">
        <f>+M1357*'Failure Data'!F$3</f>
        <v>15.654999999999999</v>
      </c>
    </row>
    <row r="1358" spans="1:14" x14ac:dyDescent="0.15">
      <c r="A1358" s="1">
        <v>1349</v>
      </c>
      <c r="B1358" s="3">
        <f t="shared" si="131"/>
        <v>341.63872676826173</v>
      </c>
      <c r="C1358" s="8"/>
      <c r="D1358" s="3">
        <f t="shared" si="132"/>
        <v>335.29887676537714</v>
      </c>
      <c r="F1358" s="3">
        <f t="shared" si="133"/>
        <v>-241.63872676826173</v>
      </c>
      <c r="G1358" s="3">
        <f t="shared" si="134"/>
        <v>6.3398500028845888</v>
      </c>
      <c r="H1358" s="3">
        <f t="shared" si="135"/>
        <v>335.29887676537714</v>
      </c>
      <c r="M1358" s="1">
        <f t="shared" si="136"/>
        <v>607</v>
      </c>
      <c r="N1358" s="38">
        <f>+M1358*'Failure Data'!F$3</f>
        <v>15.680833333333334</v>
      </c>
    </row>
    <row r="1359" spans="1:14" x14ac:dyDescent="0.15">
      <c r="A1359" s="1">
        <v>1350</v>
      </c>
      <c r="B1359" s="3">
        <f t="shared" si="131"/>
        <v>341.88963025363375</v>
      </c>
      <c r="C1359" s="8"/>
      <c r="D1359" s="3">
        <f t="shared" si="132"/>
        <v>335.54978025074917</v>
      </c>
      <c r="F1359" s="3">
        <f t="shared" si="133"/>
        <v>-241.88963025363375</v>
      </c>
      <c r="G1359" s="3">
        <f t="shared" si="134"/>
        <v>6.3398500028845888</v>
      </c>
      <c r="H1359" s="3">
        <f t="shared" si="135"/>
        <v>335.54978025074917</v>
      </c>
      <c r="M1359" s="1">
        <f t="shared" si="136"/>
        <v>608</v>
      </c>
      <c r="N1359" s="38">
        <f>+M1359*'Failure Data'!F$3</f>
        <v>15.706666666666667</v>
      </c>
    </row>
    <row r="1360" spans="1:14" x14ac:dyDescent="0.15">
      <c r="A1360" s="1">
        <v>1351</v>
      </c>
      <c r="B1360" s="3">
        <f t="shared" si="131"/>
        <v>342.14053373900572</v>
      </c>
      <c r="C1360" s="8"/>
      <c r="D1360" s="3">
        <f t="shared" si="132"/>
        <v>335.80068373612119</v>
      </c>
      <c r="F1360" s="3">
        <f t="shared" si="133"/>
        <v>-242.14053373900572</v>
      </c>
      <c r="G1360" s="3">
        <f t="shared" si="134"/>
        <v>6.3398500028845319</v>
      </c>
      <c r="H1360" s="3">
        <f t="shared" si="135"/>
        <v>335.80068373612119</v>
      </c>
      <c r="M1360" s="1">
        <f t="shared" si="136"/>
        <v>609</v>
      </c>
      <c r="N1360" s="38">
        <f>+M1360*'Failure Data'!F$3</f>
        <v>15.7325</v>
      </c>
    </row>
    <row r="1361" spans="1:14" x14ac:dyDescent="0.15">
      <c r="A1361" s="1">
        <v>1352</v>
      </c>
      <c r="B1361" s="3">
        <f t="shared" si="131"/>
        <v>342.39143722437774</v>
      </c>
      <c r="C1361" s="8"/>
      <c r="D1361" s="3">
        <f t="shared" si="132"/>
        <v>336.05158722149315</v>
      </c>
      <c r="F1361" s="3">
        <f t="shared" si="133"/>
        <v>-242.39143722437774</v>
      </c>
      <c r="G1361" s="3">
        <f t="shared" si="134"/>
        <v>6.3398500028845888</v>
      </c>
      <c r="H1361" s="3">
        <f t="shared" si="135"/>
        <v>336.05158722149315</v>
      </c>
      <c r="M1361" s="1">
        <f t="shared" si="136"/>
        <v>610</v>
      </c>
      <c r="N1361" s="38">
        <f>+M1361*'Failure Data'!F$3</f>
        <v>15.758333333333333</v>
      </c>
    </row>
    <row r="1362" spans="1:14" x14ac:dyDescent="0.15">
      <c r="A1362" s="1">
        <v>1353</v>
      </c>
      <c r="B1362" s="3">
        <f t="shared" si="131"/>
        <v>342.6423407097497</v>
      </c>
      <c r="C1362" s="8"/>
      <c r="D1362" s="3">
        <f t="shared" si="132"/>
        <v>336.30249070686517</v>
      </c>
      <c r="F1362" s="3">
        <f t="shared" si="133"/>
        <v>-242.6423407097497</v>
      </c>
      <c r="G1362" s="3">
        <f t="shared" si="134"/>
        <v>6.3398500028845319</v>
      </c>
      <c r="H1362" s="3">
        <f t="shared" si="135"/>
        <v>336.30249070686517</v>
      </c>
      <c r="M1362" s="1">
        <f t="shared" si="136"/>
        <v>611</v>
      </c>
      <c r="N1362" s="38">
        <f>+M1362*'Failure Data'!F$3</f>
        <v>15.784166666666666</v>
      </c>
    </row>
    <row r="1363" spans="1:14" x14ac:dyDescent="0.15">
      <c r="A1363" s="1">
        <v>1354</v>
      </c>
      <c r="B1363" s="3">
        <f t="shared" si="131"/>
        <v>342.89324419512172</v>
      </c>
      <c r="C1363" s="8"/>
      <c r="D1363" s="3">
        <f t="shared" si="132"/>
        <v>336.55339419223714</v>
      </c>
      <c r="F1363" s="3">
        <f t="shared" si="133"/>
        <v>-242.89324419512172</v>
      </c>
      <c r="G1363" s="3">
        <f t="shared" si="134"/>
        <v>6.3398500028845888</v>
      </c>
      <c r="H1363" s="3">
        <f t="shared" si="135"/>
        <v>336.55339419223714</v>
      </c>
      <c r="M1363" s="1">
        <f t="shared" si="136"/>
        <v>612</v>
      </c>
      <c r="N1363" s="38">
        <f>+M1363*'Failure Data'!F$3</f>
        <v>15.81</v>
      </c>
    </row>
    <row r="1364" spans="1:14" x14ac:dyDescent="0.15">
      <c r="A1364" s="1">
        <v>1355</v>
      </c>
      <c r="B1364" s="3">
        <f t="shared" si="131"/>
        <v>343.14414768049369</v>
      </c>
      <c r="C1364" s="8"/>
      <c r="D1364" s="3">
        <f t="shared" si="132"/>
        <v>336.80429767760916</v>
      </c>
      <c r="F1364" s="3">
        <f t="shared" si="133"/>
        <v>-243.14414768049369</v>
      </c>
      <c r="G1364" s="3">
        <f t="shared" si="134"/>
        <v>6.3398500028845319</v>
      </c>
      <c r="H1364" s="3">
        <f t="shared" si="135"/>
        <v>336.80429767760916</v>
      </c>
      <c r="M1364" s="1">
        <f t="shared" si="136"/>
        <v>613</v>
      </c>
      <c r="N1364" s="38">
        <f>+M1364*'Failure Data'!F$3</f>
        <v>15.835833333333333</v>
      </c>
    </row>
    <row r="1365" spans="1:14" x14ac:dyDescent="0.15">
      <c r="A1365" s="1">
        <v>1356</v>
      </c>
      <c r="B1365" s="3">
        <f t="shared" si="131"/>
        <v>343.39505116586571</v>
      </c>
      <c r="C1365" s="8"/>
      <c r="D1365" s="3">
        <f t="shared" si="132"/>
        <v>337.05520116298112</v>
      </c>
      <c r="F1365" s="3">
        <f t="shared" si="133"/>
        <v>-243.39505116586571</v>
      </c>
      <c r="G1365" s="3">
        <f t="shared" si="134"/>
        <v>6.3398500028845888</v>
      </c>
      <c r="H1365" s="3">
        <f t="shared" si="135"/>
        <v>337.05520116298112</v>
      </c>
      <c r="M1365" s="1">
        <f t="shared" si="136"/>
        <v>614</v>
      </c>
      <c r="N1365" s="38">
        <f>+M1365*'Failure Data'!F$3</f>
        <v>15.861666666666666</v>
      </c>
    </row>
    <row r="1366" spans="1:14" x14ac:dyDescent="0.15">
      <c r="A1366" s="1">
        <v>1357</v>
      </c>
      <c r="B1366" s="3">
        <f t="shared" si="131"/>
        <v>343.64595465123767</v>
      </c>
      <c r="C1366" s="8"/>
      <c r="D1366" s="3">
        <f t="shared" si="132"/>
        <v>337.30610464835314</v>
      </c>
      <c r="F1366" s="3">
        <f t="shared" si="133"/>
        <v>-243.64595465123767</v>
      </c>
      <c r="G1366" s="3">
        <f t="shared" si="134"/>
        <v>6.3398500028845319</v>
      </c>
      <c r="H1366" s="3">
        <f t="shared" si="135"/>
        <v>337.30610464835314</v>
      </c>
      <c r="M1366" s="1">
        <f t="shared" si="136"/>
        <v>615</v>
      </c>
      <c r="N1366" s="38">
        <f>+M1366*'Failure Data'!F$3</f>
        <v>15.887499999999999</v>
      </c>
    </row>
    <row r="1367" spans="1:14" x14ac:dyDescent="0.15">
      <c r="A1367" s="1">
        <v>1358</v>
      </c>
      <c r="B1367" s="3">
        <f t="shared" si="131"/>
        <v>343.89685813660969</v>
      </c>
      <c r="C1367" s="8"/>
      <c r="D1367" s="3">
        <f t="shared" si="132"/>
        <v>337.55700813372511</v>
      </c>
      <c r="F1367" s="3">
        <f t="shared" si="133"/>
        <v>-243.89685813660969</v>
      </c>
      <c r="G1367" s="3">
        <f t="shared" si="134"/>
        <v>6.3398500028845888</v>
      </c>
      <c r="H1367" s="3">
        <f t="shared" si="135"/>
        <v>337.55700813372511</v>
      </c>
      <c r="M1367" s="1">
        <f t="shared" si="136"/>
        <v>616</v>
      </c>
      <c r="N1367" s="38">
        <f>+M1367*'Failure Data'!F$3</f>
        <v>15.913333333333334</v>
      </c>
    </row>
    <row r="1368" spans="1:14" x14ac:dyDescent="0.15">
      <c r="A1368" s="1">
        <v>1359</v>
      </c>
      <c r="B1368" s="3">
        <f t="shared" si="131"/>
        <v>344.14776162198166</v>
      </c>
      <c r="C1368" s="8"/>
      <c r="D1368" s="3">
        <f t="shared" si="132"/>
        <v>337.80791161909713</v>
      </c>
      <c r="F1368" s="3">
        <f t="shared" si="133"/>
        <v>-244.14776162198166</v>
      </c>
      <c r="G1368" s="3">
        <f t="shared" si="134"/>
        <v>6.3398500028845319</v>
      </c>
      <c r="H1368" s="3">
        <f t="shared" si="135"/>
        <v>337.80791161909713</v>
      </c>
      <c r="M1368" s="1">
        <f t="shared" si="136"/>
        <v>617</v>
      </c>
      <c r="N1368" s="38">
        <f>+M1368*'Failure Data'!F$3</f>
        <v>15.939166666666667</v>
      </c>
    </row>
    <row r="1369" spans="1:14" x14ac:dyDescent="0.15">
      <c r="A1369" s="1">
        <v>1360</v>
      </c>
      <c r="B1369" s="3">
        <f t="shared" si="131"/>
        <v>344.39866510735368</v>
      </c>
      <c r="C1369" s="8"/>
      <c r="D1369" s="3">
        <f t="shared" si="132"/>
        <v>338.05881510446909</v>
      </c>
      <c r="F1369" s="3">
        <f t="shared" si="133"/>
        <v>-244.39866510735368</v>
      </c>
      <c r="G1369" s="3">
        <f t="shared" si="134"/>
        <v>6.3398500028845888</v>
      </c>
      <c r="H1369" s="3">
        <f t="shared" si="135"/>
        <v>338.05881510446909</v>
      </c>
      <c r="M1369" s="1">
        <f t="shared" si="136"/>
        <v>618</v>
      </c>
      <c r="N1369" s="38">
        <f>+M1369*'Failure Data'!F$3</f>
        <v>15.965</v>
      </c>
    </row>
    <row r="1370" spans="1:14" x14ac:dyDescent="0.15">
      <c r="A1370" s="1">
        <v>1361</v>
      </c>
      <c r="B1370" s="3">
        <f t="shared" si="131"/>
        <v>344.64956859272564</v>
      </c>
      <c r="C1370" s="8"/>
      <c r="D1370" s="3">
        <f t="shared" si="132"/>
        <v>338.30971858984111</v>
      </c>
      <c r="F1370" s="3">
        <f t="shared" si="133"/>
        <v>-244.64956859272564</v>
      </c>
      <c r="G1370" s="3">
        <f t="shared" si="134"/>
        <v>6.3398500028845319</v>
      </c>
      <c r="H1370" s="3">
        <f t="shared" si="135"/>
        <v>338.30971858984111</v>
      </c>
      <c r="M1370" s="1">
        <f t="shared" si="136"/>
        <v>619</v>
      </c>
      <c r="N1370" s="38">
        <f>+M1370*'Failure Data'!F$3</f>
        <v>15.990833333333333</v>
      </c>
    </row>
    <row r="1371" spans="1:14" x14ac:dyDescent="0.15">
      <c r="A1371" s="1">
        <v>1362</v>
      </c>
      <c r="B1371" s="3">
        <f t="shared" si="131"/>
        <v>344.90047207809766</v>
      </c>
      <c r="C1371" s="8"/>
      <c r="D1371" s="3">
        <f t="shared" si="132"/>
        <v>338.56062207521308</v>
      </c>
      <c r="F1371" s="3">
        <f t="shared" si="133"/>
        <v>-244.90047207809766</v>
      </c>
      <c r="G1371" s="3">
        <f t="shared" si="134"/>
        <v>6.3398500028845888</v>
      </c>
      <c r="H1371" s="3">
        <f t="shared" si="135"/>
        <v>338.56062207521308</v>
      </c>
      <c r="M1371" s="1">
        <f t="shared" si="136"/>
        <v>620</v>
      </c>
      <c r="N1371" s="38">
        <f>+M1371*'Failure Data'!F$3</f>
        <v>16.016666666666666</v>
      </c>
    </row>
    <row r="1372" spans="1:14" x14ac:dyDescent="0.15">
      <c r="A1372" s="1">
        <v>1363</v>
      </c>
      <c r="B1372" s="3">
        <f t="shared" si="131"/>
        <v>345.15137556346963</v>
      </c>
      <c r="C1372" s="8"/>
      <c r="D1372" s="3">
        <f t="shared" si="132"/>
        <v>338.8115255605851</v>
      </c>
      <c r="F1372" s="3">
        <f t="shared" si="133"/>
        <v>-245.15137556346963</v>
      </c>
      <c r="G1372" s="3">
        <f t="shared" si="134"/>
        <v>6.3398500028845319</v>
      </c>
      <c r="H1372" s="3">
        <f t="shared" si="135"/>
        <v>338.8115255605851</v>
      </c>
      <c r="M1372" s="1">
        <f t="shared" si="136"/>
        <v>621</v>
      </c>
      <c r="N1372" s="38">
        <f>+M1372*'Failure Data'!F$3</f>
        <v>16.0425</v>
      </c>
    </row>
    <row r="1373" spans="1:14" x14ac:dyDescent="0.15">
      <c r="A1373" s="1">
        <v>1364</v>
      </c>
      <c r="B1373" s="3">
        <f t="shared" si="131"/>
        <v>345.40227904884165</v>
      </c>
      <c r="C1373" s="8"/>
      <c r="D1373" s="3">
        <f t="shared" si="132"/>
        <v>339.06242904595706</v>
      </c>
      <c r="F1373" s="3">
        <f t="shared" si="133"/>
        <v>-245.40227904884165</v>
      </c>
      <c r="G1373" s="3">
        <f t="shared" si="134"/>
        <v>6.3398500028845888</v>
      </c>
      <c r="H1373" s="3">
        <f t="shared" si="135"/>
        <v>339.06242904595706</v>
      </c>
      <c r="M1373" s="1">
        <f t="shared" si="136"/>
        <v>622</v>
      </c>
      <c r="N1373" s="38">
        <f>+M1373*'Failure Data'!F$3</f>
        <v>16.068333333333332</v>
      </c>
    </row>
    <row r="1374" spans="1:14" x14ac:dyDescent="0.15">
      <c r="A1374" s="1">
        <v>1365</v>
      </c>
      <c r="B1374" s="3">
        <f t="shared" si="131"/>
        <v>345.65318253421361</v>
      </c>
      <c r="C1374" s="8"/>
      <c r="D1374" s="3">
        <f t="shared" si="132"/>
        <v>339.31333253132908</v>
      </c>
      <c r="F1374" s="3">
        <f t="shared" si="133"/>
        <v>-245.65318253421361</v>
      </c>
      <c r="G1374" s="3">
        <f t="shared" si="134"/>
        <v>6.3398500028845319</v>
      </c>
      <c r="H1374" s="3">
        <f t="shared" si="135"/>
        <v>339.31333253132908</v>
      </c>
      <c r="M1374" s="1">
        <f t="shared" si="136"/>
        <v>623</v>
      </c>
      <c r="N1374" s="38">
        <f>+M1374*'Failure Data'!F$3</f>
        <v>16.094166666666666</v>
      </c>
    </row>
    <row r="1375" spans="1:14" x14ac:dyDescent="0.15">
      <c r="A1375" s="1">
        <v>1366</v>
      </c>
      <c r="B1375" s="3">
        <f t="shared" si="131"/>
        <v>345.90408601958563</v>
      </c>
      <c r="C1375" s="8"/>
      <c r="D1375" s="3">
        <f t="shared" si="132"/>
        <v>339.56423601670105</v>
      </c>
      <c r="F1375" s="3">
        <f t="shared" si="133"/>
        <v>-245.90408601958563</v>
      </c>
      <c r="G1375" s="3">
        <f t="shared" si="134"/>
        <v>6.3398500028845888</v>
      </c>
      <c r="H1375" s="3">
        <f t="shared" si="135"/>
        <v>339.56423601670105</v>
      </c>
      <c r="M1375" s="1">
        <f t="shared" si="136"/>
        <v>624</v>
      </c>
      <c r="N1375" s="38">
        <f>+M1375*'Failure Data'!F$3</f>
        <v>16.12</v>
      </c>
    </row>
    <row r="1376" spans="1:14" x14ac:dyDescent="0.15">
      <c r="A1376" s="1">
        <v>1367</v>
      </c>
      <c r="B1376" s="3">
        <f t="shared" si="131"/>
        <v>346.15498950495765</v>
      </c>
      <c r="C1376" s="8"/>
      <c r="D1376" s="3">
        <f t="shared" si="132"/>
        <v>339.81513950207307</v>
      </c>
      <c r="F1376" s="3">
        <f t="shared" si="133"/>
        <v>-246.15498950495765</v>
      </c>
      <c r="G1376" s="3">
        <f t="shared" si="134"/>
        <v>6.3398500028845888</v>
      </c>
      <c r="H1376" s="3">
        <f t="shared" si="135"/>
        <v>339.81513950207307</v>
      </c>
      <c r="M1376" s="1">
        <f t="shared" si="136"/>
        <v>625</v>
      </c>
      <c r="N1376" s="38">
        <f>+M1376*'Failure Data'!F$3</f>
        <v>16.145833333333332</v>
      </c>
    </row>
    <row r="1377" spans="1:14" x14ac:dyDescent="0.15">
      <c r="A1377" s="1">
        <v>1368</v>
      </c>
      <c r="B1377" s="3">
        <f t="shared" si="131"/>
        <v>346.40589299032962</v>
      </c>
      <c r="C1377" s="8"/>
      <c r="D1377" s="3">
        <f t="shared" si="132"/>
        <v>340.06604298744503</v>
      </c>
      <c r="F1377" s="3">
        <f t="shared" si="133"/>
        <v>-246.40589299032962</v>
      </c>
      <c r="G1377" s="3">
        <f t="shared" si="134"/>
        <v>6.3398500028845888</v>
      </c>
      <c r="H1377" s="3">
        <f t="shared" si="135"/>
        <v>340.06604298744503</v>
      </c>
      <c r="M1377" s="1">
        <f t="shared" si="136"/>
        <v>626</v>
      </c>
      <c r="N1377" s="38">
        <f>+M1377*'Failure Data'!F$3</f>
        <v>16.171666666666667</v>
      </c>
    </row>
    <row r="1378" spans="1:14" x14ac:dyDescent="0.15">
      <c r="A1378" s="1">
        <v>1369</v>
      </c>
      <c r="B1378" s="3">
        <f t="shared" si="131"/>
        <v>346.65679647570164</v>
      </c>
      <c r="C1378" s="8"/>
      <c r="D1378" s="3">
        <f t="shared" si="132"/>
        <v>340.31694647281705</v>
      </c>
      <c r="F1378" s="3">
        <f t="shared" si="133"/>
        <v>-246.65679647570164</v>
      </c>
      <c r="G1378" s="3">
        <f t="shared" si="134"/>
        <v>6.3398500028845888</v>
      </c>
      <c r="H1378" s="3">
        <f t="shared" si="135"/>
        <v>340.31694647281705</v>
      </c>
      <c r="M1378" s="1">
        <f t="shared" si="136"/>
        <v>627</v>
      </c>
      <c r="N1378" s="38">
        <f>+M1378*'Failure Data'!F$3</f>
        <v>16.197500000000002</v>
      </c>
    </row>
    <row r="1379" spans="1:14" x14ac:dyDescent="0.15">
      <c r="A1379" s="1">
        <v>1370</v>
      </c>
      <c r="B1379" s="3">
        <f t="shared" si="131"/>
        <v>346.9076999610736</v>
      </c>
      <c r="C1379" s="8"/>
      <c r="D1379" s="3">
        <f t="shared" si="132"/>
        <v>340.56784995818902</v>
      </c>
      <c r="F1379" s="3">
        <f t="shared" si="133"/>
        <v>-246.9076999610736</v>
      </c>
      <c r="G1379" s="3">
        <f t="shared" si="134"/>
        <v>6.3398500028845888</v>
      </c>
      <c r="H1379" s="3">
        <f t="shared" si="135"/>
        <v>340.56784995818902</v>
      </c>
      <c r="M1379" s="1">
        <f t="shared" si="136"/>
        <v>628</v>
      </c>
      <c r="N1379" s="38">
        <f>+M1379*'Failure Data'!F$3</f>
        <v>16.223333333333333</v>
      </c>
    </row>
    <row r="1380" spans="1:14" x14ac:dyDescent="0.15">
      <c r="A1380" s="1">
        <v>1371</v>
      </c>
      <c r="B1380" s="3">
        <f t="shared" si="131"/>
        <v>347.15860344644562</v>
      </c>
      <c r="C1380" s="8"/>
      <c r="D1380" s="3">
        <f t="shared" si="132"/>
        <v>340.81875344356104</v>
      </c>
      <c r="F1380" s="3">
        <f t="shared" si="133"/>
        <v>-247.15860344644562</v>
      </c>
      <c r="G1380" s="3">
        <f t="shared" si="134"/>
        <v>6.3398500028845888</v>
      </c>
      <c r="H1380" s="3">
        <f t="shared" si="135"/>
        <v>340.81875344356104</v>
      </c>
      <c r="M1380" s="1">
        <f t="shared" si="136"/>
        <v>629</v>
      </c>
      <c r="N1380" s="38">
        <f>+M1380*'Failure Data'!F$3</f>
        <v>16.249166666666667</v>
      </c>
    </row>
    <row r="1381" spans="1:14" x14ac:dyDescent="0.15">
      <c r="A1381" s="1">
        <v>1372</v>
      </c>
      <c r="B1381" s="3">
        <f t="shared" si="131"/>
        <v>347.40950693181759</v>
      </c>
      <c r="C1381" s="8"/>
      <c r="D1381" s="3">
        <f t="shared" si="132"/>
        <v>341.069656928933</v>
      </c>
      <c r="F1381" s="3">
        <f t="shared" si="133"/>
        <v>-247.40950693181759</v>
      </c>
      <c r="G1381" s="3">
        <f t="shared" si="134"/>
        <v>6.3398500028845888</v>
      </c>
      <c r="H1381" s="3">
        <f t="shared" si="135"/>
        <v>341.069656928933</v>
      </c>
      <c r="M1381" s="1">
        <f t="shared" si="136"/>
        <v>630</v>
      </c>
      <c r="N1381" s="38">
        <f>+M1381*'Failure Data'!F$3</f>
        <v>16.274999999999999</v>
      </c>
    </row>
    <row r="1382" spans="1:14" x14ac:dyDescent="0.15">
      <c r="A1382" s="1">
        <v>1373</v>
      </c>
      <c r="B1382" s="3">
        <f t="shared" si="131"/>
        <v>347.66041041718961</v>
      </c>
      <c r="C1382" s="8"/>
      <c r="D1382" s="3">
        <f t="shared" si="132"/>
        <v>341.32056041430502</v>
      </c>
      <c r="F1382" s="3">
        <f t="shared" si="133"/>
        <v>-247.66041041718961</v>
      </c>
      <c r="G1382" s="3">
        <f t="shared" si="134"/>
        <v>6.3398500028845888</v>
      </c>
      <c r="H1382" s="3">
        <f t="shared" si="135"/>
        <v>341.32056041430502</v>
      </c>
      <c r="M1382" s="1">
        <f t="shared" si="136"/>
        <v>631</v>
      </c>
      <c r="N1382" s="38">
        <f>+M1382*'Failure Data'!F$3</f>
        <v>16.300833333333333</v>
      </c>
    </row>
    <row r="1383" spans="1:14" x14ac:dyDescent="0.15">
      <c r="A1383" s="1">
        <v>1374</v>
      </c>
      <c r="B1383" s="3">
        <f t="shared" si="131"/>
        <v>347.91131390256157</v>
      </c>
      <c r="C1383" s="8"/>
      <c r="D1383" s="3">
        <f t="shared" si="132"/>
        <v>341.57146389967704</v>
      </c>
      <c r="F1383" s="3">
        <f t="shared" si="133"/>
        <v>-247.91131390256157</v>
      </c>
      <c r="G1383" s="3">
        <f t="shared" si="134"/>
        <v>6.3398500028845319</v>
      </c>
      <c r="H1383" s="3">
        <f t="shared" si="135"/>
        <v>341.57146389967704</v>
      </c>
      <c r="M1383" s="1">
        <f t="shared" si="136"/>
        <v>632</v>
      </c>
      <c r="N1383" s="38">
        <f>+M1383*'Failure Data'!F$3</f>
        <v>16.326666666666668</v>
      </c>
    </row>
    <row r="1384" spans="1:14" x14ac:dyDescent="0.15">
      <c r="A1384" s="1">
        <v>1375</v>
      </c>
      <c r="B1384" s="3">
        <f t="shared" si="131"/>
        <v>348.16221738793359</v>
      </c>
      <c r="C1384" s="8"/>
      <c r="D1384" s="3">
        <f t="shared" si="132"/>
        <v>341.82236738504901</v>
      </c>
      <c r="F1384" s="3">
        <f t="shared" si="133"/>
        <v>-248.16221738793359</v>
      </c>
      <c r="G1384" s="3">
        <f t="shared" si="134"/>
        <v>6.3398500028845888</v>
      </c>
      <c r="H1384" s="3">
        <f t="shared" si="135"/>
        <v>341.82236738504901</v>
      </c>
      <c r="M1384" s="1">
        <f t="shared" si="136"/>
        <v>633</v>
      </c>
      <c r="N1384" s="38">
        <f>+M1384*'Failure Data'!F$3</f>
        <v>16.352499999999999</v>
      </c>
    </row>
    <row r="1385" spans="1:14" x14ac:dyDescent="0.15">
      <c r="A1385" s="1">
        <v>1376</v>
      </c>
      <c r="B1385" s="3">
        <f t="shared" si="131"/>
        <v>348.41312087330556</v>
      </c>
      <c r="C1385" s="8"/>
      <c r="D1385" s="3">
        <f t="shared" si="132"/>
        <v>342.07327087042103</v>
      </c>
      <c r="F1385" s="3">
        <f t="shared" si="133"/>
        <v>-248.41312087330556</v>
      </c>
      <c r="G1385" s="3">
        <f t="shared" si="134"/>
        <v>6.3398500028845319</v>
      </c>
      <c r="H1385" s="3">
        <f t="shared" si="135"/>
        <v>342.07327087042103</v>
      </c>
      <c r="M1385" s="1">
        <f t="shared" si="136"/>
        <v>634</v>
      </c>
      <c r="N1385" s="38">
        <f>+M1385*'Failure Data'!F$3</f>
        <v>16.378333333333334</v>
      </c>
    </row>
    <row r="1386" spans="1:14" x14ac:dyDescent="0.15">
      <c r="A1386" s="1">
        <v>1377</v>
      </c>
      <c r="B1386" s="3">
        <f t="shared" si="131"/>
        <v>348.66402435867758</v>
      </c>
      <c r="C1386" s="8"/>
      <c r="D1386" s="3">
        <f t="shared" si="132"/>
        <v>342.32417435579299</v>
      </c>
      <c r="F1386" s="3">
        <f t="shared" si="133"/>
        <v>-248.66402435867758</v>
      </c>
      <c r="G1386" s="3">
        <f t="shared" si="134"/>
        <v>6.3398500028845888</v>
      </c>
      <c r="H1386" s="3">
        <f t="shared" si="135"/>
        <v>342.32417435579299</v>
      </c>
      <c r="M1386" s="1">
        <f t="shared" si="136"/>
        <v>635</v>
      </c>
      <c r="N1386" s="38">
        <f>+M1386*'Failure Data'!F$3</f>
        <v>16.404166666666665</v>
      </c>
    </row>
    <row r="1387" spans="1:14" x14ac:dyDescent="0.15">
      <c r="A1387" s="1">
        <v>1378</v>
      </c>
      <c r="B1387" s="3">
        <f t="shared" si="131"/>
        <v>348.91492784404954</v>
      </c>
      <c r="C1387" s="8"/>
      <c r="D1387" s="3">
        <f t="shared" si="132"/>
        <v>342.57507784116501</v>
      </c>
      <c r="F1387" s="3">
        <f t="shared" si="133"/>
        <v>-248.91492784404954</v>
      </c>
      <c r="G1387" s="3">
        <f t="shared" si="134"/>
        <v>6.3398500028845319</v>
      </c>
      <c r="H1387" s="3">
        <f t="shared" si="135"/>
        <v>342.57507784116501</v>
      </c>
      <c r="M1387" s="1">
        <f t="shared" si="136"/>
        <v>636</v>
      </c>
      <c r="N1387" s="38">
        <f>+M1387*'Failure Data'!F$3</f>
        <v>16.43</v>
      </c>
    </row>
    <row r="1388" spans="1:14" x14ac:dyDescent="0.15">
      <c r="A1388" s="1">
        <v>1379</v>
      </c>
      <c r="B1388" s="3">
        <f t="shared" si="131"/>
        <v>349.16583132942156</v>
      </c>
      <c r="C1388" s="8"/>
      <c r="D1388" s="3">
        <f t="shared" si="132"/>
        <v>342.82598132653698</v>
      </c>
      <c r="F1388" s="3">
        <f t="shared" si="133"/>
        <v>-249.16583132942156</v>
      </c>
      <c r="G1388" s="3">
        <f t="shared" si="134"/>
        <v>6.3398500028845888</v>
      </c>
      <c r="H1388" s="3">
        <f t="shared" si="135"/>
        <v>342.82598132653698</v>
      </c>
      <c r="M1388" s="1">
        <f t="shared" si="136"/>
        <v>637</v>
      </c>
      <c r="N1388" s="38">
        <f>+M1388*'Failure Data'!F$3</f>
        <v>16.455833333333334</v>
      </c>
    </row>
    <row r="1389" spans="1:14" x14ac:dyDescent="0.15">
      <c r="A1389" s="1">
        <v>1380</v>
      </c>
      <c r="B1389" s="3">
        <f t="shared" si="131"/>
        <v>349.41673481479353</v>
      </c>
      <c r="C1389" s="8"/>
      <c r="D1389" s="3">
        <f t="shared" si="132"/>
        <v>343.076884811909</v>
      </c>
      <c r="F1389" s="3">
        <f t="shared" si="133"/>
        <v>-249.41673481479353</v>
      </c>
      <c r="G1389" s="3">
        <f t="shared" si="134"/>
        <v>6.3398500028845319</v>
      </c>
      <c r="H1389" s="3">
        <f t="shared" si="135"/>
        <v>343.076884811909</v>
      </c>
      <c r="M1389" s="1">
        <f t="shared" si="136"/>
        <v>638</v>
      </c>
      <c r="N1389" s="38">
        <f>+M1389*'Failure Data'!F$3</f>
        <v>16.481666666666666</v>
      </c>
    </row>
    <row r="1390" spans="1:14" x14ac:dyDescent="0.15">
      <c r="A1390" s="1">
        <v>1381</v>
      </c>
      <c r="B1390" s="3">
        <f t="shared" ref="B1390:B1453" si="137">+(B$4*A1390)+B$5</f>
        <v>349.66763830016555</v>
      </c>
      <c r="C1390" s="8"/>
      <c r="D1390" s="3">
        <f t="shared" ref="D1390:D1453" si="138">+(D$4*A1390)+D$5</f>
        <v>343.32778829728096</v>
      </c>
      <c r="F1390" s="3">
        <f t="shared" ref="F1390:F1453" si="139">+xmax-B1390</f>
        <v>-249.66763830016555</v>
      </c>
      <c r="G1390" s="3">
        <f t="shared" ref="G1390:G1453" si="140">+B1390-D1390</f>
        <v>6.3398500028845888</v>
      </c>
      <c r="H1390" s="3">
        <f t="shared" ref="H1390:H1453" si="141">D1390</f>
        <v>343.32778829728096</v>
      </c>
      <c r="M1390" s="1">
        <f t="shared" si="136"/>
        <v>639</v>
      </c>
      <c r="N1390" s="38">
        <f>+M1390*'Failure Data'!F$3</f>
        <v>16.5075</v>
      </c>
    </row>
    <row r="1391" spans="1:14" x14ac:dyDescent="0.15">
      <c r="A1391" s="1">
        <v>1382</v>
      </c>
      <c r="B1391" s="3">
        <f t="shared" si="137"/>
        <v>349.91854178553751</v>
      </c>
      <c r="C1391" s="8"/>
      <c r="D1391" s="3">
        <f t="shared" si="138"/>
        <v>343.57869178265298</v>
      </c>
      <c r="F1391" s="3">
        <f t="shared" si="139"/>
        <v>-249.91854178553751</v>
      </c>
      <c r="G1391" s="3">
        <f t="shared" si="140"/>
        <v>6.3398500028845319</v>
      </c>
      <c r="H1391" s="3">
        <f t="shared" si="141"/>
        <v>343.57869178265298</v>
      </c>
      <c r="M1391" s="1">
        <f t="shared" si="136"/>
        <v>640</v>
      </c>
      <c r="N1391" s="38">
        <f>+M1391*'Failure Data'!F$3</f>
        <v>16.533333333333331</v>
      </c>
    </row>
    <row r="1392" spans="1:14" x14ac:dyDescent="0.15">
      <c r="A1392" s="1">
        <v>1383</v>
      </c>
      <c r="B1392" s="3">
        <f t="shared" si="137"/>
        <v>350.16944527090953</v>
      </c>
      <c r="C1392" s="8"/>
      <c r="D1392" s="3">
        <f t="shared" si="138"/>
        <v>343.82959526802495</v>
      </c>
      <c r="F1392" s="3">
        <f t="shared" si="139"/>
        <v>-250.16944527090953</v>
      </c>
      <c r="G1392" s="3">
        <f t="shared" si="140"/>
        <v>6.3398500028845888</v>
      </c>
      <c r="H1392" s="3">
        <f t="shared" si="141"/>
        <v>343.82959526802495</v>
      </c>
      <c r="M1392" s="1">
        <f t="shared" si="136"/>
        <v>641</v>
      </c>
      <c r="N1392" s="38">
        <f>+M1392*'Failure Data'!F$3</f>
        <v>16.559166666666666</v>
      </c>
    </row>
    <row r="1393" spans="1:14" x14ac:dyDescent="0.15">
      <c r="A1393" s="1">
        <v>1384</v>
      </c>
      <c r="B1393" s="3">
        <f t="shared" si="137"/>
        <v>350.4203487562815</v>
      </c>
      <c r="C1393" s="8"/>
      <c r="D1393" s="3">
        <f t="shared" si="138"/>
        <v>344.08049875339697</v>
      </c>
      <c r="F1393" s="3">
        <f t="shared" si="139"/>
        <v>-250.4203487562815</v>
      </c>
      <c r="G1393" s="3">
        <f t="shared" si="140"/>
        <v>6.3398500028845319</v>
      </c>
      <c r="H1393" s="3">
        <f t="shared" si="141"/>
        <v>344.08049875339697</v>
      </c>
      <c r="M1393" s="1">
        <f t="shared" si="136"/>
        <v>642</v>
      </c>
      <c r="N1393" s="38">
        <f>+M1393*'Failure Data'!F$3</f>
        <v>16.585000000000001</v>
      </c>
    </row>
    <row r="1394" spans="1:14" x14ac:dyDescent="0.15">
      <c r="A1394" s="1">
        <v>1385</v>
      </c>
      <c r="B1394" s="3">
        <f t="shared" si="137"/>
        <v>350.67125224165352</v>
      </c>
      <c r="C1394" s="8"/>
      <c r="D1394" s="3">
        <f t="shared" si="138"/>
        <v>344.33140223876893</v>
      </c>
      <c r="F1394" s="3">
        <f t="shared" si="139"/>
        <v>-250.67125224165352</v>
      </c>
      <c r="G1394" s="3">
        <f t="shared" si="140"/>
        <v>6.3398500028845888</v>
      </c>
      <c r="H1394" s="3">
        <f t="shared" si="141"/>
        <v>344.33140223876893</v>
      </c>
      <c r="M1394" s="1">
        <f t="shared" si="136"/>
        <v>643</v>
      </c>
      <c r="N1394" s="38">
        <f>+M1394*'Failure Data'!F$3</f>
        <v>16.610833333333332</v>
      </c>
    </row>
    <row r="1395" spans="1:14" x14ac:dyDescent="0.15">
      <c r="A1395" s="1">
        <v>1386</v>
      </c>
      <c r="B1395" s="3">
        <f t="shared" si="137"/>
        <v>350.92215572702548</v>
      </c>
      <c r="C1395" s="8"/>
      <c r="D1395" s="3">
        <f t="shared" si="138"/>
        <v>344.58230572414095</v>
      </c>
      <c r="F1395" s="3">
        <f t="shared" si="139"/>
        <v>-250.92215572702548</v>
      </c>
      <c r="G1395" s="3">
        <f t="shared" si="140"/>
        <v>6.3398500028845319</v>
      </c>
      <c r="H1395" s="3">
        <f t="shared" si="141"/>
        <v>344.58230572414095</v>
      </c>
      <c r="M1395" s="1">
        <f t="shared" si="136"/>
        <v>644</v>
      </c>
      <c r="N1395" s="38">
        <f>+M1395*'Failure Data'!F$3</f>
        <v>16.636666666666667</v>
      </c>
    </row>
    <row r="1396" spans="1:14" x14ac:dyDescent="0.15">
      <c r="A1396" s="1">
        <v>1387</v>
      </c>
      <c r="B1396" s="3">
        <f t="shared" si="137"/>
        <v>351.1730592123975</v>
      </c>
      <c r="C1396" s="8"/>
      <c r="D1396" s="3">
        <f t="shared" si="138"/>
        <v>344.83320920951292</v>
      </c>
      <c r="F1396" s="3">
        <f t="shared" si="139"/>
        <v>-251.1730592123975</v>
      </c>
      <c r="G1396" s="3">
        <f t="shared" si="140"/>
        <v>6.3398500028845888</v>
      </c>
      <c r="H1396" s="3">
        <f t="shared" si="141"/>
        <v>344.83320920951292</v>
      </c>
      <c r="M1396" s="1">
        <f t="shared" si="136"/>
        <v>645</v>
      </c>
      <c r="N1396" s="38">
        <f>+M1396*'Failure Data'!F$3</f>
        <v>16.662500000000001</v>
      </c>
    </row>
    <row r="1397" spans="1:14" x14ac:dyDescent="0.15">
      <c r="A1397" s="1">
        <v>1388</v>
      </c>
      <c r="B1397" s="3">
        <f t="shared" si="137"/>
        <v>351.42396269776947</v>
      </c>
      <c r="C1397" s="8"/>
      <c r="D1397" s="3">
        <f t="shared" si="138"/>
        <v>345.08411269488494</v>
      </c>
      <c r="F1397" s="3">
        <f t="shared" si="139"/>
        <v>-251.42396269776947</v>
      </c>
      <c r="G1397" s="3">
        <f t="shared" si="140"/>
        <v>6.3398500028845319</v>
      </c>
      <c r="H1397" s="3">
        <f t="shared" si="141"/>
        <v>345.08411269488494</v>
      </c>
      <c r="M1397" s="1">
        <f t="shared" si="136"/>
        <v>646</v>
      </c>
      <c r="N1397" s="38">
        <f>+M1397*'Failure Data'!F$3</f>
        <v>16.688333333333333</v>
      </c>
    </row>
    <row r="1398" spans="1:14" x14ac:dyDescent="0.15">
      <c r="A1398" s="1">
        <v>1389</v>
      </c>
      <c r="B1398" s="3">
        <f t="shared" si="137"/>
        <v>351.67486618314149</v>
      </c>
      <c r="C1398" s="8"/>
      <c r="D1398" s="3">
        <f t="shared" si="138"/>
        <v>345.3350161802569</v>
      </c>
      <c r="F1398" s="3">
        <f t="shared" si="139"/>
        <v>-251.67486618314149</v>
      </c>
      <c r="G1398" s="3">
        <f t="shared" si="140"/>
        <v>6.3398500028845888</v>
      </c>
      <c r="H1398" s="3">
        <f t="shared" si="141"/>
        <v>345.3350161802569</v>
      </c>
      <c r="M1398" s="1">
        <f t="shared" si="136"/>
        <v>647</v>
      </c>
      <c r="N1398" s="38">
        <f>+M1398*'Failure Data'!F$3</f>
        <v>16.714166666666667</v>
      </c>
    </row>
    <row r="1399" spans="1:14" x14ac:dyDescent="0.15">
      <c r="A1399" s="1">
        <v>1390</v>
      </c>
      <c r="B1399" s="3">
        <f t="shared" si="137"/>
        <v>351.92576966851351</v>
      </c>
      <c r="C1399" s="8"/>
      <c r="D1399" s="3">
        <f t="shared" si="138"/>
        <v>345.58591966562892</v>
      </c>
      <c r="F1399" s="3">
        <f t="shared" si="139"/>
        <v>-251.92576966851351</v>
      </c>
      <c r="G1399" s="3">
        <f t="shared" si="140"/>
        <v>6.3398500028845888</v>
      </c>
      <c r="H1399" s="3">
        <f t="shared" si="141"/>
        <v>345.58591966562892</v>
      </c>
      <c r="M1399" s="1">
        <f t="shared" si="136"/>
        <v>648</v>
      </c>
      <c r="N1399" s="38">
        <f>+M1399*'Failure Data'!F$3</f>
        <v>16.739999999999998</v>
      </c>
    </row>
    <row r="1400" spans="1:14" x14ac:dyDescent="0.15">
      <c r="A1400" s="1">
        <v>1391</v>
      </c>
      <c r="B1400" s="3">
        <f t="shared" si="137"/>
        <v>352.17667315388547</v>
      </c>
      <c r="C1400" s="8"/>
      <c r="D1400" s="3">
        <f t="shared" si="138"/>
        <v>345.83682315100089</v>
      </c>
      <c r="F1400" s="3">
        <f t="shared" si="139"/>
        <v>-252.17667315388547</v>
      </c>
      <c r="G1400" s="3">
        <f t="shared" si="140"/>
        <v>6.3398500028845888</v>
      </c>
      <c r="H1400" s="3">
        <f t="shared" si="141"/>
        <v>345.83682315100089</v>
      </c>
      <c r="M1400" s="1">
        <f t="shared" si="136"/>
        <v>649</v>
      </c>
      <c r="N1400" s="38">
        <f>+M1400*'Failure Data'!F$3</f>
        <v>16.765833333333333</v>
      </c>
    </row>
    <row r="1401" spans="1:14" x14ac:dyDescent="0.15">
      <c r="A1401" s="1">
        <v>1392</v>
      </c>
      <c r="B1401" s="3">
        <f t="shared" si="137"/>
        <v>352.4275766392575</v>
      </c>
      <c r="C1401" s="8"/>
      <c r="D1401" s="3">
        <f t="shared" si="138"/>
        <v>346.08772663637291</v>
      </c>
      <c r="F1401" s="3">
        <f t="shared" si="139"/>
        <v>-252.4275766392575</v>
      </c>
      <c r="G1401" s="3">
        <f t="shared" si="140"/>
        <v>6.3398500028845888</v>
      </c>
      <c r="H1401" s="3">
        <f t="shared" si="141"/>
        <v>346.08772663637291</v>
      </c>
      <c r="M1401" s="1">
        <f t="shared" si="136"/>
        <v>650</v>
      </c>
      <c r="N1401" s="38">
        <f>+M1401*'Failure Data'!F$3</f>
        <v>16.791666666666668</v>
      </c>
    </row>
    <row r="1402" spans="1:14" x14ac:dyDescent="0.15">
      <c r="A1402" s="1">
        <v>1393</v>
      </c>
      <c r="B1402" s="3">
        <f t="shared" si="137"/>
        <v>352.67848012462946</v>
      </c>
      <c r="C1402" s="8"/>
      <c r="D1402" s="3">
        <f t="shared" si="138"/>
        <v>346.33863012174487</v>
      </c>
      <c r="F1402" s="3">
        <f t="shared" si="139"/>
        <v>-252.67848012462946</v>
      </c>
      <c r="G1402" s="3">
        <f t="shared" si="140"/>
        <v>6.3398500028845888</v>
      </c>
      <c r="H1402" s="3">
        <f t="shared" si="141"/>
        <v>346.33863012174487</v>
      </c>
      <c r="M1402" s="1">
        <f t="shared" si="136"/>
        <v>651</v>
      </c>
      <c r="N1402" s="38">
        <f>+M1402*'Failure Data'!F$3</f>
        <v>16.817499999999999</v>
      </c>
    </row>
    <row r="1403" spans="1:14" x14ac:dyDescent="0.15">
      <c r="A1403" s="1">
        <v>1394</v>
      </c>
      <c r="B1403" s="3">
        <f t="shared" si="137"/>
        <v>352.92938361000148</v>
      </c>
      <c r="C1403" s="8"/>
      <c r="D1403" s="3">
        <f t="shared" si="138"/>
        <v>346.58953360711689</v>
      </c>
      <c r="F1403" s="3">
        <f t="shared" si="139"/>
        <v>-252.92938361000148</v>
      </c>
      <c r="G1403" s="3">
        <f t="shared" si="140"/>
        <v>6.3398500028845888</v>
      </c>
      <c r="H1403" s="3">
        <f t="shared" si="141"/>
        <v>346.58953360711689</v>
      </c>
      <c r="M1403" s="1">
        <f t="shared" si="136"/>
        <v>652</v>
      </c>
      <c r="N1403" s="38">
        <f>+M1403*'Failure Data'!F$3</f>
        <v>16.843333333333334</v>
      </c>
    </row>
    <row r="1404" spans="1:14" x14ac:dyDescent="0.15">
      <c r="A1404" s="1">
        <v>1395</v>
      </c>
      <c r="B1404" s="3">
        <f t="shared" si="137"/>
        <v>353.18028709537344</v>
      </c>
      <c r="C1404" s="8"/>
      <c r="D1404" s="3">
        <f t="shared" si="138"/>
        <v>346.84043709248886</v>
      </c>
      <c r="F1404" s="3">
        <f t="shared" si="139"/>
        <v>-253.18028709537344</v>
      </c>
      <c r="G1404" s="3">
        <f t="shared" si="140"/>
        <v>6.3398500028845888</v>
      </c>
      <c r="H1404" s="3">
        <f t="shared" si="141"/>
        <v>346.84043709248886</v>
      </c>
      <c r="M1404" s="1">
        <f t="shared" si="136"/>
        <v>653</v>
      </c>
      <c r="N1404" s="38">
        <f>+M1404*'Failure Data'!F$3</f>
        <v>16.869166666666665</v>
      </c>
    </row>
    <row r="1405" spans="1:14" x14ac:dyDescent="0.15">
      <c r="A1405" s="1">
        <v>1396</v>
      </c>
      <c r="B1405" s="3">
        <f t="shared" si="137"/>
        <v>353.43119058074547</v>
      </c>
      <c r="C1405" s="8"/>
      <c r="D1405" s="3">
        <f t="shared" si="138"/>
        <v>347.09134057786088</v>
      </c>
      <c r="F1405" s="3">
        <f t="shared" si="139"/>
        <v>-253.43119058074547</v>
      </c>
      <c r="G1405" s="3">
        <f t="shared" si="140"/>
        <v>6.3398500028845888</v>
      </c>
      <c r="H1405" s="3">
        <f t="shared" si="141"/>
        <v>347.09134057786088</v>
      </c>
      <c r="M1405" s="1">
        <f t="shared" si="136"/>
        <v>654</v>
      </c>
      <c r="N1405" s="38">
        <f>+M1405*'Failure Data'!F$3</f>
        <v>16.895</v>
      </c>
    </row>
    <row r="1406" spans="1:14" x14ac:dyDescent="0.15">
      <c r="A1406" s="1">
        <v>1397</v>
      </c>
      <c r="B1406" s="3">
        <f t="shared" si="137"/>
        <v>353.68209406611743</v>
      </c>
      <c r="C1406" s="8"/>
      <c r="D1406" s="3">
        <f t="shared" si="138"/>
        <v>347.3422440632329</v>
      </c>
      <c r="F1406" s="3">
        <f t="shared" si="139"/>
        <v>-253.68209406611743</v>
      </c>
      <c r="G1406" s="3">
        <f t="shared" si="140"/>
        <v>6.3398500028845319</v>
      </c>
      <c r="H1406" s="3">
        <f t="shared" si="141"/>
        <v>347.3422440632329</v>
      </c>
      <c r="M1406" s="1">
        <f t="shared" si="136"/>
        <v>655</v>
      </c>
      <c r="N1406" s="38">
        <f>+M1406*'Failure Data'!F$3</f>
        <v>16.920833333333334</v>
      </c>
    </row>
    <row r="1407" spans="1:14" x14ac:dyDescent="0.15">
      <c r="A1407" s="1">
        <v>1398</v>
      </c>
      <c r="B1407" s="3">
        <f t="shared" si="137"/>
        <v>353.93299755148945</v>
      </c>
      <c r="C1407" s="8"/>
      <c r="D1407" s="3">
        <f t="shared" si="138"/>
        <v>347.59314754860486</v>
      </c>
      <c r="F1407" s="3">
        <f t="shared" si="139"/>
        <v>-253.93299755148945</v>
      </c>
      <c r="G1407" s="3">
        <f t="shared" si="140"/>
        <v>6.3398500028845888</v>
      </c>
      <c r="H1407" s="3">
        <f t="shared" si="141"/>
        <v>347.59314754860486</v>
      </c>
      <c r="M1407" s="1">
        <f t="shared" si="136"/>
        <v>656</v>
      </c>
      <c r="N1407" s="38">
        <f>+M1407*'Failure Data'!F$3</f>
        <v>16.946666666666665</v>
      </c>
    </row>
    <row r="1408" spans="1:14" x14ac:dyDescent="0.15">
      <c r="A1408" s="1">
        <v>1399</v>
      </c>
      <c r="B1408" s="3">
        <f t="shared" si="137"/>
        <v>354.18390103686141</v>
      </c>
      <c r="C1408" s="8"/>
      <c r="D1408" s="3">
        <f t="shared" si="138"/>
        <v>347.84405103397688</v>
      </c>
      <c r="F1408" s="3">
        <f t="shared" si="139"/>
        <v>-254.18390103686141</v>
      </c>
      <c r="G1408" s="3">
        <f t="shared" si="140"/>
        <v>6.3398500028845319</v>
      </c>
      <c r="H1408" s="3">
        <f t="shared" si="141"/>
        <v>347.84405103397688</v>
      </c>
      <c r="M1408" s="1">
        <f t="shared" si="136"/>
        <v>657</v>
      </c>
      <c r="N1408" s="38">
        <f>+M1408*'Failure Data'!F$3</f>
        <v>16.9725</v>
      </c>
    </row>
    <row r="1409" spans="1:14" x14ac:dyDescent="0.15">
      <c r="A1409" s="1">
        <v>1400</v>
      </c>
      <c r="B1409" s="3">
        <f t="shared" si="137"/>
        <v>354.43480452223343</v>
      </c>
      <c r="C1409" s="8"/>
      <c r="D1409" s="3">
        <f t="shared" si="138"/>
        <v>348.09495451934885</v>
      </c>
      <c r="F1409" s="3">
        <f t="shared" si="139"/>
        <v>-254.43480452223343</v>
      </c>
      <c r="G1409" s="3">
        <f t="shared" si="140"/>
        <v>6.3398500028845888</v>
      </c>
      <c r="H1409" s="3">
        <f t="shared" si="141"/>
        <v>348.09495451934885</v>
      </c>
      <c r="M1409" s="1">
        <f t="shared" ref="M1409:M1472" si="142">M1408+1</f>
        <v>658</v>
      </c>
      <c r="N1409" s="38">
        <f>+M1409*'Failure Data'!F$3</f>
        <v>16.998333333333335</v>
      </c>
    </row>
    <row r="1410" spans="1:14" x14ac:dyDescent="0.15">
      <c r="A1410" s="1">
        <v>1401</v>
      </c>
      <c r="B1410" s="3">
        <f t="shared" si="137"/>
        <v>354.6857080076054</v>
      </c>
      <c r="C1410" s="8"/>
      <c r="D1410" s="3">
        <f t="shared" si="138"/>
        <v>348.34585800472087</v>
      </c>
      <c r="F1410" s="3">
        <f t="shared" si="139"/>
        <v>-254.6857080076054</v>
      </c>
      <c r="G1410" s="3">
        <f t="shared" si="140"/>
        <v>6.3398500028845319</v>
      </c>
      <c r="H1410" s="3">
        <f t="shared" si="141"/>
        <v>348.34585800472087</v>
      </c>
      <c r="M1410" s="1">
        <f t="shared" si="142"/>
        <v>659</v>
      </c>
      <c r="N1410" s="38">
        <f>+M1410*'Failure Data'!F$3</f>
        <v>17.024166666666666</v>
      </c>
    </row>
    <row r="1411" spans="1:14" x14ac:dyDescent="0.15">
      <c r="A1411" s="1">
        <v>1402</v>
      </c>
      <c r="B1411" s="3">
        <f t="shared" si="137"/>
        <v>354.93661149297742</v>
      </c>
      <c r="C1411" s="8"/>
      <c r="D1411" s="3">
        <f t="shared" si="138"/>
        <v>348.59676149009283</v>
      </c>
      <c r="F1411" s="3">
        <f t="shared" si="139"/>
        <v>-254.93661149297742</v>
      </c>
      <c r="G1411" s="3">
        <f t="shared" si="140"/>
        <v>6.3398500028845888</v>
      </c>
      <c r="H1411" s="3">
        <f t="shared" si="141"/>
        <v>348.59676149009283</v>
      </c>
      <c r="M1411" s="1">
        <f t="shared" si="142"/>
        <v>660</v>
      </c>
      <c r="N1411" s="38">
        <f>+M1411*'Failure Data'!F$3</f>
        <v>17.05</v>
      </c>
    </row>
    <row r="1412" spans="1:14" x14ac:dyDescent="0.15">
      <c r="A1412" s="1">
        <v>1403</v>
      </c>
      <c r="B1412" s="3">
        <f t="shared" si="137"/>
        <v>355.18751497834938</v>
      </c>
      <c r="C1412" s="8"/>
      <c r="D1412" s="3">
        <f t="shared" si="138"/>
        <v>348.84766497546485</v>
      </c>
      <c r="F1412" s="3">
        <f t="shared" si="139"/>
        <v>-255.18751497834938</v>
      </c>
      <c r="G1412" s="3">
        <f t="shared" si="140"/>
        <v>6.3398500028845319</v>
      </c>
      <c r="H1412" s="3">
        <f t="shared" si="141"/>
        <v>348.84766497546485</v>
      </c>
      <c r="M1412" s="1">
        <f t="shared" si="142"/>
        <v>661</v>
      </c>
      <c r="N1412" s="38">
        <f>+M1412*'Failure Data'!F$3</f>
        <v>17.075833333333332</v>
      </c>
    </row>
    <row r="1413" spans="1:14" x14ac:dyDescent="0.15">
      <c r="A1413" s="1">
        <v>1404</v>
      </c>
      <c r="B1413" s="3">
        <f t="shared" si="137"/>
        <v>355.4384184637214</v>
      </c>
      <c r="C1413" s="8"/>
      <c r="D1413" s="3">
        <f t="shared" si="138"/>
        <v>349.09856846083682</v>
      </c>
      <c r="F1413" s="3">
        <f t="shared" si="139"/>
        <v>-255.4384184637214</v>
      </c>
      <c r="G1413" s="3">
        <f t="shared" si="140"/>
        <v>6.3398500028845888</v>
      </c>
      <c r="H1413" s="3">
        <f t="shared" si="141"/>
        <v>349.09856846083682</v>
      </c>
      <c r="M1413" s="1">
        <f t="shared" si="142"/>
        <v>662</v>
      </c>
      <c r="N1413" s="38">
        <f>+M1413*'Failure Data'!F$3</f>
        <v>17.101666666666667</v>
      </c>
    </row>
    <row r="1414" spans="1:14" x14ac:dyDescent="0.15">
      <c r="A1414" s="1">
        <v>1405</v>
      </c>
      <c r="B1414" s="3">
        <f t="shared" si="137"/>
        <v>355.68932194909337</v>
      </c>
      <c r="C1414" s="8"/>
      <c r="D1414" s="3">
        <f t="shared" si="138"/>
        <v>349.34947194620884</v>
      </c>
      <c r="F1414" s="3">
        <f t="shared" si="139"/>
        <v>-255.68932194909337</v>
      </c>
      <c r="G1414" s="3">
        <f t="shared" si="140"/>
        <v>6.3398500028845319</v>
      </c>
      <c r="H1414" s="3">
        <f t="shared" si="141"/>
        <v>349.34947194620884</v>
      </c>
      <c r="M1414" s="1">
        <f t="shared" si="142"/>
        <v>663</v>
      </c>
      <c r="N1414" s="38">
        <f>+M1414*'Failure Data'!F$3</f>
        <v>17.127500000000001</v>
      </c>
    </row>
    <row r="1415" spans="1:14" x14ac:dyDescent="0.15">
      <c r="A1415" s="1">
        <v>1406</v>
      </c>
      <c r="B1415" s="3">
        <f t="shared" si="137"/>
        <v>355.94022543446539</v>
      </c>
      <c r="C1415" s="8"/>
      <c r="D1415" s="3">
        <f t="shared" si="138"/>
        <v>349.6003754315808</v>
      </c>
      <c r="F1415" s="3">
        <f t="shared" si="139"/>
        <v>-255.94022543446539</v>
      </c>
      <c r="G1415" s="3">
        <f t="shared" si="140"/>
        <v>6.3398500028845888</v>
      </c>
      <c r="H1415" s="3">
        <f t="shared" si="141"/>
        <v>349.6003754315808</v>
      </c>
      <c r="M1415" s="1">
        <f t="shared" si="142"/>
        <v>664</v>
      </c>
      <c r="N1415" s="38">
        <f>+M1415*'Failure Data'!F$3</f>
        <v>17.153333333333332</v>
      </c>
    </row>
    <row r="1416" spans="1:14" x14ac:dyDescent="0.15">
      <c r="A1416" s="1">
        <v>1407</v>
      </c>
      <c r="B1416" s="3">
        <f t="shared" si="137"/>
        <v>356.19112891983735</v>
      </c>
      <c r="C1416" s="8"/>
      <c r="D1416" s="3">
        <f t="shared" si="138"/>
        <v>349.85127891695282</v>
      </c>
      <c r="F1416" s="3">
        <f t="shared" si="139"/>
        <v>-256.19112891983735</v>
      </c>
      <c r="G1416" s="3">
        <f t="shared" si="140"/>
        <v>6.3398500028845319</v>
      </c>
      <c r="H1416" s="3">
        <f t="shared" si="141"/>
        <v>349.85127891695282</v>
      </c>
      <c r="M1416" s="1">
        <f t="shared" si="142"/>
        <v>665</v>
      </c>
      <c r="N1416" s="38">
        <f>+M1416*'Failure Data'!F$3</f>
        <v>17.179166666666667</v>
      </c>
    </row>
    <row r="1417" spans="1:14" x14ac:dyDescent="0.15">
      <c r="A1417" s="1">
        <v>1408</v>
      </c>
      <c r="B1417" s="3">
        <f t="shared" si="137"/>
        <v>356.44203240520937</v>
      </c>
      <c r="C1417" s="8"/>
      <c r="D1417" s="3">
        <f t="shared" si="138"/>
        <v>350.10218240232479</v>
      </c>
      <c r="F1417" s="3">
        <f t="shared" si="139"/>
        <v>-256.44203240520937</v>
      </c>
      <c r="G1417" s="3">
        <f t="shared" si="140"/>
        <v>6.3398500028845888</v>
      </c>
      <c r="H1417" s="3">
        <f t="shared" si="141"/>
        <v>350.10218240232479</v>
      </c>
      <c r="M1417" s="1">
        <f t="shared" si="142"/>
        <v>666</v>
      </c>
      <c r="N1417" s="38">
        <f>+M1417*'Failure Data'!F$3</f>
        <v>17.204999999999998</v>
      </c>
    </row>
    <row r="1418" spans="1:14" x14ac:dyDescent="0.15">
      <c r="A1418" s="1">
        <v>1409</v>
      </c>
      <c r="B1418" s="3">
        <f t="shared" si="137"/>
        <v>356.69293589058134</v>
      </c>
      <c r="C1418" s="8"/>
      <c r="D1418" s="3">
        <f t="shared" si="138"/>
        <v>350.35308588769681</v>
      </c>
      <c r="F1418" s="3">
        <f t="shared" si="139"/>
        <v>-256.69293589058134</v>
      </c>
      <c r="G1418" s="3">
        <f t="shared" si="140"/>
        <v>6.3398500028845319</v>
      </c>
      <c r="H1418" s="3">
        <f t="shared" si="141"/>
        <v>350.35308588769681</v>
      </c>
      <c r="M1418" s="1">
        <f t="shared" si="142"/>
        <v>667</v>
      </c>
      <c r="N1418" s="38">
        <f>+M1418*'Failure Data'!F$3</f>
        <v>17.230833333333333</v>
      </c>
    </row>
    <row r="1419" spans="1:14" x14ac:dyDescent="0.15">
      <c r="A1419" s="1">
        <v>1410</v>
      </c>
      <c r="B1419" s="3">
        <f t="shared" si="137"/>
        <v>356.94383937595336</v>
      </c>
      <c r="C1419" s="8"/>
      <c r="D1419" s="3">
        <f t="shared" si="138"/>
        <v>350.60398937306877</v>
      </c>
      <c r="F1419" s="3">
        <f t="shared" si="139"/>
        <v>-256.94383937595336</v>
      </c>
      <c r="G1419" s="3">
        <f t="shared" si="140"/>
        <v>6.3398500028845888</v>
      </c>
      <c r="H1419" s="3">
        <f t="shared" si="141"/>
        <v>350.60398937306877</v>
      </c>
      <c r="M1419" s="1">
        <f t="shared" si="142"/>
        <v>668</v>
      </c>
      <c r="N1419" s="38">
        <f>+M1419*'Failure Data'!F$3</f>
        <v>17.256666666666668</v>
      </c>
    </row>
    <row r="1420" spans="1:14" x14ac:dyDescent="0.15">
      <c r="A1420" s="1">
        <v>1411</v>
      </c>
      <c r="B1420" s="3">
        <f t="shared" si="137"/>
        <v>357.19474286132532</v>
      </c>
      <c r="C1420" s="8"/>
      <c r="D1420" s="3">
        <f t="shared" si="138"/>
        <v>350.85489285844079</v>
      </c>
      <c r="F1420" s="3">
        <f t="shared" si="139"/>
        <v>-257.19474286132532</v>
      </c>
      <c r="G1420" s="3">
        <f t="shared" si="140"/>
        <v>6.3398500028845319</v>
      </c>
      <c r="H1420" s="3">
        <f t="shared" si="141"/>
        <v>350.85489285844079</v>
      </c>
      <c r="M1420" s="1">
        <f t="shared" si="142"/>
        <v>669</v>
      </c>
      <c r="N1420" s="38">
        <f>+M1420*'Failure Data'!F$3</f>
        <v>17.282499999999999</v>
      </c>
    </row>
    <row r="1421" spans="1:14" x14ac:dyDescent="0.15">
      <c r="A1421" s="1">
        <v>1412</v>
      </c>
      <c r="B1421" s="3">
        <f t="shared" si="137"/>
        <v>357.44564634669734</v>
      </c>
      <c r="C1421" s="8"/>
      <c r="D1421" s="3">
        <f t="shared" si="138"/>
        <v>351.10579634381276</v>
      </c>
      <c r="F1421" s="3">
        <f t="shared" si="139"/>
        <v>-257.44564634669734</v>
      </c>
      <c r="G1421" s="3">
        <f t="shared" si="140"/>
        <v>6.3398500028845888</v>
      </c>
      <c r="H1421" s="3">
        <f t="shared" si="141"/>
        <v>351.10579634381276</v>
      </c>
      <c r="M1421" s="1">
        <f t="shared" si="142"/>
        <v>670</v>
      </c>
      <c r="N1421" s="38">
        <f>+M1421*'Failure Data'!F$3</f>
        <v>17.308333333333334</v>
      </c>
    </row>
    <row r="1422" spans="1:14" x14ac:dyDescent="0.15">
      <c r="A1422" s="1">
        <v>1413</v>
      </c>
      <c r="B1422" s="3">
        <f t="shared" si="137"/>
        <v>357.69654983206931</v>
      </c>
      <c r="C1422" s="8"/>
      <c r="D1422" s="3">
        <f t="shared" si="138"/>
        <v>351.35669982918478</v>
      </c>
      <c r="F1422" s="3">
        <f t="shared" si="139"/>
        <v>-257.69654983206931</v>
      </c>
      <c r="G1422" s="3">
        <f t="shared" si="140"/>
        <v>6.3398500028845319</v>
      </c>
      <c r="H1422" s="3">
        <f t="shared" si="141"/>
        <v>351.35669982918478</v>
      </c>
      <c r="M1422" s="1">
        <f t="shared" si="142"/>
        <v>671</v>
      </c>
      <c r="N1422" s="38">
        <f>+M1422*'Failure Data'!F$3</f>
        <v>17.334166666666668</v>
      </c>
    </row>
    <row r="1423" spans="1:14" x14ac:dyDescent="0.15">
      <c r="A1423" s="1">
        <v>1414</v>
      </c>
      <c r="B1423" s="3">
        <f t="shared" si="137"/>
        <v>357.94745331744133</v>
      </c>
      <c r="C1423" s="8"/>
      <c r="D1423" s="3">
        <f t="shared" si="138"/>
        <v>351.60760331455674</v>
      </c>
      <c r="F1423" s="3">
        <f t="shared" si="139"/>
        <v>-257.94745331744133</v>
      </c>
      <c r="G1423" s="3">
        <f t="shared" si="140"/>
        <v>6.3398500028845888</v>
      </c>
      <c r="H1423" s="3">
        <f t="shared" si="141"/>
        <v>351.60760331455674</v>
      </c>
      <c r="M1423" s="1">
        <f t="shared" si="142"/>
        <v>672</v>
      </c>
      <c r="N1423" s="38">
        <f>+M1423*'Failure Data'!F$3</f>
        <v>17.36</v>
      </c>
    </row>
    <row r="1424" spans="1:14" x14ac:dyDescent="0.15">
      <c r="A1424" s="1">
        <v>1415</v>
      </c>
      <c r="B1424" s="3">
        <f t="shared" si="137"/>
        <v>358.19835680281335</v>
      </c>
      <c r="C1424" s="8"/>
      <c r="D1424" s="3">
        <f t="shared" si="138"/>
        <v>351.85850679992876</v>
      </c>
      <c r="F1424" s="3">
        <f t="shared" si="139"/>
        <v>-258.19835680281335</v>
      </c>
      <c r="G1424" s="3">
        <f t="shared" si="140"/>
        <v>6.3398500028845888</v>
      </c>
      <c r="H1424" s="3">
        <f t="shared" si="141"/>
        <v>351.85850679992876</v>
      </c>
      <c r="M1424" s="1">
        <f t="shared" si="142"/>
        <v>673</v>
      </c>
      <c r="N1424" s="38">
        <f>+M1424*'Failure Data'!F$3</f>
        <v>17.385833333333334</v>
      </c>
    </row>
    <row r="1425" spans="1:14" x14ac:dyDescent="0.15">
      <c r="A1425" s="1">
        <v>1416</v>
      </c>
      <c r="B1425" s="3">
        <f t="shared" si="137"/>
        <v>358.44926028818531</v>
      </c>
      <c r="C1425" s="8"/>
      <c r="D1425" s="3">
        <f t="shared" si="138"/>
        <v>352.10941028530073</v>
      </c>
      <c r="F1425" s="3">
        <f t="shared" si="139"/>
        <v>-258.44926028818531</v>
      </c>
      <c r="G1425" s="3">
        <f t="shared" si="140"/>
        <v>6.3398500028845888</v>
      </c>
      <c r="H1425" s="3">
        <f t="shared" si="141"/>
        <v>352.10941028530073</v>
      </c>
      <c r="M1425" s="1">
        <f t="shared" si="142"/>
        <v>674</v>
      </c>
      <c r="N1425" s="38">
        <f>+M1425*'Failure Data'!F$3</f>
        <v>17.411666666666665</v>
      </c>
    </row>
    <row r="1426" spans="1:14" x14ac:dyDescent="0.15">
      <c r="A1426" s="1">
        <v>1417</v>
      </c>
      <c r="B1426" s="3">
        <f t="shared" si="137"/>
        <v>358.70016377355734</v>
      </c>
      <c r="C1426" s="8"/>
      <c r="D1426" s="3">
        <f t="shared" si="138"/>
        <v>352.36031377067275</v>
      </c>
      <c r="F1426" s="3">
        <f t="shared" si="139"/>
        <v>-258.70016377355734</v>
      </c>
      <c r="G1426" s="3">
        <f t="shared" si="140"/>
        <v>6.3398500028845888</v>
      </c>
      <c r="H1426" s="3">
        <f t="shared" si="141"/>
        <v>352.36031377067275</v>
      </c>
      <c r="M1426" s="1">
        <f t="shared" si="142"/>
        <v>675</v>
      </c>
      <c r="N1426" s="38">
        <f>+M1426*'Failure Data'!F$3</f>
        <v>17.4375</v>
      </c>
    </row>
    <row r="1427" spans="1:14" x14ac:dyDescent="0.15">
      <c r="A1427" s="1">
        <v>1418</v>
      </c>
      <c r="B1427" s="3">
        <f t="shared" si="137"/>
        <v>358.9510672589293</v>
      </c>
      <c r="C1427" s="8"/>
      <c r="D1427" s="3">
        <f t="shared" si="138"/>
        <v>352.61121725604471</v>
      </c>
      <c r="F1427" s="3">
        <f t="shared" si="139"/>
        <v>-258.9510672589293</v>
      </c>
      <c r="G1427" s="3">
        <f t="shared" si="140"/>
        <v>6.3398500028845888</v>
      </c>
      <c r="H1427" s="3">
        <f t="shared" si="141"/>
        <v>352.61121725604471</v>
      </c>
      <c r="M1427" s="1">
        <f t="shared" si="142"/>
        <v>676</v>
      </c>
      <c r="N1427" s="38">
        <f>+M1427*'Failure Data'!F$3</f>
        <v>17.463333333333335</v>
      </c>
    </row>
    <row r="1428" spans="1:14" x14ac:dyDescent="0.15">
      <c r="A1428" s="1">
        <v>1419</v>
      </c>
      <c r="B1428" s="3">
        <f t="shared" si="137"/>
        <v>359.20197074430132</v>
      </c>
      <c r="C1428" s="8"/>
      <c r="D1428" s="3">
        <f t="shared" si="138"/>
        <v>352.86212074141673</v>
      </c>
      <c r="F1428" s="3">
        <f t="shared" si="139"/>
        <v>-259.20197074430132</v>
      </c>
      <c r="G1428" s="3">
        <f t="shared" si="140"/>
        <v>6.3398500028845888</v>
      </c>
      <c r="H1428" s="3">
        <f t="shared" si="141"/>
        <v>352.86212074141673</v>
      </c>
      <c r="M1428" s="1">
        <f t="shared" si="142"/>
        <v>677</v>
      </c>
      <c r="N1428" s="38">
        <f>+M1428*'Failure Data'!F$3</f>
        <v>17.489166666666666</v>
      </c>
    </row>
    <row r="1429" spans="1:14" x14ac:dyDescent="0.15">
      <c r="A1429" s="1">
        <v>1420</v>
      </c>
      <c r="B1429" s="3">
        <f t="shared" si="137"/>
        <v>359.45287422967328</v>
      </c>
      <c r="C1429" s="8"/>
      <c r="D1429" s="3">
        <f t="shared" si="138"/>
        <v>353.11302422678875</v>
      </c>
      <c r="F1429" s="3">
        <f t="shared" si="139"/>
        <v>-259.45287422967328</v>
      </c>
      <c r="G1429" s="3">
        <f t="shared" si="140"/>
        <v>6.3398500028845319</v>
      </c>
      <c r="H1429" s="3">
        <f t="shared" si="141"/>
        <v>353.11302422678875</v>
      </c>
      <c r="M1429" s="1">
        <f t="shared" si="142"/>
        <v>678</v>
      </c>
      <c r="N1429" s="38">
        <f>+M1429*'Failure Data'!F$3</f>
        <v>17.515000000000001</v>
      </c>
    </row>
    <row r="1430" spans="1:14" x14ac:dyDescent="0.15">
      <c r="A1430" s="1">
        <v>1421</v>
      </c>
      <c r="B1430" s="3">
        <f t="shared" si="137"/>
        <v>359.70377771504531</v>
      </c>
      <c r="C1430" s="8"/>
      <c r="D1430" s="3">
        <f t="shared" si="138"/>
        <v>353.36392771216072</v>
      </c>
      <c r="F1430" s="3">
        <f t="shared" si="139"/>
        <v>-259.70377771504531</v>
      </c>
      <c r="G1430" s="3">
        <f t="shared" si="140"/>
        <v>6.3398500028845888</v>
      </c>
      <c r="H1430" s="3">
        <f t="shared" si="141"/>
        <v>353.36392771216072</v>
      </c>
      <c r="M1430" s="1">
        <f t="shared" si="142"/>
        <v>679</v>
      </c>
      <c r="N1430" s="38">
        <f>+M1430*'Failure Data'!F$3</f>
        <v>17.540833333333332</v>
      </c>
    </row>
    <row r="1431" spans="1:14" x14ac:dyDescent="0.15">
      <c r="A1431" s="1">
        <v>1422</v>
      </c>
      <c r="B1431" s="3">
        <f t="shared" si="137"/>
        <v>359.95468120041727</v>
      </c>
      <c r="C1431" s="8"/>
      <c r="D1431" s="3">
        <f t="shared" si="138"/>
        <v>353.61483119753274</v>
      </c>
      <c r="F1431" s="3">
        <f t="shared" si="139"/>
        <v>-259.95468120041727</v>
      </c>
      <c r="G1431" s="3">
        <f t="shared" si="140"/>
        <v>6.3398500028845319</v>
      </c>
      <c r="H1431" s="3">
        <f t="shared" si="141"/>
        <v>353.61483119753274</v>
      </c>
      <c r="M1431" s="1">
        <f t="shared" si="142"/>
        <v>680</v>
      </c>
      <c r="N1431" s="38">
        <f>+M1431*'Failure Data'!F$3</f>
        <v>17.566666666666666</v>
      </c>
    </row>
    <row r="1432" spans="1:14" x14ac:dyDescent="0.15">
      <c r="A1432" s="1">
        <v>1423</v>
      </c>
      <c r="B1432" s="3">
        <f t="shared" si="137"/>
        <v>360.20558468578929</v>
      </c>
      <c r="C1432" s="8"/>
      <c r="D1432" s="3">
        <f t="shared" si="138"/>
        <v>353.8657346829047</v>
      </c>
      <c r="F1432" s="3">
        <f t="shared" si="139"/>
        <v>-260.20558468578929</v>
      </c>
      <c r="G1432" s="3">
        <f t="shared" si="140"/>
        <v>6.3398500028845888</v>
      </c>
      <c r="H1432" s="3">
        <f t="shared" si="141"/>
        <v>353.8657346829047</v>
      </c>
      <c r="M1432" s="1">
        <f t="shared" si="142"/>
        <v>681</v>
      </c>
      <c r="N1432" s="38">
        <f>+M1432*'Failure Data'!F$3</f>
        <v>17.592500000000001</v>
      </c>
    </row>
    <row r="1433" spans="1:14" x14ac:dyDescent="0.15">
      <c r="A1433" s="1">
        <v>1424</v>
      </c>
      <c r="B1433" s="3">
        <f t="shared" si="137"/>
        <v>360.45648817116125</v>
      </c>
      <c r="C1433" s="8"/>
      <c r="D1433" s="3">
        <f t="shared" si="138"/>
        <v>354.11663816827672</v>
      </c>
      <c r="F1433" s="3">
        <f t="shared" si="139"/>
        <v>-260.45648817116125</v>
      </c>
      <c r="G1433" s="3">
        <f t="shared" si="140"/>
        <v>6.3398500028845319</v>
      </c>
      <c r="H1433" s="3">
        <f t="shared" si="141"/>
        <v>354.11663816827672</v>
      </c>
      <c r="M1433" s="1">
        <f t="shared" si="142"/>
        <v>682</v>
      </c>
      <c r="N1433" s="38">
        <f>+M1433*'Failure Data'!F$3</f>
        <v>17.618333333333332</v>
      </c>
    </row>
    <row r="1434" spans="1:14" x14ac:dyDescent="0.15">
      <c r="A1434" s="1">
        <v>1425</v>
      </c>
      <c r="B1434" s="3">
        <f t="shared" si="137"/>
        <v>360.70739165653328</v>
      </c>
      <c r="C1434" s="8"/>
      <c r="D1434" s="3">
        <f t="shared" si="138"/>
        <v>354.36754165364869</v>
      </c>
      <c r="F1434" s="3">
        <f t="shared" si="139"/>
        <v>-260.70739165653328</v>
      </c>
      <c r="G1434" s="3">
        <f t="shared" si="140"/>
        <v>6.3398500028845888</v>
      </c>
      <c r="H1434" s="3">
        <f t="shared" si="141"/>
        <v>354.36754165364869</v>
      </c>
      <c r="M1434" s="1">
        <f t="shared" si="142"/>
        <v>683</v>
      </c>
      <c r="N1434" s="38">
        <f>+M1434*'Failure Data'!F$3</f>
        <v>17.644166666666667</v>
      </c>
    </row>
    <row r="1435" spans="1:14" x14ac:dyDescent="0.15">
      <c r="A1435" s="1">
        <v>1426</v>
      </c>
      <c r="B1435" s="3">
        <f t="shared" si="137"/>
        <v>360.95829514190524</v>
      </c>
      <c r="C1435" s="8"/>
      <c r="D1435" s="3">
        <f t="shared" si="138"/>
        <v>354.61844513902071</v>
      </c>
      <c r="F1435" s="3">
        <f t="shared" si="139"/>
        <v>-260.95829514190524</v>
      </c>
      <c r="G1435" s="3">
        <f t="shared" si="140"/>
        <v>6.3398500028845319</v>
      </c>
      <c r="H1435" s="3">
        <f t="shared" si="141"/>
        <v>354.61844513902071</v>
      </c>
      <c r="M1435" s="1">
        <f t="shared" si="142"/>
        <v>684</v>
      </c>
      <c r="N1435" s="38">
        <f>+M1435*'Failure Data'!F$3</f>
        <v>17.669999999999998</v>
      </c>
    </row>
    <row r="1436" spans="1:14" x14ac:dyDescent="0.15">
      <c r="A1436" s="1">
        <v>1427</v>
      </c>
      <c r="B1436" s="3">
        <f t="shared" si="137"/>
        <v>361.20919862727726</v>
      </c>
      <c r="C1436" s="8"/>
      <c r="D1436" s="3">
        <f t="shared" si="138"/>
        <v>354.86934862439267</v>
      </c>
      <c r="F1436" s="3">
        <f t="shared" si="139"/>
        <v>-261.20919862727726</v>
      </c>
      <c r="G1436" s="3">
        <f t="shared" si="140"/>
        <v>6.3398500028845888</v>
      </c>
      <c r="H1436" s="3">
        <f t="shared" si="141"/>
        <v>354.86934862439267</v>
      </c>
      <c r="M1436" s="1">
        <f t="shared" si="142"/>
        <v>685</v>
      </c>
      <c r="N1436" s="38">
        <f>+M1436*'Failure Data'!F$3</f>
        <v>17.695833333333333</v>
      </c>
    </row>
    <row r="1437" spans="1:14" x14ac:dyDescent="0.15">
      <c r="A1437" s="1">
        <v>1428</v>
      </c>
      <c r="B1437" s="3">
        <f t="shared" si="137"/>
        <v>361.46010211264922</v>
      </c>
      <c r="C1437" s="8"/>
      <c r="D1437" s="3">
        <f t="shared" si="138"/>
        <v>355.12025210976469</v>
      </c>
      <c r="F1437" s="3">
        <f t="shared" si="139"/>
        <v>-261.46010211264922</v>
      </c>
      <c r="G1437" s="3">
        <f t="shared" si="140"/>
        <v>6.3398500028845319</v>
      </c>
      <c r="H1437" s="3">
        <f t="shared" si="141"/>
        <v>355.12025210976469</v>
      </c>
      <c r="M1437" s="1">
        <f t="shared" si="142"/>
        <v>686</v>
      </c>
      <c r="N1437" s="38">
        <f>+M1437*'Failure Data'!F$3</f>
        <v>17.721666666666668</v>
      </c>
    </row>
    <row r="1438" spans="1:14" x14ac:dyDescent="0.15">
      <c r="A1438" s="1">
        <v>1429</v>
      </c>
      <c r="B1438" s="3">
        <f t="shared" si="137"/>
        <v>361.71100559802125</v>
      </c>
      <c r="C1438" s="8"/>
      <c r="D1438" s="3">
        <f t="shared" si="138"/>
        <v>355.37115559513666</v>
      </c>
      <c r="F1438" s="3">
        <f t="shared" si="139"/>
        <v>-261.71100559802125</v>
      </c>
      <c r="G1438" s="3">
        <f t="shared" si="140"/>
        <v>6.3398500028845888</v>
      </c>
      <c r="H1438" s="3">
        <f t="shared" si="141"/>
        <v>355.37115559513666</v>
      </c>
      <c r="M1438" s="1">
        <f t="shared" si="142"/>
        <v>687</v>
      </c>
      <c r="N1438" s="38">
        <f>+M1438*'Failure Data'!F$3</f>
        <v>17.747499999999999</v>
      </c>
    </row>
    <row r="1439" spans="1:14" x14ac:dyDescent="0.15">
      <c r="A1439" s="1">
        <v>1430</v>
      </c>
      <c r="B1439" s="3">
        <f t="shared" si="137"/>
        <v>361.96190908339321</v>
      </c>
      <c r="C1439" s="8"/>
      <c r="D1439" s="3">
        <f t="shared" si="138"/>
        <v>355.62205908050868</v>
      </c>
      <c r="F1439" s="3">
        <f t="shared" si="139"/>
        <v>-261.96190908339321</v>
      </c>
      <c r="G1439" s="3">
        <f t="shared" si="140"/>
        <v>6.3398500028845319</v>
      </c>
      <c r="H1439" s="3">
        <f t="shared" si="141"/>
        <v>355.62205908050868</v>
      </c>
      <c r="M1439" s="1">
        <f t="shared" si="142"/>
        <v>688</v>
      </c>
      <c r="N1439" s="38">
        <f>+M1439*'Failure Data'!F$3</f>
        <v>17.773333333333333</v>
      </c>
    </row>
    <row r="1440" spans="1:14" x14ac:dyDescent="0.15">
      <c r="A1440" s="1">
        <v>1431</v>
      </c>
      <c r="B1440" s="3">
        <f t="shared" si="137"/>
        <v>362.21281256876523</v>
      </c>
      <c r="C1440" s="8"/>
      <c r="D1440" s="3">
        <f t="shared" si="138"/>
        <v>355.87296256588064</v>
      </c>
      <c r="F1440" s="3">
        <f t="shared" si="139"/>
        <v>-262.21281256876523</v>
      </c>
      <c r="G1440" s="3">
        <f t="shared" si="140"/>
        <v>6.3398500028845888</v>
      </c>
      <c r="H1440" s="3">
        <f t="shared" si="141"/>
        <v>355.87296256588064</v>
      </c>
      <c r="M1440" s="1">
        <f t="shared" si="142"/>
        <v>689</v>
      </c>
      <c r="N1440" s="38">
        <f>+M1440*'Failure Data'!F$3</f>
        <v>17.799166666666668</v>
      </c>
    </row>
    <row r="1441" spans="1:14" x14ac:dyDescent="0.15">
      <c r="A1441" s="1">
        <v>1432</v>
      </c>
      <c r="B1441" s="3">
        <f t="shared" si="137"/>
        <v>362.46371605413719</v>
      </c>
      <c r="C1441" s="8"/>
      <c r="D1441" s="3">
        <f t="shared" si="138"/>
        <v>356.12386605125266</v>
      </c>
      <c r="F1441" s="3">
        <f t="shared" si="139"/>
        <v>-262.46371605413719</v>
      </c>
      <c r="G1441" s="3">
        <f t="shared" si="140"/>
        <v>6.3398500028845319</v>
      </c>
      <c r="H1441" s="3">
        <f t="shared" si="141"/>
        <v>356.12386605125266</v>
      </c>
      <c r="M1441" s="1">
        <f t="shared" si="142"/>
        <v>690</v>
      </c>
      <c r="N1441" s="38">
        <f>+M1441*'Failure Data'!F$3</f>
        <v>17.824999999999999</v>
      </c>
    </row>
    <row r="1442" spans="1:14" x14ac:dyDescent="0.15">
      <c r="A1442" s="1">
        <v>1433</v>
      </c>
      <c r="B1442" s="3">
        <f t="shared" si="137"/>
        <v>362.71461953950921</v>
      </c>
      <c r="C1442" s="8"/>
      <c r="D1442" s="3">
        <f t="shared" si="138"/>
        <v>356.37476953662463</v>
      </c>
      <c r="F1442" s="3">
        <f t="shared" si="139"/>
        <v>-262.71461953950921</v>
      </c>
      <c r="G1442" s="3">
        <f t="shared" si="140"/>
        <v>6.3398500028845888</v>
      </c>
      <c r="H1442" s="3">
        <f t="shared" si="141"/>
        <v>356.37476953662463</v>
      </c>
      <c r="M1442" s="1">
        <f t="shared" si="142"/>
        <v>691</v>
      </c>
      <c r="N1442" s="38">
        <f>+M1442*'Failure Data'!F$3</f>
        <v>17.850833333333334</v>
      </c>
    </row>
    <row r="1443" spans="1:14" x14ac:dyDescent="0.15">
      <c r="A1443" s="1">
        <v>1434</v>
      </c>
      <c r="B1443" s="3">
        <f t="shared" si="137"/>
        <v>362.96552302488118</v>
      </c>
      <c r="C1443" s="8"/>
      <c r="D1443" s="3">
        <f t="shared" si="138"/>
        <v>356.62567302199665</v>
      </c>
      <c r="F1443" s="3">
        <f t="shared" si="139"/>
        <v>-262.96552302488118</v>
      </c>
      <c r="G1443" s="3">
        <f t="shared" si="140"/>
        <v>6.3398500028845319</v>
      </c>
      <c r="H1443" s="3">
        <f t="shared" si="141"/>
        <v>356.62567302199665</v>
      </c>
      <c r="M1443" s="1">
        <f t="shared" si="142"/>
        <v>692</v>
      </c>
      <c r="N1443" s="38">
        <f>+M1443*'Failure Data'!F$3</f>
        <v>17.876666666666665</v>
      </c>
    </row>
    <row r="1444" spans="1:14" x14ac:dyDescent="0.15">
      <c r="A1444" s="1">
        <v>1435</v>
      </c>
      <c r="B1444" s="3">
        <f t="shared" si="137"/>
        <v>363.2164265102532</v>
      </c>
      <c r="C1444" s="8"/>
      <c r="D1444" s="3">
        <f t="shared" si="138"/>
        <v>356.87657650736861</v>
      </c>
      <c r="F1444" s="3">
        <f t="shared" si="139"/>
        <v>-263.2164265102532</v>
      </c>
      <c r="G1444" s="3">
        <f t="shared" si="140"/>
        <v>6.3398500028845888</v>
      </c>
      <c r="H1444" s="3">
        <f t="shared" si="141"/>
        <v>356.87657650736861</v>
      </c>
      <c r="M1444" s="1">
        <f t="shared" si="142"/>
        <v>693</v>
      </c>
      <c r="N1444" s="38">
        <f>+M1444*'Failure Data'!F$3</f>
        <v>17.9025</v>
      </c>
    </row>
    <row r="1445" spans="1:14" x14ac:dyDescent="0.15">
      <c r="A1445" s="1">
        <v>1436</v>
      </c>
      <c r="B1445" s="3">
        <f t="shared" si="137"/>
        <v>363.46732999562516</v>
      </c>
      <c r="C1445" s="8"/>
      <c r="D1445" s="3">
        <f t="shared" si="138"/>
        <v>357.12747999274063</v>
      </c>
      <c r="F1445" s="3">
        <f t="shared" si="139"/>
        <v>-263.46732999562516</v>
      </c>
      <c r="G1445" s="3">
        <f t="shared" si="140"/>
        <v>6.3398500028845319</v>
      </c>
      <c r="H1445" s="3">
        <f t="shared" si="141"/>
        <v>357.12747999274063</v>
      </c>
      <c r="M1445" s="1">
        <f t="shared" si="142"/>
        <v>694</v>
      </c>
      <c r="N1445" s="38">
        <f>+M1445*'Failure Data'!F$3</f>
        <v>17.928333333333335</v>
      </c>
    </row>
    <row r="1446" spans="1:14" x14ac:dyDescent="0.15">
      <c r="A1446" s="1">
        <v>1437</v>
      </c>
      <c r="B1446" s="3">
        <f t="shared" si="137"/>
        <v>363.71823348099718</v>
      </c>
      <c r="C1446" s="8"/>
      <c r="D1446" s="3">
        <f t="shared" si="138"/>
        <v>357.3783834781126</v>
      </c>
      <c r="F1446" s="3">
        <f t="shared" si="139"/>
        <v>-263.71823348099718</v>
      </c>
      <c r="G1446" s="3">
        <f t="shared" si="140"/>
        <v>6.3398500028845888</v>
      </c>
      <c r="H1446" s="3">
        <f t="shared" si="141"/>
        <v>357.3783834781126</v>
      </c>
      <c r="M1446" s="1">
        <f t="shared" si="142"/>
        <v>695</v>
      </c>
      <c r="N1446" s="38">
        <f>+M1446*'Failure Data'!F$3</f>
        <v>17.954166666666666</v>
      </c>
    </row>
    <row r="1447" spans="1:14" x14ac:dyDescent="0.15">
      <c r="A1447" s="1">
        <v>1438</v>
      </c>
      <c r="B1447" s="3">
        <f t="shared" si="137"/>
        <v>363.96913696636915</v>
      </c>
      <c r="C1447" s="8"/>
      <c r="D1447" s="3">
        <f t="shared" si="138"/>
        <v>357.62928696348462</v>
      </c>
      <c r="F1447" s="3">
        <f t="shared" si="139"/>
        <v>-263.96913696636915</v>
      </c>
      <c r="G1447" s="3">
        <f t="shared" si="140"/>
        <v>6.3398500028845319</v>
      </c>
      <c r="H1447" s="3">
        <f t="shared" si="141"/>
        <v>357.62928696348462</v>
      </c>
      <c r="M1447" s="1">
        <f t="shared" si="142"/>
        <v>696</v>
      </c>
      <c r="N1447" s="38">
        <f>+M1447*'Failure Data'!F$3</f>
        <v>17.98</v>
      </c>
    </row>
    <row r="1448" spans="1:14" x14ac:dyDescent="0.15">
      <c r="A1448" s="1">
        <v>1439</v>
      </c>
      <c r="B1448" s="3">
        <f t="shared" si="137"/>
        <v>364.22004045174117</v>
      </c>
      <c r="C1448" s="8"/>
      <c r="D1448" s="3">
        <f t="shared" si="138"/>
        <v>357.88019044885658</v>
      </c>
      <c r="F1448" s="3">
        <f t="shared" si="139"/>
        <v>-264.22004045174117</v>
      </c>
      <c r="G1448" s="3">
        <f t="shared" si="140"/>
        <v>6.3398500028845888</v>
      </c>
      <c r="H1448" s="3">
        <f t="shared" si="141"/>
        <v>357.88019044885658</v>
      </c>
      <c r="M1448" s="1">
        <f t="shared" si="142"/>
        <v>697</v>
      </c>
      <c r="N1448" s="38">
        <f>+M1448*'Failure Data'!F$3</f>
        <v>18.005833333333332</v>
      </c>
    </row>
    <row r="1449" spans="1:14" x14ac:dyDescent="0.15">
      <c r="A1449" s="1">
        <v>1440</v>
      </c>
      <c r="B1449" s="3">
        <f t="shared" si="137"/>
        <v>364.47094393711319</v>
      </c>
      <c r="C1449" s="8"/>
      <c r="D1449" s="3">
        <f t="shared" si="138"/>
        <v>358.1310939342286</v>
      </c>
      <c r="F1449" s="3">
        <f t="shared" si="139"/>
        <v>-264.47094393711319</v>
      </c>
      <c r="G1449" s="3">
        <f t="shared" si="140"/>
        <v>6.3398500028845888</v>
      </c>
      <c r="H1449" s="3">
        <f t="shared" si="141"/>
        <v>358.1310939342286</v>
      </c>
      <c r="M1449" s="1">
        <f t="shared" si="142"/>
        <v>698</v>
      </c>
      <c r="N1449" s="38">
        <f>+M1449*'Failure Data'!F$3</f>
        <v>18.031666666666666</v>
      </c>
    </row>
    <row r="1450" spans="1:14" x14ac:dyDescent="0.15">
      <c r="A1450" s="1">
        <v>1441</v>
      </c>
      <c r="B1450" s="3">
        <f t="shared" si="137"/>
        <v>364.72184742248515</v>
      </c>
      <c r="C1450" s="8"/>
      <c r="D1450" s="3">
        <f t="shared" si="138"/>
        <v>358.38199741960057</v>
      </c>
      <c r="F1450" s="3">
        <f t="shared" si="139"/>
        <v>-264.72184742248515</v>
      </c>
      <c r="G1450" s="3">
        <f t="shared" si="140"/>
        <v>6.3398500028845888</v>
      </c>
      <c r="H1450" s="3">
        <f t="shared" si="141"/>
        <v>358.38199741960057</v>
      </c>
      <c r="M1450" s="1">
        <f t="shared" si="142"/>
        <v>699</v>
      </c>
      <c r="N1450" s="38">
        <f>+M1450*'Failure Data'!F$3</f>
        <v>18.057500000000001</v>
      </c>
    </row>
    <row r="1451" spans="1:14" x14ac:dyDescent="0.15">
      <c r="A1451" s="1">
        <v>1442</v>
      </c>
      <c r="B1451" s="3">
        <f t="shared" si="137"/>
        <v>364.97275090785718</v>
      </c>
      <c r="C1451" s="8"/>
      <c r="D1451" s="3">
        <f t="shared" si="138"/>
        <v>358.63290090497259</v>
      </c>
      <c r="F1451" s="3">
        <f t="shared" si="139"/>
        <v>-264.97275090785718</v>
      </c>
      <c r="G1451" s="3">
        <f t="shared" si="140"/>
        <v>6.3398500028845888</v>
      </c>
      <c r="H1451" s="3">
        <f t="shared" si="141"/>
        <v>358.63290090497259</v>
      </c>
      <c r="M1451" s="1">
        <f t="shared" si="142"/>
        <v>700</v>
      </c>
      <c r="N1451" s="38">
        <f>+M1451*'Failure Data'!F$3</f>
        <v>18.083333333333332</v>
      </c>
    </row>
    <row r="1452" spans="1:14" x14ac:dyDescent="0.15">
      <c r="A1452" s="1">
        <v>1443</v>
      </c>
      <c r="B1452" s="3">
        <f t="shared" si="137"/>
        <v>365.22365439322914</v>
      </c>
      <c r="C1452" s="8"/>
      <c r="D1452" s="3">
        <f t="shared" si="138"/>
        <v>358.88380439034461</v>
      </c>
      <c r="F1452" s="3">
        <f t="shared" si="139"/>
        <v>-265.22365439322914</v>
      </c>
      <c r="G1452" s="3">
        <f t="shared" si="140"/>
        <v>6.3398500028845319</v>
      </c>
      <c r="H1452" s="3">
        <f t="shared" si="141"/>
        <v>358.88380439034461</v>
      </c>
      <c r="M1452" s="1">
        <f t="shared" si="142"/>
        <v>701</v>
      </c>
      <c r="N1452" s="38">
        <f>+M1452*'Failure Data'!F$3</f>
        <v>18.109166666666667</v>
      </c>
    </row>
    <row r="1453" spans="1:14" x14ac:dyDescent="0.15">
      <c r="A1453" s="1">
        <v>1444</v>
      </c>
      <c r="B1453" s="3">
        <f t="shared" si="137"/>
        <v>365.47455787860116</v>
      </c>
      <c r="C1453" s="8"/>
      <c r="D1453" s="3">
        <f t="shared" si="138"/>
        <v>359.13470787571657</v>
      </c>
      <c r="F1453" s="3">
        <f t="shared" si="139"/>
        <v>-265.47455787860116</v>
      </c>
      <c r="G1453" s="3">
        <f t="shared" si="140"/>
        <v>6.3398500028845888</v>
      </c>
      <c r="H1453" s="3">
        <f t="shared" si="141"/>
        <v>359.13470787571657</v>
      </c>
      <c r="M1453" s="1">
        <f t="shared" si="142"/>
        <v>702</v>
      </c>
      <c r="N1453" s="38">
        <f>+M1453*'Failure Data'!F$3</f>
        <v>18.135000000000002</v>
      </c>
    </row>
    <row r="1454" spans="1:14" x14ac:dyDescent="0.15">
      <c r="A1454" s="1">
        <v>1445</v>
      </c>
      <c r="B1454" s="3">
        <f t="shared" ref="B1454:B1517" si="143">+(B$4*A1454)+B$5</f>
        <v>365.72546136397312</v>
      </c>
      <c r="C1454" s="8"/>
      <c r="D1454" s="3">
        <f t="shared" ref="D1454:D1517" si="144">+(D$4*A1454)+D$5</f>
        <v>359.38561136108859</v>
      </c>
      <c r="F1454" s="3">
        <f t="shared" ref="F1454:F1517" si="145">+xmax-B1454</f>
        <v>-265.72546136397312</v>
      </c>
      <c r="G1454" s="3">
        <f t="shared" ref="G1454:G1517" si="146">+B1454-D1454</f>
        <v>6.3398500028845319</v>
      </c>
      <c r="H1454" s="3">
        <f t="shared" ref="H1454:H1517" si="147">D1454</f>
        <v>359.38561136108859</v>
      </c>
      <c r="M1454" s="1">
        <f t="shared" si="142"/>
        <v>703</v>
      </c>
      <c r="N1454" s="38">
        <f>+M1454*'Failure Data'!F$3</f>
        <v>18.160833333333333</v>
      </c>
    </row>
    <row r="1455" spans="1:14" x14ac:dyDescent="0.15">
      <c r="A1455" s="1">
        <v>1446</v>
      </c>
      <c r="B1455" s="3">
        <f t="shared" si="143"/>
        <v>365.97636484934515</v>
      </c>
      <c r="C1455" s="8"/>
      <c r="D1455" s="3">
        <f t="shared" si="144"/>
        <v>359.63651484646056</v>
      </c>
      <c r="F1455" s="3">
        <f t="shared" si="145"/>
        <v>-265.97636484934515</v>
      </c>
      <c r="G1455" s="3">
        <f t="shared" si="146"/>
        <v>6.3398500028845888</v>
      </c>
      <c r="H1455" s="3">
        <f t="shared" si="147"/>
        <v>359.63651484646056</v>
      </c>
      <c r="M1455" s="1">
        <f t="shared" si="142"/>
        <v>704</v>
      </c>
      <c r="N1455" s="38">
        <f>+M1455*'Failure Data'!F$3</f>
        <v>18.186666666666667</v>
      </c>
    </row>
    <row r="1456" spans="1:14" x14ac:dyDescent="0.15">
      <c r="A1456" s="1">
        <v>1447</v>
      </c>
      <c r="B1456" s="3">
        <f t="shared" si="143"/>
        <v>366.22726833471711</v>
      </c>
      <c r="C1456" s="8"/>
      <c r="D1456" s="3">
        <f t="shared" si="144"/>
        <v>359.88741833183258</v>
      </c>
      <c r="F1456" s="3">
        <f t="shared" si="145"/>
        <v>-266.22726833471711</v>
      </c>
      <c r="G1456" s="3">
        <f t="shared" si="146"/>
        <v>6.3398500028845319</v>
      </c>
      <c r="H1456" s="3">
        <f t="shared" si="147"/>
        <v>359.88741833183258</v>
      </c>
      <c r="M1456" s="1">
        <f t="shared" si="142"/>
        <v>705</v>
      </c>
      <c r="N1456" s="38">
        <f>+M1456*'Failure Data'!F$3</f>
        <v>18.212499999999999</v>
      </c>
    </row>
    <row r="1457" spans="1:14" x14ac:dyDescent="0.15">
      <c r="A1457" s="1">
        <v>1448</v>
      </c>
      <c r="B1457" s="3">
        <f t="shared" si="143"/>
        <v>366.47817182008913</v>
      </c>
      <c r="C1457" s="8"/>
      <c r="D1457" s="3">
        <f t="shared" si="144"/>
        <v>360.13832181720454</v>
      </c>
      <c r="F1457" s="3">
        <f t="shared" si="145"/>
        <v>-266.47817182008913</v>
      </c>
      <c r="G1457" s="3">
        <f t="shared" si="146"/>
        <v>6.3398500028845888</v>
      </c>
      <c r="H1457" s="3">
        <f t="shared" si="147"/>
        <v>360.13832181720454</v>
      </c>
      <c r="M1457" s="1">
        <f t="shared" si="142"/>
        <v>706</v>
      </c>
      <c r="N1457" s="38">
        <f>+M1457*'Failure Data'!F$3</f>
        <v>18.238333333333333</v>
      </c>
    </row>
    <row r="1458" spans="1:14" x14ac:dyDescent="0.15">
      <c r="A1458" s="1">
        <v>1449</v>
      </c>
      <c r="B1458" s="3">
        <f t="shared" si="143"/>
        <v>366.72907530546109</v>
      </c>
      <c r="C1458" s="8"/>
      <c r="D1458" s="3">
        <f t="shared" si="144"/>
        <v>360.38922530257656</v>
      </c>
      <c r="F1458" s="3">
        <f t="shared" si="145"/>
        <v>-266.72907530546109</v>
      </c>
      <c r="G1458" s="3">
        <f t="shared" si="146"/>
        <v>6.3398500028845319</v>
      </c>
      <c r="H1458" s="3">
        <f t="shared" si="147"/>
        <v>360.38922530257656</v>
      </c>
      <c r="M1458" s="1">
        <f t="shared" si="142"/>
        <v>707</v>
      </c>
      <c r="N1458" s="38">
        <f>+M1458*'Failure Data'!F$3</f>
        <v>18.264166666666668</v>
      </c>
    </row>
    <row r="1459" spans="1:14" x14ac:dyDescent="0.15">
      <c r="A1459" s="1">
        <v>1450</v>
      </c>
      <c r="B1459" s="3">
        <f t="shared" si="143"/>
        <v>366.97997879083312</v>
      </c>
      <c r="C1459" s="8"/>
      <c r="D1459" s="3">
        <f t="shared" si="144"/>
        <v>360.64012878794853</v>
      </c>
      <c r="F1459" s="3">
        <f t="shared" si="145"/>
        <v>-266.97997879083312</v>
      </c>
      <c r="G1459" s="3">
        <f t="shared" si="146"/>
        <v>6.3398500028845888</v>
      </c>
      <c r="H1459" s="3">
        <f t="shared" si="147"/>
        <v>360.64012878794853</v>
      </c>
      <c r="M1459" s="1">
        <f t="shared" si="142"/>
        <v>708</v>
      </c>
      <c r="N1459" s="38">
        <f>+M1459*'Failure Data'!F$3</f>
        <v>18.29</v>
      </c>
    </row>
    <row r="1460" spans="1:14" x14ac:dyDescent="0.15">
      <c r="A1460" s="1">
        <v>1451</v>
      </c>
      <c r="B1460" s="3">
        <f t="shared" si="143"/>
        <v>367.23088227620508</v>
      </c>
      <c r="C1460" s="8"/>
      <c r="D1460" s="3">
        <f t="shared" si="144"/>
        <v>360.89103227332055</v>
      </c>
      <c r="F1460" s="3">
        <f t="shared" si="145"/>
        <v>-267.23088227620508</v>
      </c>
      <c r="G1460" s="3">
        <f t="shared" si="146"/>
        <v>6.3398500028845319</v>
      </c>
      <c r="H1460" s="3">
        <f t="shared" si="147"/>
        <v>360.89103227332055</v>
      </c>
      <c r="M1460" s="1">
        <f t="shared" si="142"/>
        <v>709</v>
      </c>
      <c r="N1460" s="38">
        <f>+M1460*'Failure Data'!F$3</f>
        <v>18.315833333333334</v>
      </c>
    </row>
    <row r="1461" spans="1:14" x14ac:dyDescent="0.15">
      <c r="A1461" s="1">
        <v>1452</v>
      </c>
      <c r="B1461" s="3">
        <f t="shared" si="143"/>
        <v>367.4817857615771</v>
      </c>
      <c r="C1461" s="8"/>
      <c r="D1461" s="3">
        <f t="shared" si="144"/>
        <v>361.14193575869251</v>
      </c>
      <c r="F1461" s="3">
        <f t="shared" si="145"/>
        <v>-267.4817857615771</v>
      </c>
      <c r="G1461" s="3">
        <f t="shared" si="146"/>
        <v>6.3398500028845888</v>
      </c>
      <c r="H1461" s="3">
        <f t="shared" si="147"/>
        <v>361.14193575869251</v>
      </c>
      <c r="M1461" s="1">
        <f t="shared" si="142"/>
        <v>710</v>
      </c>
      <c r="N1461" s="38">
        <f>+M1461*'Failure Data'!F$3</f>
        <v>18.341666666666665</v>
      </c>
    </row>
    <row r="1462" spans="1:14" x14ac:dyDescent="0.15">
      <c r="A1462" s="1">
        <v>1453</v>
      </c>
      <c r="B1462" s="3">
        <f t="shared" si="143"/>
        <v>367.73268924694906</v>
      </c>
      <c r="C1462" s="8"/>
      <c r="D1462" s="3">
        <f t="shared" si="144"/>
        <v>361.39283924406453</v>
      </c>
      <c r="F1462" s="3">
        <f t="shared" si="145"/>
        <v>-267.73268924694906</v>
      </c>
      <c r="G1462" s="3">
        <f t="shared" si="146"/>
        <v>6.3398500028845319</v>
      </c>
      <c r="H1462" s="3">
        <f t="shared" si="147"/>
        <v>361.39283924406453</v>
      </c>
      <c r="M1462" s="1">
        <f t="shared" si="142"/>
        <v>711</v>
      </c>
      <c r="N1462" s="38">
        <f>+M1462*'Failure Data'!F$3</f>
        <v>18.3675</v>
      </c>
    </row>
    <row r="1463" spans="1:14" x14ac:dyDescent="0.15">
      <c r="A1463" s="1">
        <v>1454</v>
      </c>
      <c r="B1463" s="3">
        <f t="shared" si="143"/>
        <v>367.98359273232109</v>
      </c>
      <c r="C1463" s="8"/>
      <c r="D1463" s="3">
        <f t="shared" si="144"/>
        <v>361.6437427294365</v>
      </c>
      <c r="F1463" s="3">
        <f t="shared" si="145"/>
        <v>-267.98359273232109</v>
      </c>
      <c r="G1463" s="3">
        <f t="shared" si="146"/>
        <v>6.3398500028845888</v>
      </c>
      <c r="H1463" s="3">
        <f t="shared" si="147"/>
        <v>361.6437427294365</v>
      </c>
      <c r="M1463" s="1">
        <f t="shared" si="142"/>
        <v>712</v>
      </c>
      <c r="N1463" s="38">
        <f>+M1463*'Failure Data'!F$3</f>
        <v>18.393333333333334</v>
      </c>
    </row>
    <row r="1464" spans="1:14" x14ac:dyDescent="0.15">
      <c r="A1464" s="1">
        <v>1455</v>
      </c>
      <c r="B1464" s="3">
        <f t="shared" si="143"/>
        <v>368.23449621769305</v>
      </c>
      <c r="C1464" s="8"/>
      <c r="D1464" s="3">
        <f t="shared" si="144"/>
        <v>361.89464621480852</v>
      </c>
      <c r="F1464" s="3">
        <f t="shared" si="145"/>
        <v>-268.23449621769305</v>
      </c>
      <c r="G1464" s="3">
        <f t="shared" si="146"/>
        <v>6.3398500028845319</v>
      </c>
      <c r="H1464" s="3">
        <f t="shared" si="147"/>
        <v>361.89464621480852</v>
      </c>
      <c r="M1464" s="1">
        <f t="shared" si="142"/>
        <v>713</v>
      </c>
      <c r="N1464" s="38">
        <f>+M1464*'Failure Data'!F$3</f>
        <v>18.419166666666666</v>
      </c>
    </row>
    <row r="1465" spans="1:14" x14ac:dyDescent="0.15">
      <c r="A1465" s="1">
        <v>1456</v>
      </c>
      <c r="B1465" s="3">
        <f t="shared" si="143"/>
        <v>368.48539970306507</v>
      </c>
      <c r="C1465" s="8"/>
      <c r="D1465" s="3">
        <f t="shared" si="144"/>
        <v>362.14554970018048</v>
      </c>
      <c r="F1465" s="3">
        <f t="shared" si="145"/>
        <v>-268.48539970306507</v>
      </c>
      <c r="G1465" s="3">
        <f t="shared" si="146"/>
        <v>6.3398500028845888</v>
      </c>
      <c r="H1465" s="3">
        <f t="shared" si="147"/>
        <v>362.14554970018048</v>
      </c>
      <c r="M1465" s="1">
        <f t="shared" si="142"/>
        <v>714</v>
      </c>
      <c r="N1465" s="38">
        <f>+M1465*'Failure Data'!F$3</f>
        <v>18.445</v>
      </c>
    </row>
    <row r="1466" spans="1:14" x14ac:dyDescent="0.15">
      <c r="A1466" s="1">
        <v>1457</v>
      </c>
      <c r="B1466" s="3">
        <f t="shared" si="143"/>
        <v>368.73630318843703</v>
      </c>
      <c r="C1466" s="8"/>
      <c r="D1466" s="3">
        <f t="shared" si="144"/>
        <v>362.3964531855525</v>
      </c>
      <c r="F1466" s="3">
        <f t="shared" si="145"/>
        <v>-268.73630318843703</v>
      </c>
      <c r="G1466" s="3">
        <f t="shared" si="146"/>
        <v>6.3398500028845319</v>
      </c>
      <c r="H1466" s="3">
        <f t="shared" si="147"/>
        <v>362.3964531855525</v>
      </c>
      <c r="M1466" s="1">
        <f t="shared" si="142"/>
        <v>715</v>
      </c>
      <c r="N1466" s="38">
        <f>+M1466*'Failure Data'!F$3</f>
        <v>18.470833333333331</v>
      </c>
    </row>
    <row r="1467" spans="1:14" x14ac:dyDescent="0.15">
      <c r="A1467" s="1">
        <v>1458</v>
      </c>
      <c r="B1467" s="3">
        <f t="shared" si="143"/>
        <v>368.98720667380906</v>
      </c>
      <c r="C1467" s="8"/>
      <c r="D1467" s="3">
        <f t="shared" si="144"/>
        <v>362.64735667092447</v>
      </c>
      <c r="F1467" s="3">
        <f t="shared" si="145"/>
        <v>-268.98720667380906</v>
      </c>
      <c r="G1467" s="3">
        <f t="shared" si="146"/>
        <v>6.3398500028845888</v>
      </c>
      <c r="H1467" s="3">
        <f t="shared" si="147"/>
        <v>362.64735667092447</v>
      </c>
      <c r="M1467" s="1">
        <f t="shared" si="142"/>
        <v>716</v>
      </c>
      <c r="N1467" s="38">
        <f>+M1467*'Failure Data'!F$3</f>
        <v>18.496666666666666</v>
      </c>
    </row>
    <row r="1468" spans="1:14" x14ac:dyDescent="0.15">
      <c r="A1468" s="1">
        <v>1459</v>
      </c>
      <c r="B1468" s="3">
        <f t="shared" si="143"/>
        <v>369.23811015918102</v>
      </c>
      <c r="C1468" s="8"/>
      <c r="D1468" s="3">
        <f t="shared" si="144"/>
        <v>362.89826015629649</v>
      </c>
      <c r="F1468" s="3">
        <f t="shared" si="145"/>
        <v>-269.23811015918102</v>
      </c>
      <c r="G1468" s="3">
        <f t="shared" si="146"/>
        <v>6.3398500028845319</v>
      </c>
      <c r="H1468" s="3">
        <f t="shared" si="147"/>
        <v>362.89826015629649</v>
      </c>
      <c r="M1468" s="1">
        <f t="shared" si="142"/>
        <v>717</v>
      </c>
      <c r="N1468" s="38">
        <f>+M1468*'Failure Data'!F$3</f>
        <v>18.522500000000001</v>
      </c>
    </row>
    <row r="1469" spans="1:14" x14ac:dyDescent="0.15">
      <c r="A1469" s="1">
        <v>1460</v>
      </c>
      <c r="B1469" s="3">
        <f t="shared" si="143"/>
        <v>369.48901364455304</v>
      </c>
      <c r="C1469" s="8"/>
      <c r="D1469" s="3">
        <f t="shared" si="144"/>
        <v>363.14916364166845</v>
      </c>
      <c r="F1469" s="3">
        <f t="shared" si="145"/>
        <v>-269.48901364455304</v>
      </c>
      <c r="G1469" s="3">
        <f t="shared" si="146"/>
        <v>6.3398500028845888</v>
      </c>
      <c r="H1469" s="3">
        <f t="shared" si="147"/>
        <v>363.14916364166845</v>
      </c>
      <c r="M1469" s="1">
        <f t="shared" si="142"/>
        <v>718</v>
      </c>
      <c r="N1469" s="38">
        <f>+M1469*'Failure Data'!F$3</f>
        <v>18.548333333333332</v>
      </c>
    </row>
    <row r="1470" spans="1:14" x14ac:dyDescent="0.15">
      <c r="A1470" s="1">
        <v>1461</v>
      </c>
      <c r="B1470" s="3">
        <f t="shared" si="143"/>
        <v>369.739917129925</v>
      </c>
      <c r="C1470" s="8"/>
      <c r="D1470" s="3">
        <f t="shared" si="144"/>
        <v>363.40006712704047</v>
      </c>
      <c r="F1470" s="3">
        <f t="shared" si="145"/>
        <v>-269.739917129925</v>
      </c>
      <c r="G1470" s="3">
        <f t="shared" si="146"/>
        <v>6.3398500028845319</v>
      </c>
      <c r="H1470" s="3">
        <f t="shared" si="147"/>
        <v>363.40006712704047</v>
      </c>
      <c r="M1470" s="1">
        <f t="shared" si="142"/>
        <v>719</v>
      </c>
      <c r="N1470" s="38">
        <f>+M1470*'Failure Data'!F$3</f>
        <v>18.574166666666667</v>
      </c>
    </row>
    <row r="1471" spans="1:14" x14ac:dyDescent="0.15">
      <c r="A1471" s="1">
        <v>1462</v>
      </c>
      <c r="B1471" s="3">
        <f t="shared" si="143"/>
        <v>369.99082061529703</v>
      </c>
      <c r="C1471" s="8"/>
      <c r="D1471" s="3">
        <f t="shared" si="144"/>
        <v>363.65097061241244</v>
      </c>
      <c r="F1471" s="3">
        <f t="shared" si="145"/>
        <v>-269.99082061529703</v>
      </c>
      <c r="G1471" s="3">
        <f t="shared" si="146"/>
        <v>6.3398500028845888</v>
      </c>
      <c r="H1471" s="3">
        <f t="shared" si="147"/>
        <v>363.65097061241244</v>
      </c>
      <c r="M1471" s="1">
        <f t="shared" si="142"/>
        <v>720</v>
      </c>
      <c r="N1471" s="38">
        <f>+M1471*'Failure Data'!F$3</f>
        <v>18.600000000000001</v>
      </c>
    </row>
    <row r="1472" spans="1:14" x14ac:dyDescent="0.15">
      <c r="A1472" s="1">
        <v>1463</v>
      </c>
      <c r="B1472" s="3">
        <f t="shared" si="143"/>
        <v>370.24172410066905</v>
      </c>
      <c r="C1472" s="8"/>
      <c r="D1472" s="3">
        <f t="shared" si="144"/>
        <v>363.90187409778446</v>
      </c>
      <c r="F1472" s="3">
        <f t="shared" si="145"/>
        <v>-270.24172410066905</v>
      </c>
      <c r="G1472" s="3">
        <f t="shared" si="146"/>
        <v>6.3398500028845888</v>
      </c>
      <c r="H1472" s="3">
        <f t="shared" si="147"/>
        <v>363.90187409778446</v>
      </c>
      <c r="M1472" s="1">
        <f t="shared" si="142"/>
        <v>721</v>
      </c>
      <c r="N1472" s="38">
        <f>+M1472*'Failure Data'!F$3</f>
        <v>18.625833333333333</v>
      </c>
    </row>
    <row r="1473" spans="1:14" x14ac:dyDescent="0.15">
      <c r="A1473" s="1">
        <v>1464</v>
      </c>
      <c r="B1473" s="3">
        <f t="shared" si="143"/>
        <v>370.49262758604101</v>
      </c>
      <c r="C1473" s="8"/>
      <c r="D1473" s="3">
        <f t="shared" si="144"/>
        <v>364.15277758315642</v>
      </c>
      <c r="F1473" s="3">
        <f t="shared" si="145"/>
        <v>-270.49262758604101</v>
      </c>
      <c r="G1473" s="3">
        <f t="shared" si="146"/>
        <v>6.3398500028845888</v>
      </c>
      <c r="H1473" s="3">
        <f t="shared" si="147"/>
        <v>364.15277758315642</v>
      </c>
      <c r="M1473" s="1">
        <f t="shared" ref="M1473:M1536" si="148">M1472+1</f>
        <v>722</v>
      </c>
      <c r="N1473" s="38">
        <f>+M1473*'Failure Data'!F$3</f>
        <v>18.651666666666667</v>
      </c>
    </row>
    <row r="1474" spans="1:14" x14ac:dyDescent="0.15">
      <c r="A1474" s="1">
        <v>1465</v>
      </c>
      <c r="B1474" s="3">
        <f t="shared" si="143"/>
        <v>370.74353107141303</v>
      </c>
      <c r="C1474" s="8"/>
      <c r="D1474" s="3">
        <f t="shared" si="144"/>
        <v>364.40368106852844</v>
      </c>
      <c r="F1474" s="3">
        <f t="shared" si="145"/>
        <v>-270.74353107141303</v>
      </c>
      <c r="G1474" s="3">
        <f t="shared" si="146"/>
        <v>6.3398500028845888</v>
      </c>
      <c r="H1474" s="3">
        <f t="shared" si="147"/>
        <v>364.40368106852844</v>
      </c>
      <c r="M1474" s="1">
        <f t="shared" si="148"/>
        <v>723</v>
      </c>
      <c r="N1474" s="38">
        <f>+M1474*'Failure Data'!F$3</f>
        <v>18.677499999999998</v>
      </c>
    </row>
    <row r="1475" spans="1:14" x14ac:dyDescent="0.15">
      <c r="A1475" s="1">
        <v>1466</v>
      </c>
      <c r="B1475" s="3">
        <f t="shared" si="143"/>
        <v>370.994434556785</v>
      </c>
      <c r="C1475" s="8"/>
      <c r="D1475" s="3">
        <f t="shared" si="144"/>
        <v>364.65458455390041</v>
      </c>
      <c r="F1475" s="3">
        <f t="shared" si="145"/>
        <v>-270.994434556785</v>
      </c>
      <c r="G1475" s="3">
        <f t="shared" si="146"/>
        <v>6.3398500028845888</v>
      </c>
      <c r="H1475" s="3">
        <f t="shared" si="147"/>
        <v>364.65458455390041</v>
      </c>
      <c r="M1475" s="1">
        <f t="shared" si="148"/>
        <v>724</v>
      </c>
      <c r="N1475" s="38">
        <f>+M1475*'Failure Data'!F$3</f>
        <v>18.703333333333333</v>
      </c>
    </row>
    <row r="1476" spans="1:14" x14ac:dyDescent="0.15">
      <c r="A1476" s="1">
        <v>1467</v>
      </c>
      <c r="B1476" s="3">
        <f t="shared" si="143"/>
        <v>371.24533804215702</v>
      </c>
      <c r="C1476" s="8"/>
      <c r="D1476" s="3">
        <f t="shared" si="144"/>
        <v>364.90548803927243</v>
      </c>
      <c r="F1476" s="3">
        <f t="shared" si="145"/>
        <v>-271.24533804215702</v>
      </c>
      <c r="G1476" s="3">
        <f t="shared" si="146"/>
        <v>6.3398500028845888</v>
      </c>
      <c r="H1476" s="3">
        <f t="shared" si="147"/>
        <v>364.90548803927243</v>
      </c>
      <c r="M1476" s="1">
        <f t="shared" si="148"/>
        <v>725</v>
      </c>
      <c r="N1476" s="38">
        <f>+M1476*'Failure Data'!F$3</f>
        <v>18.729166666666668</v>
      </c>
    </row>
    <row r="1477" spans="1:14" x14ac:dyDescent="0.15">
      <c r="A1477" s="1">
        <v>1468</v>
      </c>
      <c r="B1477" s="3">
        <f t="shared" si="143"/>
        <v>371.49624152752898</v>
      </c>
      <c r="C1477" s="8"/>
      <c r="D1477" s="3">
        <f t="shared" si="144"/>
        <v>365.15639152464445</v>
      </c>
      <c r="F1477" s="3">
        <f t="shared" si="145"/>
        <v>-271.49624152752898</v>
      </c>
      <c r="G1477" s="3">
        <f t="shared" si="146"/>
        <v>6.3398500028845319</v>
      </c>
      <c r="H1477" s="3">
        <f t="shared" si="147"/>
        <v>365.15639152464445</v>
      </c>
      <c r="M1477" s="1">
        <f t="shared" si="148"/>
        <v>726</v>
      </c>
      <c r="N1477" s="38">
        <f>+M1477*'Failure Data'!F$3</f>
        <v>18.754999999999999</v>
      </c>
    </row>
    <row r="1478" spans="1:14" x14ac:dyDescent="0.15">
      <c r="A1478" s="1">
        <v>1469</v>
      </c>
      <c r="B1478" s="3">
        <f t="shared" si="143"/>
        <v>371.747145012901</v>
      </c>
      <c r="C1478" s="8"/>
      <c r="D1478" s="3">
        <f t="shared" si="144"/>
        <v>365.40729501001641</v>
      </c>
      <c r="F1478" s="3">
        <f t="shared" si="145"/>
        <v>-271.747145012901</v>
      </c>
      <c r="G1478" s="3">
        <f t="shared" si="146"/>
        <v>6.3398500028845888</v>
      </c>
      <c r="H1478" s="3">
        <f t="shared" si="147"/>
        <v>365.40729501001641</v>
      </c>
      <c r="M1478" s="1">
        <f t="shared" si="148"/>
        <v>727</v>
      </c>
      <c r="N1478" s="38">
        <f>+M1478*'Failure Data'!F$3</f>
        <v>18.780833333333334</v>
      </c>
    </row>
    <row r="1479" spans="1:14" x14ac:dyDescent="0.15">
      <c r="A1479" s="1">
        <v>1470</v>
      </c>
      <c r="B1479" s="3">
        <f t="shared" si="143"/>
        <v>371.99804849827296</v>
      </c>
      <c r="C1479" s="8"/>
      <c r="D1479" s="3">
        <f t="shared" si="144"/>
        <v>365.65819849538843</v>
      </c>
      <c r="F1479" s="3">
        <f t="shared" si="145"/>
        <v>-271.99804849827296</v>
      </c>
      <c r="G1479" s="3">
        <f t="shared" si="146"/>
        <v>6.3398500028845319</v>
      </c>
      <c r="H1479" s="3">
        <f t="shared" si="147"/>
        <v>365.65819849538843</v>
      </c>
      <c r="M1479" s="1">
        <f t="shared" si="148"/>
        <v>728</v>
      </c>
      <c r="N1479" s="38">
        <f>+M1479*'Failure Data'!F$3</f>
        <v>18.806666666666665</v>
      </c>
    </row>
    <row r="1480" spans="1:14" x14ac:dyDescent="0.15">
      <c r="A1480" s="1">
        <v>1471</v>
      </c>
      <c r="B1480" s="3">
        <f t="shared" si="143"/>
        <v>372.24895198364499</v>
      </c>
      <c r="C1480" s="8"/>
      <c r="D1480" s="3">
        <f t="shared" si="144"/>
        <v>365.9091019807604</v>
      </c>
      <c r="F1480" s="3">
        <f t="shared" si="145"/>
        <v>-272.24895198364499</v>
      </c>
      <c r="G1480" s="3">
        <f t="shared" si="146"/>
        <v>6.3398500028845888</v>
      </c>
      <c r="H1480" s="3">
        <f t="shared" si="147"/>
        <v>365.9091019807604</v>
      </c>
      <c r="M1480" s="1">
        <f t="shared" si="148"/>
        <v>729</v>
      </c>
      <c r="N1480" s="38">
        <f>+M1480*'Failure Data'!F$3</f>
        <v>18.8325</v>
      </c>
    </row>
    <row r="1481" spans="1:14" x14ac:dyDescent="0.15">
      <c r="A1481" s="1">
        <v>1472</v>
      </c>
      <c r="B1481" s="3">
        <f t="shared" si="143"/>
        <v>372.49985546901695</v>
      </c>
      <c r="C1481" s="8"/>
      <c r="D1481" s="3">
        <f t="shared" si="144"/>
        <v>366.16000546613242</v>
      </c>
      <c r="F1481" s="3">
        <f t="shared" si="145"/>
        <v>-272.49985546901695</v>
      </c>
      <c r="G1481" s="3">
        <f t="shared" si="146"/>
        <v>6.3398500028845319</v>
      </c>
      <c r="H1481" s="3">
        <f t="shared" si="147"/>
        <v>366.16000546613242</v>
      </c>
      <c r="M1481" s="1">
        <f t="shared" si="148"/>
        <v>730</v>
      </c>
      <c r="N1481" s="38">
        <f>+M1481*'Failure Data'!F$3</f>
        <v>18.858333333333334</v>
      </c>
    </row>
    <row r="1482" spans="1:14" x14ac:dyDescent="0.15">
      <c r="A1482" s="1">
        <v>1473</v>
      </c>
      <c r="B1482" s="3">
        <f t="shared" si="143"/>
        <v>372.75075895438897</v>
      </c>
      <c r="C1482" s="8"/>
      <c r="D1482" s="3">
        <f t="shared" si="144"/>
        <v>366.41090895150438</v>
      </c>
      <c r="F1482" s="3">
        <f t="shared" si="145"/>
        <v>-272.75075895438897</v>
      </c>
      <c r="G1482" s="3">
        <f t="shared" si="146"/>
        <v>6.3398500028845888</v>
      </c>
      <c r="H1482" s="3">
        <f t="shared" si="147"/>
        <v>366.41090895150438</v>
      </c>
      <c r="M1482" s="1">
        <f t="shared" si="148"/>
        <v>731</v>
      </c>
      <c r="N1482" s="38">
        <f>+M1482*'Failure Data'!F$3</f>
        <v>18.884166666666665</v>
      </c>
    </row>
    <row r="1483" spans="1:14" x14ac:dyDescent="0.15">
      <c r="A1483" s="1">
        <v>1474</v>
      </c>
      <c r="B1483" s="3">
        <f t="shared" si="143"/>
        <v>373.00166243976093</v>
      </c>
      <c r="C1483" s="8"/>
      <c r="D1483" s="3">
        <f t="shared" si="144"/>
        <v>366.6618124368764</v>
      </c>
      <c r="F1483" s="3">
        <f t="shared" si="145"/>
        <v>-273.00166243976093</v>
      </c>
      <c r="G1483" s="3">
        <f t="shared" si="146"/>
        <v>6.3398500028845319</v>
      </c>
      <c r="H1483" s="3">
        <f t="shared" si="147"/>
        <v>366.6618124368764</v>
      </c>
      <c r="M1483" s="1">
        <f t="shared" si="148"/>
        <v>732</v>
      </c>
      <c r="N1483" s="38">
        <f>+M1483*'Failure Data'!F$3</f>
        <v>18.91</v>
      </c>
    </row>
    <row r="1484" spans="1:14" x14ac:dyDescent="0.15">
      <c r="A1484" s="1">
        <v>1475</v>
      </c>
      <c r="B1484" s="3">
        <f t="shared" si="143"/>
        <v>373.25256592513296</v>
      </c>
      <c r="C1484" s="8"/>
      <c r="D1484" s="3">
        <f t="shared" si="144"/>
        <v>366.91271592224837</v>
      </c>
      <c r="F1484" s="3">
        <f t="shared" si="145"/>
        <v>-273.25256592513296</v>
      </c>
      <c r="G1484" s="3">
        <f t="shared" si="146"/>
        <v>6.3398500028845888</v>
      </c>
      <c r="H1484" s="3">
        <f t="shared" si="147"/>
        <v>366.91271592224837</v>
      </c>
      <c r="M1484" s="1">
        <f t="shared" si="148"/>
        <v>733</v>
      </c>
      <c r="N1484" s="38">
        <f>+M1484*'Failure Data'!F$3</f>
        <v>18.935833333333335</v>
      </c>
    </row>
    <row r="1485" spans="1:14" x14ac:dyDescent="0.15">
      <c r="A1485" s="1">
        <v>1476</v>
      </c>
      <c r="B1485" s="3">
        <f t="shared" si="143"/>
        <v>373.50346941050492</v>
      </c>
      <c r="C1485" s="8"/>
      <c r="D1485" s="3">
        <f t="shared" si="144"/>
        <v>367.16361940762039</v>
      </c>
      <c r="F1485" s="3">
        <f t="shared" si="145"/>
        <v>-273.50346941050492</v>
      </c>
      <c r="G1485" s="3">
        <f t="shared" si="146"/>
        <v>6.3398500028845319</v>
      </c>
      <c r="H1485" s="3">
        <f t="shared" si="147"/>
        <v>367.16361940762039</v>
      </c>
      <c r="M1485" s="1">
        <f t="shared" si="148"/>
        <v>734</v>
      </c>
      <c r="N1485" s="38">
        <f>+M1485*'Failure Data'!F$3</f>
        <v>18.961666666666666</v>
      </c>
    </row>
    <row r="1486" spans="1:14" x14ac:dyDescent="0.15">
      <c r="A1486" s="1">
        <v>1477</v>
      </c>
      <c r="B1486" s="3">
        <f t="shared" si="143"/>
        <v>373.75437289587694</v>
      </c>
      <c r="C1486" s="8"/>
      <c r="D1486" s="3">
        <f t="shared" si="144"/>
        <v>367.41452289299235</v>
      </c>
      <c r="F1486" s="3">
        <f t="shared" si="145"/>
        <v>-273.75437289587694</v>
      </c>
      <c r="G1486" s="3">
        <f t="shared" si="146"/>
        <v>6.3398500028845888</v>
      </c>
      <c r="H1486" s="3">
        <f t="shared" si="147"/>
        <v>367.41452289299235</v>
      </c>
      <c r="M1486" s="1">
        <f t="shared" si="148"/>
        <v>735</v>
      </c>
      <c r="N1486" s="38">
        <f>+M1486*'Failure Data'!F$3</f>
        <v>18.987500000000001</v>
      </c>
    </row>
    <row r="1487" spans="1:14" x14ac:dyDescent="0.15">
      <c r="A1487" s="1">
        <v>1478</v>
      </c>
      <c r="B1487" s="3">
        <f t="shared" si="143"/>
        <v>374.0052763812489</v>
      </c>
      <c r="C1487" s="8"/>
      <c r="D1487" s="3">
        <f t="shared" si="144"/>
        <v>367.66542637836437</v>
      </c>
      <c r="F1487" s="3">
        <f t="shared" si="145"/>
        <v>-274.0052763812489</v>
      </c>
      <c r="G1487" s="3">
        <f t="shared" si="146"/>
        <v>6.3398500028845319</v>
      </c>
      <c r="H1487" s="3">
        <f t="shared" si="147"/>
        <v>367.66542637836437</v>
      </c>
      <c r="M1487" s="1">
        <f t="shared" si="148"/>
        <v>736</v>
      </c>
      <c r="N1487" s="38">
        <f>+M1487*'Failure Data'!F$3</f>
        <v>19.013333333333332</v>
      </c>
    </row>
    <row r="1488" spans="1:14" x14ac:dyDescent="0.15">
      <c r="A1488" s="1">
        <v>1479</v>
      </c>
      <c r="B1488" s="3">
        <f t="shared" si="143"/>
        <v>374.25617986662093</v>
      </c>
      <c r="C1488" s="8"/>
      <c r="D1488" s="3">
        <f t="shared" si="144"/>
        <v>367.91632986373634</v>
      </c>
      <c r="F1488" s="3">
        <f t="shared" si="145"/>
        <v>-274.25617986662093</v>
      </c>
      <c r="G1488" s="3">
        <f t="shared" si="146"/>
        <v>6.3398500028845888</v>
      </c>
      <c r="H1488" s="3">
        <f t="shared" si="147"/>
        <v>367.91632986373634</v>
      </c>
      <c r="M1488" s="1">
        <f t="shared" si="148"/>
        <v>737</v>
      </c>
      <c r="N1488" s="38">
        <f>+M1488*'Failure Data'!F$3</f>
        <v>19.039166666666667</v>
      </c>
    </row>
    <row r="1489" spans="1:14" x14ac:dyDescent="0.15">
      <c r="A1489" s="1">
        <v>1480</v>
      </c>
      <c r="B1489" s="3">
        <f t="shared" si="143"/>
        <v>374.50708335199289</v>
      </c>
      <c r="C1489" s="8"/>
      <c r="D1489" s="3">
        <f t="shared" si="144"/>
        <v>368.16723334910836</v>
      </c>
      <c r="F1489" s="3">
        <f t="shared" si="145"/>
        <v>-274.50708335199289</v>
      </c>
      <c r="G1489" s="3">
        <f t="shared" si="146"/>
        <v>6.3398500028845319</v>
      </c>
      <c r="H1489" s="3">
        <f t="shared" si="147"/>
        <v>368.16723334910836</v>
      </c>
      <c r="M1489" s="1">
        <f t="shared" si="148"/>
        <v>738</v>
      </c>
      <c r="N1489" s="38">
        <f>+M1489*'Failure Data'!F$3</f>
        <v>19.065000000000001</v>
      </c>
    </row>
    <row r="1490" spans="1:14" x14ac:dyDescent="0.15">
      <c r="A1490" s="1">
        <v>1481</v>
      </c>
      <c r="B1490" s="3">
        <f t="shared" si="143"/>
        <v>374.75798683736491</v>
      </c>
      <c r="C1490" s="8"/>
      <c r="D1490" s="3">
        <f t="shared" si="144"/>
        <v>368.41813683448032</v>
      </c>
      <c r="F1490" s="3">
        <f t="shared" si="145"/>
        <v>-274.75798683736491</v>
      </c>
      <c r="G1490" s="3">
        <f t="shared" si="146"/>
        <v>6.3398500028845888</v>
      </c>
      <c r="H1490" s="3">
        <f t="shared" si="147"/>
        <v>368.41813683448032</v>
      </c>
      <c r="M1490" s="1">
        <f t="shared" si="148"/>
        <v>739</v>
      </c>
      <c r="N1490" s="38">
        <f>+M1490*'Failure Data'!F$3</f>
        <v>19.090833333333332</v>
      </c>
    </row>
    <row r="1491" spans="1:14" x14ac:dyDescent="0.15">
      <c r="A1491" s="1">
        <v>1482</v>
      </c>
      <c r="B1491" s="3">
        <f t="shared" si="143"/>
        <v>375.00889032273687</v>
      </c>
      <c r="C1491" s="8"/>
      <c r="D1491" s="3">
        <f t="shared" si="144"/>
        <v>368.66904031985234</v>
      </c>
      <c r="F1491" s="3">
        <f t="shared" si="145"/>
        <v>-275.00889032273687</v>
      </c>
      <c r="G1491" s="3">
        <f t="shared" si="146"/>
        <v>6.3398500028845319</v>
      </c>
      <c r="H1491" s="3">
        <f t="shared" si="147"/>
        <v>368.66904031985234</v>
      </c>
      <c r="M1491" s="1">
        <f t="shared" si="148"/>
        <v>740</v>
      </c>
      <c r="N1491" s="38">
        <f>+M1491*'Failure Data'!F$3</f>
        <v>19.116666666666667</v>
      </c>
    </row>
    <row r="1492" spans="1:14" x14ac:dyDescent="0.15">
      <c r="A1492" s="1">
        <v>1483</v>
      </c>
      <c r="B1492" s="3">
        <f t="shared" si="143"/>
        <v>375.2597938081089</v>
      </c>
      <c r="C1492" s="8"/>
      <c r="D1492" s="3">
        <f t="shared" si="144"/>
        <v>368.91994380522431</v>
      </c>
      <c r="F1492" s="3">
        <f t="shared" si="145"/>
        <v>-275.2597938081089</v>
      </c>
      <c r="G1492" s="3">
        <f t="shared" si="146"/>
        <v>6.3398500028845888</v>
      </c>
      <c r="H1492" s="3">
        <f t="shared" si="147"/>
        <v>368.91994380522431</v>
      </c>
      <c r="M1492" s="1">
        <f t="shared" si="148"/>
        <v>741</v>
      </c>
      <c r="N1492" s="38">
        <f>+M1492*'Failure Data'!F$3</f>
        <v>19.142499999999998</v>
      </c>
    </row>
    <row r="1493" spans="1:14" x14ac:dyDescent="0.15">
      <c r="A1493" s="1">
        <v>1484</v>
      </c>
      <c r="B1493" s="3">
        <f t="shared" si="143"/>
        <v>375.51069729348086</v>
      </c>
      <c r="C1493" s="8"/>
      <c r="D1493" s="3">
        <f t="shared" si="144"/>
        <v>369.17084729059633</v>
      </c>
      <c r="F1493" s="3">
        <f t="shared" si="145"/>
        <v>-275.51069729348086</v>
      </c>
      <c r="G1493" s="3">
        <f t="shared" si="146"/>
        <v>6.3398500028845319</v>
      </c>
      <c r="H1493" s="3">
        <f t="shared" si="147"/>
        <v>369.17084729059633</v>
      </c>
      <c r="M1493" s="1">
        <f t="shared" si="148"/>
        <v>742</v>
      </c>
      <c r="N1493" s="38">
        <f>+M1493*'Failure Data'!F$3</f>
        <v>19.168333333333333</v>
      </c>
    </row>
    <row r="1494" spans="1:14" x14ac:dyDescent="0.15">
      <c r="A1494" s="1">
        <v>1485</v>
      </c>
      <c r="B1494" s="3">
        <f t="shared" si="143"/>
        <v>375.76160077885288</v>
      </c>
      <c r="C1494" s="8"/>
      <c r="D1494" s="3">
        <f t="shared" si="144"/>
        <v>369.42175077596829</v>
      </c>
      <c r="F1494" s="3">
        <f t="shared" si="145"/>
        <v>-275.76160077885288</v>
      </c>
      <c r="G1494" s="3">
        <f t="shared" si="146"/>
        <v>6.3398500028845888</v>
      </c>
      <c r="H1494" s="3">
        <f t="shared" si="147"/>
        <v>369.42175077596829</v>
      </c>
      <c r="M1494" s="1">
        <f t="shared" si="148"/>
        <v>743</v>
      </c>
      <c r="N1494" s="38">
        <f>+M1494*'Failure Data'!F$3</f>
        <v>19.194166666666668</v>
      </c>
    </row>
    <row r="1495" spans="1:14" x14ac:dyDescent="0.15">
      <c r="A1495" s="1">
        <v>1486</v>
      </c>
      <c r="B1495" s="3">
        <f t="shared" si="143"/>
        <v>376.01250426422484</v>
      </c>
      <c r="C1495" s="8"/>
      <c r="D1495" s="3">
        <f t="shared" si="144"/>
        <v>369.67265426134031</v>
      </c>
      <c r="F1495" s="3">
        <f t="shared" si="145"/>
        <v>-276.01250426422484</v>
      </c>
      <c r="G1495" s="3">
        <f t="shared" si="146"/>
        <v>6.3398500028845319</v>
      </c>
      <c r="H1495" s="3">
        <f t="shared" si="147"/>
        <v>369.67265426134031</v>
      </c>
      <c r="M1495" s="1">
        <f t="shared" si="148"/>
        <v>744</v>
      </c>
      <c r="N1495" s="38">
        <f>+M1495*'Failure Data'!F$3</f>
        <v>19.22</v>
      </c>
    </row>
    <row r="1496" spans="1:14" x14ac:dyDescent="0.15">
      <c r="A1496" s="1">
        <v>1487</v>
      </c>
      <c r="B1496" s="3">
        <f t="shared" si="143"/>
        <v>376.26340774959687</v>
      </c>
      <c r="C1496" s="8"/>
      <c r="D1496" s="3">
        <f t="shared" si="144"/>
        <v>369.92355774671228</v>
      </c>
      <c r="F1496" s="3">
        <f t="shared" si="145"/>
        <v>-276.26340774959687</v>
      </c>
      <c r="G1496" s="3">
        <f t="shared" si="146"/>
        <v>6.3398500028845888</v>
      </c>
      <c r="H1496" s="3">
        <f t="shared" si="147"/>
        <v>369.92355774671228</v>
      </c>
      <c r="M1496" s="1">
        <f t="shared" si="148"/>
        <v>745</v>
      </c>
      <c r="N1496" s="38">
        <f>+M1496*'Failure Data'!F$3</f>
        <v>19.245833333333334</v>
      </c>
    </row>
    <row r="1497" spans="1:14" x14ac:dyDescent="0.15">
      <c r="A1497" s="1">
        <v>1488</v>
      </c>
      <c r="B1497" s="3">
        <f t="shared" si="143"/>
        <v>376.51431123496889</v>
      </c>
      <c r="C1497" s="8"/>
      <c r="D1497" s="3">
        <f t="shared" si="144"/>
        <v>370.1744612320843</v>
      </c>
      <c r="F1497" s="3">
        <f t="shared" si="145"/>
        <v>-276.51431123496889</v>
      </c>
      <c r="G1497" s="3">
        <f t="shared" si="146"/>
        <v>6.3398500028845888</v>
      </c>
      <c r="H1497" s="3">
        <f t="shared" si="147"/>
        <v>370.1744612320843</v>
      </c>
      <c r="M1497" s="1">
        <f t="shared" si="148"/>
        <v>746</v>
      </c>
      <c r="N1497" s="38">
        <f>+M1497*'Failure Data'!F$3</f>
        <v>19.271666666666668</v>
      </c>
    </row>
    <row r="1498" spans="1:14" x14ac:dyDescent="0.15">
      <c r="A1498" s="1">
        <v>1489</v>
      </c>
      <c r="B1498" s="3">
        <f t="shared" si="143"/>
        <v>376.76521472034085</v>
      </c>
      <c r="C1498" s="8"/>
      <c r="D1498" s="3">
        <f t="shared" si="144"/>
        <v>370.42536471745626</v>
      </c>
      <c r="F1498" s="3">
        <f t="shared" si="145"/>
        <v>-276.76521472034085</v>
      </c>
      <c r="G1498" s="3">
        <f t="shared" si="146"/>
        <v>6.3398500028845888</v>
      </c>
      <c r="H1498" s="3">
        <f t="shared" si="147"/>
        <v>370.42536471745626</v>
      </c>
      <c r="M1498" s="1">
        <f t="shared" si="148"/>
        <v>747</v>
      </c>
      <c r="N1498" s="38">
        <f>+M1498*'Failure Data'!F$3</f>
        <v>19.297499999999999</v>
      </c>
    </row>
    <row r="1499" spans="1:14" x14ac:dyDescent="0.15">
      <c r="A1499" s="1">
        <v>1490</v>
      </c>
      <c r="B1499" s="3">
        <f t="shared" si="143"/>
        <v>377.01611820571287</v>
      </c>
      <c r="C1499" s="8"/>
      <c r="D1499" s="3">
        <f t="shared" si="144"/>
        <v>370.67626820282828</v>
      </c>
      <c r="F1499" s="3">
        <f t="shared" si="145"/>
        <v>-277.01611820571287</v>
      </c>
      <c r="G1499" s="3">
        <f t="shared" si="146"/>
        <v>6.3398500028845888</v>
      </c>
      <c r="H1499" s="3">
        <f t="shared" si="147"/>
        <v>370.67626820282828</v>
      </c>
      <c r="M1499" s="1">
        <f t="shared" si="148"/>
        <v>748</v>
      </c>
      <c r="N1499" s="38">
        <f>+M1499*'Failure Data'!F$3</f>
        <v>19.323333333333334</v>
      </c>
    </row>
    <row r="1500" spans="1:14" x14ac:dyDescent="0.15">
      <c r="A1500" s="1">
        <v>1491</v>
      </c>
      <c r="B1500" s="3">
        <f t="shared" si="143"/>
        <v>377.26702169108484</v>
      </c>
      <c r="C1500" s="8"/>
      <c r="D1500" s="3">
        <f t="shared" si="144"/>
        <v>370.9271716882003</v>
      </c>
      <c r="F1500" s="3">
        <f t="shared" si="145"/>
        <v>-277.26702169108484</v>
      </c>
      <c r="G1500" s="3">
        <f t="shared" si="146"/>
        <v>6.3398500028845319</v>
      </c>
      <c r="H1500" s="3">
        <f t="shared" si="147"/>
        <v>370.9271716882003</v>
      </c>
      <c r="M1500" s="1">
        <f t="shared" si="148"/>
        <v>749</v>
      </c>
      <c r="N1500" s="38">
        <f>+M1500*'Failure Data'!F$3</f>
        <v>19.349166666666665</v>
      </c>
    </row>
    <row r="1501" spans="1:14" x14ac:dyDescent="0.15">
      <c r="A1501" s="1">
        <v>1492</v>
      </c>
      <c r="B1501" s="3">
        <f t="shared" si="143"/>
        <v>377.51792517645686</v>
      </c>
      <c r="C1501" s="8"/>
      <c r="D1501" s="3">
        <f t="shared" si="144"/>
        <v>371.17807517357227</v>
      </c>
      <c r="F1501" s="3">
        <f t="shared" si="145"/>
        <v>-277.51792517645686</v>
      </c>
      <c r="G1501" s="3">
        <f t="shared" si="146"/>
        <v>6.3398500028845888</v>
      </c>
      <c r="H1501" s="3">
        <f t="shared" si="147"/>
        <v>371.17807517357227</v>
      </c>
      <c r="M1501" s="1">
        <f t="shared" si="148"/>
        <v>750</v>
      </c>
      <c r="N1501" s="38">
        <f>+M1501*'Failure Data'!F$3</f>
        <v>19.375</v>
      </c>
    </row>
    <row r="1502" spans="1:14" x14ac:dyDescent="0.15">
      <c r="A1502" s="1">
        <v>1493</v>
      </c>
      <c r="B1502" s="3">
        <f t="shared" si="143"/>
        <v>377.76882866182882</v>
      </c>
      <c r="C1502" s="8"/>
      <c r="D1502" s="3">
        <f t="shared" si="144"/>
        <v>371.42897865894429</v>
      </c>
      <c r="F1502" s="3">
        <f t="shared" si="145"/>
        <v>-277.76882866182882</v>
      </c>
      <c r="G1502" s="3">
        <f t="shared" si="146"/>
        <v>6.3398500028845319</v>
      </c>
      <c r="H1502" s="3">
        <f t="shared" si="147"/>
        <v>371.42897865894429</v>
      </c>
      <c r="M1502" s="1">
        <f t="shared" si="148"/>
        <v>751</v>
      </c>
      <c r="N1502" s="38">
        <f>+M1502*'Failure Data'!F$3</f>
        <v>19.400833333333335</v>
      </c>
    </row>
    <row r="1503" spans="1:14" x14ac:dyDescent="0.15">
      <c r="A1503" s="1">
        <v>1494</v>
      </c>
      <c r="B1503" s="3">
        <f t="shared" si="143"/>
        <v>378.01973214720084</v>
      </c>
      <c r="C1503" s="8"/>
      <c r="D1503" s="3">
        <f t="shared" si="144"/>
        <v>371.67988214431625</v>
      </c>
      <c r="F1503" s="3">
        <f t="shared" si="145"/>
        <v>-278.01973214720084</v>
      </c>
      <c r="G1503" s="3">
        <f t="shared" si="146"/>
        <v>6.3398500028845888</v>
      </c>
      <c r="H1503" s="3">
        <f t="shared" si="147"/>
        <v>371.67988214431625</v>
      </c>
      <c r="M1503" s="1">
        <f t="shared" si="148"/>
        <v>752</v>
      </c>
      <c r="N1503" s="38">
        <f>+M1503*'Failure Data'!F$3</f>
        <v>19.426666666666666</v>
      </c>
    </row>
    <row r="1504" spans="1:14" x14ac:dyDescent="0.15">
      <c r="A1504" s="1">
        <v>1495</v>
      </c>
      <c r="B1504" s="3">
        <f t="shared" si="143"/>
        <v>378.27063563257281</v>
      </c>
      <c r="C1504" s="8"/>
      <c r="D1504" s="3">
        <f t="shared" si="144"/>
        <v>371.93078562968827</v>
      </c>
      <c r="F1504" s="3">
        <f t="shared" si="145"/>
        <v>-278.27063563257281</v>
      </c>
      <c r="G1504" s="3">
        <f t="shared" si="146"/>
        <v>6.3398500028845319</v>
      </c>
      <c r="H1504" s="3">
        <f t="shared" si="147"/>
        <v>371.93078562968827</v>
      </c>
      <c r="M1504" s="1">
        <f t="shared" si="148"/>
        <v>753</v>
      </c>
      <c r="N1504" s="38">
        <f>+M1504*'Failure Data'!F$3</f>
        <v>19.452500000000001</v>
      </c>
    </row>
    <row r="1505" spans="1:14" x14ac:dyDescent="0.15">
      <c r="A1505" s="1">
        <v>1496</v>
      </c>
      <c r="B1505" s="3">
        <f t="shared" si="143"/>
        <v>378.52153911794483</v>
      </c>
      <c r="C1505" s="8"/>
      <c r="D1505" s="3">
        <f t="shared" si="144"/>
        <v>372.18168911506024</v>
      </c>
      <c r="F1505" s="3">
        <f t="shared" si="145"/>
        <v>-278.52153911794483</v>
      </c>
      <c r="G1505" s="3">
        <f t="shared" si="146"/>
        <v>6.3398500028845888</v>
      </c>
      <c r="H1505" s="3">
        <f t="shared" si="147"/>
        <v>372.18168911506024</v>
      </c>
      <c r="M1505" s="1">
        <f t="shared" si="148"/>
        <v>754</v>
      </c>
      <c r="N1505" s="38">
        <f>+M1505*'Failure Data'!F$3</f>
        <v>19.478333333333332</v>
      </c>
    </row>
    <row r="1506" spans="1:14" x14ac:dyDescent="0.15">
      <c r="A1506" s="1">
        <v>1497</v>
      </c>
      <c r="B1506" s="3">
        <f t="shared" si="143"/>
        <v>378.77244260331679</v>
      </c>
      <c r="C1506" s="8"/>
      <c r="D1506" s="3">
        <f t="shared" si="144"/>
        <v>372.43259260043226</v>
      </c>
      <c r="F1506" s="3">
        <f t="shared" si="145"/>
        <v>-278.77244260331679</v>
      </c>
      <c r="G1506" s="3">
        <f t="shared" si="146"/>
        <v>6.3398500028845319</v>
      </c>
      <c r="H1506" s="3">
        <f t="shared" si="147"/>
        <v>372.43259260043226</v>
      </c>
      <c r="M1506" s="1">
        <f t="shared" si="148"/>
        <v>755</v>
      </c>
      <c r="N1506" s="38">
        <f>+M1506*'Failure Data'!F$3</f>
        <v>19.504166666666666</v>
      </c>
    </row>
    <row r="1507" spans="1:14" x14ac:dyDescent="0.15">
      <c r="A1507" s="1">
        <v>1498</v>
      </c>
      <c r="B1507" s="3">
        <f t="shared" si="143"/>
        <v>379.02334608868881</v>
      </c>
      <c r="C1507" s="8"/>
      <c r="D1507" s="3">
        <f t="shared" si="144"/>
        <v>372.68349608580422</v>
      </c>
      <c r="F1507" s="3">
        <f t="shared" si="145"/>
        <v>-279.02334608868881</v>
      </c>
      <c r="G1507" s="3">
        <f t="shared" si="146"/>
        <v>6.3398500028845888</v>
      </c>
      <c r="H1507" s="3">
        <f t="shared" si="147"/>
        <v>372.68349608580422</v>
      </c>
      <c r="M1507" s="1">
        <f t="shared" si="148"/>
        <v>756</v>
      </c>
      <c r="N1507" s="38">
        <f>+M1507*'Failure Data'!F$3</f>
        <v>19.53</v>
      </c>
    </row>
    <row r="1508" spans="1:14" x14ac:dyDescent="0.15">
      <c r="A1508" s="1">
        <v>1499</v>
      </c>
      <c r="B1508" s="3">
        <f t="shared" si="143"/>
        <v>379.27424957406078</v>
      </c>
      <c r="C1508" s="8"/>
      <c r="D1508" s="3">
        <f t="shared" si="144"/>
        <v>372.93439957117624</v>
      </c>
      <c r="F1508" s="3">
        <f t="shared" si="145"/>
        <v>-279.27424957406078</v>
      </c>
      <c r="G1508" s="3">
        <f t="shared" si="146"/>
        <v>6.3398500028845319</v>
      </c>
      <c r="H1508" s="3">
        <f t="shared" si="147"/>
        <v>372.93439957117624</v>
      </c>
      <c r="M1508" s="1">
        <f t="shared" si="148"/>
        <v>757</v>
      </c>
      <c r="N1508" s="38">
        <f>+M1508*'Failure Data'!F$3</f>
        <v>19.555833333333332</v>
      </c>
    </row>
    <row r="1509" spans="1:14" x14ac:dyDescent="0.15">
      <c r="A1509" s="1">
        <v>1500</v>
      </c>
      <c r="B1509" s="3">
        <f t="shared" si="143"/>
        <v>379.5251530594328</v>
      </c>
      <c r="C1509" s="8"/>
      <c r="D1509" s="3">
        <f t="shared" si="144"/>
        <v>373.18530305654821</v>
      </c>
      <c r="F1509" s="3">
        <f t="shared" si="145"/>
        <v>-279.5251530594328</v>
      </c>
      <c r="G1509" s="3">
        <f t="shared" si="146"/>
        <v>6.3398500028845888</v>
      </c>
      <c r="H1509" s="3">
        <f t="shared" si="147"/>
        <v>373.18530305654821</v>
      </c>
      <c r="M1509" s="1">
        <f t="shared" si="148"/>
        <v>758</v>
      </c>
      <c r="N1509" s="38">
        <f>+M1509*'Failure Data'!F$3</f>
        <v>19.581666666666667</v>
      </c>
    </row>
    <row r="1510" spans="1:14" x14ac:dyDescent="0.15">
      <c r="A1510" s="1">
        <v>1501</v>
      </c>
      <c r="B1510" s="3">
        <f t="shared" si="143"/>
        <v>379.77605654480476</v>
      </c>
      <c r="C1510" s="8"/>
      <c r="D1510" s="3">
        <f t="shared" si="144"/>
        <v>373.43620654192023</v>
      </c>
      <c r="F1510" s="3">
        <f t="shared" si="145"/>
        <v>-279.77605654480476</v>
      </c>
      <c r="G1510" s="3">
        <f t="shared" si="146"/>
        <v>6.3398500028845319</v>
      </c>
      <c r="H1510" s="3">
        <f t="shared" si="147"/>
        <v>373.43620654192023</v>
      </c>
      <c r="M1510" s="1">
        <f t="shared" si="148"/>
        <v>759</v>
      </c>
      <c r="N1510" s="38">
        <f>+M1510*'Failure Data'!F$3</f>
        <v>19.607499999999998</v>
      </c>
    </row>
    <row r="1511" spans="1:14" x14ac:dyDescent="0.15">
      <c r="A1511" s="1">
        <v>1502</v>
      </c>
      <c r="B1511" s="3">
        <f t="shared" si="143"/>
        <v>380.02696003017678</v>
      </c>
      <c r="C1511" s="8"/>
      <c r="D1511" s="3">
        <f t="shared" si="144"/>
        <v>373.68711002729219</v>
      </c>
      <c r="F1511" s="3">
        <f t="shared" si="145"/>
        <v>-280.02696003017678</v>
      </c>
      <c r="G1511" s="3">
        <f t="shared" si="146"/>
        <v>6.3398500028845888</v>
      </c>
      <c r="H1511" s="3">
        <f t="shared" si="147"/>
        <v>373.68711002729219</v>
      </c>
      <c r="M1511" s="1">
        <f t="shared" si="148"/>
        <v>760</v>
      </c>
      <c r="N1511" s="38">
        <f>+M1511*'Failure Data'!F$3</f>
        <v>19.633333333333333</v>
      </c>
    </row>
    <row r="1512" spans="1:14" x14ac:dyDescent="0.15">
      <c r="A1512" s="1">
        <v>1503</v>
      </c>
      <c r="B1512" s="3">
        <f t="shared" si="143"/>
        <v>380.27786351554874</v>
      </c>
      <c r="C1512" s="8"/>
      <c r="D1512" s="3">
        <f t="shared" si="144"/>
        <v>373.93801351266421</v>
      </c>
      <c r="F1512" s="3">
        <f t="shared" si="145"/>
        <v>-280.27786351554874</v>
      </c>
      <c r="G1512" s="3">
        <f t="shared" si="146"/>
        <v>6.3398500028845319</v>
      </c>
      <c r="H1512" s="3">
        <f t="shared" si="147"/>
        <v>373.93801351266421</v>
      </c>
      <c r="M1512" s="1">
        <f t="shared" si="148"/>
        <v>761</v>
      </c>
      <c r="N1512" s="38">
        <f>+M1512*'Failure Data'!F$3</f>
        <v>19.659166666666668</v>
      </c>
    </row>
    <row r="1513" spans="1:14" x14ac:dyDescent="0.15">
      <c r="A1513" s="1">
        <v>1504</v>
      </c>
      <c r="B1513" s="3">
        <f t="shared" si="143"/>
        <v>380.52876700092077</v>
      </c>
      <c r="C1513" s="8"/>
      <c r="D1513" s="3">
        <f t="shared" si="144"/>
        <v>374.18891699803618</v>
      </c>
      <c r="F1513" s="3">
        <f t="shared" si="145"/>
        <v>-280.52876700092077</v>
      </c>
      <c r="G1513" s="3">
        <f t="shared" si="146"/>
        <v>6.3398500028845888</v>
      </c>
      <c r="H1513" s="3">
        <f t="shared" si="147"/>
        <v>374.18891699803618</v>
      </c>
      <c r="M1513" s="1">
        <f t="shared" si="148"/>
        <v>762</v>
      </c>
      <c r="N1513" s="38">
        <f>+M1513*'Failure Data'!F$3</f>
        <v>19.684999999999999</v>
      </c>
    </row>
    <row r="1514" spans="1:14" x14ac:dyDescent="0.15">
      <c r="A1514" s="1">
        <v>1505</v>
      </c>
      <c r="B1514" s="3">
        <f t="shared" si="143"/>
        <v>380.77967048629273</v>
      </c>
      <c r="C1514" s="8"/>
      <c r="D1514" s="3">
        <f t="shared" si="144"/>
        <v>374.4398204834082</v>
      </c>
      <c r="F1514" s="3">
        <f t="shared" si="145"/>
        <v>-280.77967048629273</v>
      </c>
      <c r="G1514" s="3">
        <f t="shared" si="146"/>
        <v>6.3398500028845319</v>
      </c>
      <c r="H1514" s="3">
        <f t="shared" si="147"/>
        <v>374.4398204834082</v>
      </c>
      <c r="M1514" s="1">
        <f t="shared" si="148"/>
        <v>763</v>
      </c>
      <c r="N1514" s="38">
        <f>+M1514*'Failure Data'!F$3</f>
        <v>19.710833333333333</v>
      </c>
    </row>
    <row r="1515" spans="1:14" x14ac:dyDescent="0.15">
      <c r="A1515" s="1">
        <v>1506</v>
      </c>
      <c r="B1515" s="3">
        <f t="shared" si="143"/>
        <v>381.03057397166475</v>
      </c>
      <c r="C1515" s="8"/>
      <c r="D1515" s="3">
        <f t="shared" si="144"/>
        <v>374.69072396878016</v>
      </c>
      <c r="F1515" s="3">
        <f t="shared" si="145"/>
        <v>-281.03057397166475</v>
      </c>
      <c r="G1515" s="3">
        <f t="shared" si="146"/>
        <v>6.3398500028845888</v>
      </c>
      <c r="H1515" s="3">
        <f t="shared" si="147"/>
        <v>374.69072396878016</v>
      </c>
      <c r="M1515" s="1">
        <f t="shared" si="148"/>
        <v>764</v>
      </c>
      <c r="N1515" s="38">
        <f>+M1515*'Failure Data'!F$3</f>
        <v>19.736666666666668</v>
      </c>
    </row>
    <row r="1516" spans="1:14" x14ac:dyDescent="0.15">
      <c r="A1516" s="1">
        <v>1507</v>
      </c>
      <c r="B1516" s="3">
        <f t="shared" si="143"/>
        <v>381.28147745703671</v>
      </c>
      <c r="C1516" s="8"/>
      <c r="D1516" s="3">
        <f t="shared" si="144"/>
        <v>374.94162745415218</v>
      </c>
      <c r="F1516" s="3">
        <f t="shared" si="145"/>
        <v>-281.28147745703671</v>
      </c>
      <c r="G1516" s="3">
        <f t="shared" si="146"/>
        <v>6.3398500028845319</v>
      </c>
      <c r="H1516" s="3">
        <f t="shared" si="147"/>
        <v>374.94162745415218</v>
      </c>
      <c r="M1516" s="1">
        <f t="shared" si="148"/>
        <v>765</v>
      </c>
      <c r="N1516" s="38">
        <f>+M1516*'Failure Data'!F$3</f>
        <v>19.762499999999999</v>
      </c>
    </row>
    <row r="1517" spans="1:14" x14ac:dyDescent="0.15">
      <c r="A1517" s="1">
        <v>1508</v>
      </c>
      <c r="B1517" s="3">
        <f t="shared" si="143"/>
        <v>381.53238094240874</v>
      </c>
      <c r="C1517" s="8"/>
      <c r="D1517" s="3">
        <f t="shared" si="144"/>
        <v>375.19253093952415</v>
      </c>
      <c r="F1517" s="3">
        <f t="shared" si="145"/>
        <v>-281.53238094240874</v>
      </c>
      <c r="G1517" s="3">
        <f t="shared" si="146"/>
        <v>6.3398500028845888</v>
      </c>
      <c r="H1517" s="3">
        <f t="shared" si="147"/>
        <v>375.19253093952415</v>
      </c>
      <c r="M1517" s="1">
        <f t="shared" si="148"/>
        <v>766</v>
      </c>
      <c r="N1517" s="38">
        <f>+M1517*'Failure Data'!F$3</f>
        <v>19.788333333333334</v>
      </c>
    </row>
    <row r="1518" spans="1:14" x14ac:dyDescent="0.15">
      <c r="A1518" s="1">
        <v>1509</v>
      </c>
      <c r="B1518" s="3">
        <f t="shared" ref="B1518:B1581" si="149">+(B$4*A1518)+B$5</f>
        <v>381.7832844277807</v>
      </c>
      <c r="C1518" s="8"/>
      <c r="D1518" s="3">
        <f t="shared" ref="D1518:D1581" si="150">+(D$4*A1518)+D$5</f>
        <v>375.44343442489617</v>
      </c>
      <c r="F1518" s="3">
        <f t="shared" ref="F1518:F1581" si="151">+xmax-B1518</f>
        <v>-281.7832844277807</v>
      </c>
      <c r="G1518" s="3">
        <f t="shared" ref="G1518:G1581" si="152">+B1518-D1518</f>
        <v>6.3398500028845319</v>
      </c>
      <c r="H1518" s="3">
        <f t="shared" ref="H1518:H1581" si="153">D1518</f>
        <v>375.44343442489617</v>
      </c>
      <c r="M1518" s="1">
        <f t="shared" si="148"/>
        <v>767</v>
      </c>
      <c r="N1518" s="38">
        <f>+M1518*'Failure Data'!F$3</f>
        <v>19.814166666666665</v>
      </c>
    </row>
    <row r="1519" spans="1:14" x14ac:dyDescent="0.15">
      <c r="A1519" s="1">
        <v>1510</v>
      </c>
      <c r="B1519" s="3">
        <f t="shared" si="149"/>
        <v>382.03418791315272</v>
      </c>
      <c r="C1519" s="8"/>
      <c r="D1519" s="3">
        <f t="shared" si="150"/>
        <v>375.69433791026813</v>
      </c>
      <c r="F1519" s="3">
        <f t="shared" si="151"/>
        <v>-282.03418791315272</v>
      </c>
      <c r="G1519" s="3">
        <f t="shared" si="152"/>
        <v>6.3398500028845888</v>
      </c>
      <c r="H1519" s="3">
        <f t="shared" si="153"/>
        <v>375.69433791026813</v>
      </c>
      <c r="M1519" s="1">
        <f t="shared" si="148"/>
        <v>768</v>
      </c>
      <c r="N1519" s="38">
        <f>+M1519*'Failure Data'!F$3</f>
        <v>19.84</v>
      </c>
    </row>
    <row r="1520" spans="1:14" x14ac:dyDescent="0.15">
      <c r="A1520" s="1">
        <v>1511</v>
      </c>
      <c r="B1520" s="3">
        <f t="shared" si="149"/>
        <v>382.28509139852468</v>
      </c>
      <c r="C1520" s="8"/>
      <c r="D1520" s="3">
        <f t="shared" si="150"/>
        <v>375.94524139564015</v>
      </c>
      <c r="F1520" s="3">
        <f t="shared" si="151"/>
        <v>-282.28509139852468</v>
      </c>
      <c r="G1520" s="3">
        <f t="shared" si="152"/>
        <v>6.3398500028845319</v>
      </c>
      <c r="H1520" s="3">
        <f t="shared" si="153"/>
        <v>375.94524139564015</v>
      </c>
      <c r="M1520" s="1">
        <f t="shared" si="148"/>
        <v>769</v>
      </c>
      <c r="N1520" s="38">
        <f>+M1520*'Failure Data'!F$3</f>
        <v>19.865833333333335</v>
      </c>
    </row>
    <row r="1521" spans="1:14" x14ac:dyDescent="0.15">
      <c r="A1521" s="1">
        <v>1512</v>
      </c>
      <c r="B1521" s="3">
        <f t="shared" si="149"/>
        <v>382.53599488389671</v>
      </c>
      <c r="C1521" s="8"/>
      <c r="D1521" s="3">
        <f t="shared" si="150"/>
        <v>376.19614488101212</v>
      </c>
      <c r="F1521" s="3">
        <f t="shared" si="151"/>
        <v>-282.53599488389671</v>
      </c>
      <c r="G1521" s="3">
        <f t="shared" si="152"/>
        <v>6.3398500028845888</v>
      </c>
      <c r="H1521" s="3">
        <f t="shared" si="153"/>
        <v>376.19614488101212</v>
      </c>
      <c r="M1521" s="1">
        <f t="shared" si="148"/>
        <v>770</v>
      </c>
      <c r="N1521" s="38">
        <f>+M1521*'Failure Data'!F$3</f>
        <v>19.891666666666666</v>
      </c>
    </row>
    <row r="1522" spans="1:14" x14ac:dyDescent="0.15">
      <c r="A1522" s="1">
        <v>1513</v>
      </c>
      <c r="B1522" s="3">
        <f t="shared" si="149"/>
        <v>382.78689836926873</v>
      </c>
      <c r="C1522" s="8"/>
      <c r="D1522" s="3">
        <f t="shared" si="150"/>
        <v>376.44704836638414</v>
      </c>
      <c r="F1522" s="3">
        <f t="shared" si="151"/>
        <v>-282.78689836926873</v>
      </c>
      <c r="G1522" s="3">
        <f t="shared" si="152"/>
        <v>6.3398500028845888</v>
      </c>
      <c r="H1522" s="3">
        <f t="shared" si="153"/>
        <v>376.44704836638414</v>
      </c>
      <c r="M1522" s="1">
        <f t="shared" si="148"/>
        <v>771</v>
      </c>
      <c r="N1522" s="38">
        <f>+M1522*'Failure Data'!F$3</f>
        <v>19.9175</v>
      </c>
    </row>
    <row r="1523" spans="1:14" x14ac:dyDescent="0.15">
      <c r="A1523" s="1">
        <v>1514</v>
      </c>
      <c r="B1523" s="3">
        <f t="shared" si="149"/>
        <v>383.03780185464069</v>
      </c>
      <c r="C1523" s="8"/>
      <c r="D1523" s="3">
        <f t="shared" si="150"/>
        <v>376.69795185175616</v>
      </c>
      <c r="F1523" s="3">
        <f t="shared" si="151"/>
        <v>-283.03780185464069</v>
      </c>
      <c r="G1523" s="3">
        <f t="shared" si="152"/>
        <v>6.3398500028845319</v>
      </c>
      <c r="H1523" s="3">
        <f t="shared" si="153"/>
        <v>376.69795185175616</v>
      </c>
      <c r="M1523" s="1">
        <f t="shared" si="148"/>
        <v>772</v>
      </c>
      <c r="N1523" s="38">
        <f>+M1523*'Failure Data'!F$3</f>
        <v>19.943333333333332</v>
      </c>
    </row>
    <row r="1524" spans="1:14" x14ac:dyDescent="0.15">
      <c r="A1524" s="1">
        <v>1515</v>
      </c>
      <c r="B1524" s="3">
        <f t="shared" si="149"/>
        <v>383.28870534001271</v>
      </c>
      <c r="C1524" s="8"/>
      <c r="D1524" s="3">
        <f t="shared" si="150"/>
        <v>376.94885533712812</v>
      </c>
      <c r="F1524" s="3">
        <f t="shared" si="151"/>
        <v>-283.28870534001271</v>
      </c>
      <c r="G1524" s="3">
        <f t="shared" si="152"/>
        <v>6.3398500028845888</v>
      </c>
      <c r="H1524" s="3">
        <f t="shared" si="153"/>
        <v>376.94885533712812</v>
      </c>
      <c r="M1524" s="1">
        <f t="shared" si="148"/>
        <v>773</v>
      </c>
      <c r="N1524" s="38">
        <f>+M1524*'Failure Data'!F$3</f>
        <v>19.969166666666666</v>
      </c>
    </row>
    <row r="1525" spans="1:14" x14ac:dyDescent="0.15">
      <c r="A1525" s="1">
        <v>1516</v>
      </c>
      <c r="B1525" s="3">
        <f t="shared" si="149"/>
        <v>383.53960882538468</v>
      </c>
      <c r="C1525" s="8"/>
      <c r="D1525" s="3">
        <f t="shared" si="150"/>
        <v>377.19975882250014</v>
      </c>
      <c r="F1525" s="3">
        <f t="shared" si="151"/>
        <v>-283.53960882538468</v>
      </c>
      <c r="G1525" s="3">
        <f t="shared" si="152"/>
        <v>6.3398500028845319</v>
      </c>
      <c r="H1525" s="3">
        <f t="shared" si="153"/>
        <v>377.19975882250014</v>
      </c>
      <c r="M1525" s="1">
        <f t="shared" si="148"/>
        <v>774</v>
      </c>
      <c r="N1525" s="38">
        <f>+M1525*'Failure Data'!F$3</f>
        <v>19.995000000000001</v>
      </c>
    </row>
    <row r="1526" spans="1:14" x14ac:dyDescent="0.15">
      <c r="A1526" s="1">
        <v>1517</v>
      </c>
      <c r="B1526" s="3">
        <f t="shared" si="149"/>
        <v>383.7905123107567</v>
      </c>
      <c r="C1526" s="8"/>
      <c r="D1526" s="3">
        <f t="shared" si="150"/>
        <v>377.45066230787211</v>
      </c>
      <c r="F1526" s="3">
        <f t="shared" si="151"/>
        <v>-283.7905123107567</v>
      </c>
      <c r="G1526" s="3">
        <f t="shared" si="152"/>
        <v>6.3398500028845888</v>
      </c>
      <c r="H1526" s="3">
        <f t="shared" si="153"/>
        <v>377.45066230787211</v>
      </c>
      <c r="M1526" s="1">
        <f t="shared" si="148"/>
        <v>775</v>
      </c>
      <c r="N1526" s="38">
        <f>+M1526*'Failure Data'!F$3</f>
        <v>20.020833333333332</v>
      </c>
    </row>
    <row r="1527" spans="1:14" x14ac:dyDescent="0.15">
      <c r="A1527" s="1">
        <v>1518</v>
      </c>
      <c r="B1527" s="3">
        <f t="shared" si="149"/>
        <v>384.04141579612866</v>
      </c>
      <c r="C1527" s="8"/>
      <c r="D1527" s="3">
        <f t="shared" si="150"/>
        <v>377.70156579324413</v>
      </c>
      <c r="F1527" s="3">
        <f t="shared" si="151"/>
        <v>-284.04141579612866</v>
      </c>
      <c r="G1527" s="3">
        <f t="shared" si="152"/>
        <v>6.3398500028845319</v>
      </c>
      <c r="H1527" s="3">
        <f t="shared" si="153"/>
        <v>377.70156579324413</v>
      </c>
      <c r="M1527" s="1">
        <f t="shared" si="148"/>
        <v>776</v>
      </c>
      <c r="N1527" s="38">
        <f>+M1527*'Failure Data'!F$3</f>
        <v>20.046666666666667</v>
      </c>
    </row>
    <row r="1528" spans="1:14" x14ac:dyDescent="0.15">
      <c r="A1528" s="1">
        <v>1519</v>
      </c>
      <c r="B1528" s="3">
        <f t="shared" si="149"/>
        <v>384.29231928150068</v>
      </c>
      <c r="C1528" s="8"/>
      <c r="D1528" s="3">
        <f t="shared" si="150"/>
        <v>377.95246927861609</v>
      </c>
      <c r="F1528" s="3">
        <f t="shared" si="151"/>
        <v>-284.29231928150068</v>
      </c>
      <c r="G1528" s="3">
        <f t="shared" si="152"/>
        <v>6.3398500028845888</v>
      </c>
      <c r="H1528" s="3">
        <f t="shared" si="153"/>
        <v>377.95246927861609</v>
      </c>
      <c r="M1528" s="1">
        <f t="shared" si="148"/>
        <v>777</v>
      </c>
      <c r="N1528" s="38">
        <f>+M1528*'Failure Data'!F$3</f>
        <v>20.072500000000002</v>
      </c>
    </row>
    <row r="1529" spans="1:14" x14ac:dyDescent="0.15">
      <c r="A1529" s="1">
        <v>1520</v>
      </c>
      <c r="B1529" s="3">
        <f t="shared" si="149"/>
        <v>384.54322276687265</v>
      </c>
      <c r="C1529" s="8"/>
      <c r="D1529" s="3">
        <f t="shared" si="150"/>
        <v>378.20337276398811</v>
      </c>
      <c r="F1529" s="3">
        <f t="shared" si="151"/>
        <v>-284.54322276687265</v>
      </c>
      <c r="G1529" s="3">
        <f t="shared" si="152"/>
        <v>6.3398500028845319</v>
      </c>
      <c r="H1529" s="3">
        <f t="shared" si="153"/>
        <v>378.20337276398811</v>
      </c>
      <c r="M1529" s="1">
        <f t="shared" si="148"/>
        <v>778</v>
      </c>
      <c r="N1529" s="38">
        <f>+M1529*'Failure Data'!F$3</f>
        <v>20.098333333333333</v>
      </c>
    </row>
    <row r="1530" spans="1:14" x14ac:dyDescent="0.15">
      <c r="A1530" s="1">
        <v>1521</v>
      </c>
      <c r="B1530" s="3">
        <f t="shared" si="149"/>
        <v>384.79412625224467</v>
      </c>
      <c r="C1530" s="8"/>
      <c r="D1530" s="3">
        <f t="shared" si="150"/>
        <v>378.45427624936008</v>
      </c>
      <c r="F1530" s="3">
        <f t="shared" si="151"/>
        <v>-284.79412625224467</v>
      </c>
      <c r="G1530" s="3">
        <f t="shared" si="152"/>
        <v>6.3398500028845888</v>
      </c>
      <c r="H1530" s="3">
        <f t="shared" si="153"/>
        <v>378.45427624936008</v>
      </c>
      <c r="M1530" s="1">
        <f t="shared" si="148"/>
        <v>779</v>
      </c>
      <c r="N1530" s="38">
        <f>+M1530*'Failure Data'!F$3</f>
        <v>20.124166666666667</v>
      </c>
    </row>
    <row r="1531" spans="1:14" x14ac:dyDescent="0.15">
      <c r="A1531" s="1">
        <v>1522</v>
      </c>
      <c r="B1531" s="3">
        <f t="shared" si="149"/>
        <v>385.04502973761663</v>
      </c>
      <c r="C1531" s="8"/>
      <c r="D1531" s="3">
        <f t="shared" si="150"/>
        <v>378.7051797347321</v>
      </c>
      <c r="F1531" s="3">
        <f t="shared" si="151"/>
        <v>-285.04502973761663</v>
      </c>
      <c r="G1531" s="3">
        <f t="shared" si="152"/>
        <v>6.3398500028845319</v>
      </c>
      <c r="H1531" s="3">
        <f t="shared" si="153"/>
        <v>378.7051797347321</v>
      </c>
      <c r="M1531" s="1">
        <f t="shared" si="148"/>
        <v>780</v>
      </c>
      <c r="N1531" s="38">
        <f>+M1531*'Failure Data'!F$3</f>
        <v>20.149999999999999</v>
      </c>
    </row>
    <row r="1532" spans="1:14" x14ac:dyDescent="0.15">
      <c r="A1532" s="1">
        <v>1523</v>
      </c>
      <c r="B1532" s="3">
        <f t="shared" si="149"/>
        <v>385.29593322298865</v>
      </c>
      <c r="C1532" s="8"/>
      <c r="D1532" s="3">
        <f t="shared" si="150"/>
        <v>378.95608322010406</v>
      </c>
      <c r="F1532" s="3">
        <f t="shared" si="151"/>
        <v>-285.29593322298865</v>
      </c>
      <c r="G1532" s="3">
        <f t="shared" si="152"/>
        <v>6.3398500028845888</v>
      </c>
      <c r="H1532" s="3">
        <f t="shared" si="153"/>
        <v>378.95608322010406</v>
      </c>
      <c r="M1532" s="1">
        <f t="shared" si="148"/>
        <v>781</v>
      </c>
      <c r="N1532" s="38">
        <f>+M1532*'Failure Data'!F$3</f>
        <v>20.175833333333333</v>
      </c>
    </row>
    <row r="1533" spans="1:14" x14ac:dyDescent="0.15">
      <c r="A1533" s="1">
        <v>1524</v>
      </c>
      <c r="B1533" s="3">
        <f t="shared" si="149"/>
        <v>385.54683670836062</v>
      </c>
      <c r="C1533" s="8"/>
      <c r="D1533" s="3">
        <f t="shared" si="150"/>
        <v>379.20698670547608</v>
      </c>
      <c r="F1533" s="3">
        <f t="shared" si="151"/>
        <v>-285.54683670836062</v>
      </c>
      <c r="G1533" s="3">
        <f t="shared" si="152"/>
        <v>6.3398500028845319</v>
      </c>
      <c r="H1533" s="3">
        <f t="shared" si="153"/>
        <v>379.20698670547608</v>
      </c>
      <c r="M1533" s="1">
        <f t="shared" si="148"/>
        <v>782</v>
      </c>
      <c r="N1533" s="38">
        <f>+M1533*'Failure Data'!F$3</f>
        <v>20.201666666666668</v>
      </c>
    </row>
    <row r="1534" spans="1:14" x14ac:dyDescent="0.15">
      <c r="A1534" s="1">
        <v>1525</v>
      </c>
      <c r="B1534" s="3">
        <f t="shared" si="149"/>
        <v>385.79774019373264</v>
      </c>
      <c r="C1534" s="8"/>
      <c r="D1534" s="3">
        <f t="shared" si="150"/>
        <v>379.45789019084805</v>
      </c>
      <c r="F1534" s="3">
        <f t="shared" si="151"/>
        <v>-285.79774019373264</v>
      </c>
      <c r="G1534" s="3">
        <f t="shared" si="152"/>
        <v>6.3398500028845888</v>
      </c>
      <c r="H1534" s="3">
        <f t="shared" si="153"/>
        <v>379.45789019084805</v>
      </c>
      <c r="M1534" s="1">
        <f t="shared" si="148"/>
        <v>783</v>
      </c>
      <c r="N1534" s="38">
        <f>+M1534*'Failure Data'!F$3</f>
        <v>20.227499999999999</v>
      </c>
    </row>
    <row r="1535" spans="1:14" x14ac:dyDescent="0.15">
      <c r="A1535" s="1">
        <v>1526</v>
      </c>
      <c r="B1535" s="3">
        <f t="shared" si="149"/>
        <v>386.0486436791046</v>
      </c>
      <c r="C1535" s="8"/>
      <c r="D1535" s="3">
        <f t="shared" si="150"/>
        <v>379.70879367622007</v>
      </c>
      <c r="F1535" s="3">
        <f t="shared" si="151"/>
        <v>-286.0486436791046</v>
      </c>
      <c r="G1535" s="3">
        <f t="shared" si="152"/>
        <v>6.3398500028845319</v>
      </c>
      <c r="H1535" s="3">
        <f t="shared" si="153"/>
        <v>379.70879367622007</v>
      </c>
      <c r="M1535" s="1">
        <f t="shared" si="148"/>
        <v>784</v>
      </c>
      <c r="N1535" s="38">
        <f>+M1535*'Failure Data'!F$3</f>
        <v>20.253333333333334</v>
      </c>
    </row>
    <row r="1536" spans="1:14" x14ac:dyDescent="0.15">
      <c r="A1536" s="1">
        <v>1527</v>
      </c>
      <c r="B1536" s="3">
        <f t="shared" si="149"/>
        <v>386.29954716447662</v>
      </c>
      <c r="C1536" s="8"/>
      <c r="D1536" s="3">
        <f t="shared" si="150"/>
        <v>379.95969716159203</v>
      </c>
      <c r="F1536" s="3">
        <f t="shared" si="151"/>
        <v>-286.29954716447662</v>
      </c>
      <c r="G1536" s="3">
        <f t="shared" si="152"/>
        <v>6.3398500028845888</v>
      </c>
      <c r="H1536" s="3">
        <f t="shared" si="153"/>
        <v>379.95969716159203</v>
      </c>
      <c r="M1536" s="1">
        <f t="shared" si="148"/>
        <v>785</v>
      </c>
      <c r="N1536" s="38">
        <f>+M1536*'Failure Data'!F$3</f>
        <v>20.279166666666665</v>
      </c>
    </row>
    <row r="1537" spans="1:14" x14ac:dyDescent="0.15">
      <c r="A1537" s="1">
        <v>1528</v>
      </c>
      <c r="B1537" s="3">
        <f t="shared" si="149"/>
        <v>386.55045064984859</v>
      </c>
      <c r="C1537" s="8"/>
      <c r="D1537" s="3">
        <f t="shared" si="150"/>
        <v>380.21060064696405</v>
      </c>
      <c r="F1537" s="3">
        <f t="shared" si="151"/>
        <v>-286.55045064984859</v>
      </c>
      <c r="G1537" s="3">
        <f t="shared" si="152"/>
        <v>6.3398500028845319</v>
      </c>
      <c r="H1537" s="3">
        <f t="shared" si="153"/>
        <v>380.21060064696405</v>
      </c>
      <c r="M1537" s="1">
        <f t="shared" ref="M1537:M1600" si="154">M1536+1</f>
        <v>786</v>
      </c>
      <c r="N1537" s="38">
        <f>+M1537*'Failure Data'!F$3</f>
        <v>20.305</v>
      </c>
    </row>
    <row r="1538" spans="1:14" x14ac:dyDescent="0.15">
      <c r="A1538" s="1">
        <v>1529</v>
      </c>
      <c r="B1538" s="3">
        <f t="shared" si="149"/>
        <v>386.80135413522061</v>
      </c>
      <c r="C1538" s="8"/>
      <c r="D1538" s="3">
        <f t="shared" si="150"/>
        <v>380.46150413233602</v>
      </c>
      <c r="F1538" s="3">
        <f t="shared" si="151"/>
        <v>-286.80135413522061</v>
      </c>
      <c r="G1538" s="3">
        <f t="shared" si="152"/>
        <v>6.3398500028845888</v>
      </c>
      <c r="H1538" s="3">
        <f t="shared" si="153"/>
        <v>380.46150413233602</v>
      </c>
      <c r="M1538" s="1">
        <f t="shared" si="154"/>
        <v>787</v>
      </c>
      <c r="N1538" s="38">
        <f>+M1538*'Failure Data'!F$3</f>
        <v>20.330833333333334</v>
      </c>
    </row>
    <row r="1539" spans="1:14" x14ac:dyDescent="0.15">
      <c r="A1539" s="1">
        <v>1530</v>
      </c>
      <c r="B1539" s="3">
        <f t="shared" si="149"/>
        <v>387.05225762059257</v>
      </c>
      <c r="C1539" s="8"/>
      <c r="D1539" s="3">
        <f t="shared" si="150"/>
        <v>380.71240761770804</v>
      </c>
      <c r="F1539" s="3">
        <f t="shared" si="151"/>
        <v>-287.05225762059257</v>
      </c>
      <c r="G1539" s="3">
        <f t="shared" si="152"/>
        <v>6.3398500028845319</v>
      </c>
      <c r="H1539" s="3">
        <f t="shared" si="153"/>
        <v>380.71240761770804</v>
      </c>
      <c r="M1539" s="1">
        <f t="shared" si="154"/>
        <v>788</v>
      </c>
      <c r="N1539" s="38">
        <f>+M1539*'Failure Data'!F$3</f>
        <v>20.356666666666666</v>
      </c>
    </row>
    <row r="1540" spans="1:14" x14ac:dyDescent="0.15">
      <c r="A1540" s="1">
        <v>1531</v>
      </c>
      <c r="B1540" s="3">
        <f t="shared" si="149"/>
        <v>387.30316110596459</v>
      </c>
      <c r="C1540" s="8"/>
      <c r="D1540" s="3">
        <f t="shared" si="150"/>
        <v>380.96331110308</v>
      </c>
      <c r="F1540" s="3">
        <f t="shared" si="151"/>
        <v>-287.30316110596459</v>
      </c>
      <c r="G1540" s="3">
        <f t="shared" si="152"/>
        <v>6.3398500028845888</v>
      </c>
      <c r="H1540" s="3">
        <f t="shared" si="153"/>
        <v>380.96331110308</v>
      </c>
      <c r="M1540" s="1">
        <f t="shared" si="154"/>
        <v>789</v>
      </c>
      <c r="N1540" s="38">
        <f>+M1540*'Failure Data'!F$3</f>
        <v>20.3825</v>
      </c>
    </row>
    <row r="1541" spans="1:14" x14ac:dyDescent="0.15">
      <c r="A1541" s="1">
        <v>1532</v>
      </c>
      <c r="B1541" s="3">
        <f t="shared" si="149"/>
        <v>387.55406459133656</v>
      </c>
      <c r="C1541" s="8"/>
      <c r="D1541" s="3">
        <f t="shared" si="150"/>
        <v>381.21421458845202</v>
      </c>
      <c r="F1541" s="3">
        <f t="shared" si="151"/>
        <v>-287.55406459133656</v>
      </c>
      <c r="G1541" s="3">
        <f t="shared" si="152"/>
        <v>6.3398500028845319</v>
      </c>
      <c r="H1541" s="3">
        <f t="shared" si="153"/>
        <v>381.21421458845202</v>
      </c>
      <c r="M1541" s="1">
        <f t="shared" si="154"/>
        <v>790</v>
      </c>
      <c r="N1541" s="38">
        <f>+M1541*'Failure Data'!F$3</f>
        <v>20.408333333333331</v>
      </c>
    </row>
    <row r="1542" spans="1:14" x14ac:dyDescent="0.15">
      <c r="A1542" s="1">
        <v>1533</v>
      </c>
      <c r="B1542" s="3">
        <f t="shared" si="149"/>
        <v>387.80496807670858</v>
      </c>
      <c r="C1542" s="8"/>
      <c r="D1542" s="3">
        <f t="shared" si="150"/>
        <v>381.46511807382399</v>
      </c>
      <c r="F1542" s="3">
        <f t="shared" si="151"/>
        <v>-287.80496807670858</v>
      </c>
      <c r="G1542" s="3">
        <f t="shared" si="152"/>
        <v>6.3398500028845888</v>
      </c>
      <c r="H1542" s="3">
        <f t="shared" si="153"/>
        <v>381.46511807382399</v>
      </c>
      <c r="M1542" s="1">
        <f t="shared" si="154"/>
        <v>791</v>
      </c>
      <c r="N1542" s="38">
        <f>+M1542*'Failure Data'!F$3</f>
        <v>20.434166666666666</v>
      </c>
    </row>
    <row r="1543" spans="1:14" x14ac:dyDescent="0.15">
      <c r="A1543" s="1">
        <v>1534</v>
      </c>
      <c r="B1543" s="3">
        <f t="shared" si="149"/>
        <v>388.05587156208054</v>
      </c>
      <c r="C1543" s="8"/>
      <c r="D1543" s="3">
        <f t="shared" si="150"/>
        <v>381.71602155919601</v>
      </c>
      <c r="F1543" s="3">
        <f t="shared" si="151"/>
        <v>-288.05587156208054</v>
      </c>
      <c r="G1543" s="3">
        <f t="shared" si="152"/>
        <v>6.3398500028845319</v>
      </c>
      <c r="H1543" s="3">
        <f t="shared" si="153"/>
        <v>381.71602155919601</v>
      </c>
      <c r="M1543" s="1">
        <f t="shared" si="154"/>
        <v>792</v>
      </c>
      <c r="N1543" s="38">
        <f>+M1543*'Failure Data'!F$3</f>
        <v>20.46</v>
      </c>
    </row>
    <row r="1544" spans="1:14" x14ac:dyDescent="0.15">
      <c r="A1544" s="1">
        <v>1535</v>
      </c>
      <c r="B1544" s="3">
        <f t="shared" si="149"/>
        <v>388.30677504745256</v>
      </c>
      <c r="C1544" s="8"/>
      <c r="D1544" s="3">
        <f t="shared" si="150"/>
        <v>381.96692504456797</v>
      </c>
      <c r="F1544" s="3">
        <f t="shared" si="151"/>
        <v>-288.30677504745256</v>
      </c>
      <c r="G1544" s="3">
        <f t="shared" si="152"/>
        <v>6.3398500028845888</v>
      </c>
      <c r="H1544" s="3">
        <f t="shared" si="153"/>
        <v>381.96692504456797</v>
      </c>
      <c r="M1544" s="1">
        <f t="shared" si="154"/>
        <v>793</v>
      </c>
      <c r="N1544" s="38">
        <f>+M1544*'Failure Data'!F$3</f>
        <v>20.485833333333332</v>
      </c>
    </row>
    <row r="1545" spans="1:14" x14ac:dyDescent="0.15">
      <c r="A1545" s="1">
        <v>1536</v>
      </c>
      <c r="B1545" s="3">
        <f t="shared" si="149"/>
        <v>388.55767853282458</v>
      </c>
      <c r="C1545" s="8"/>
      <c r="D1545" s="3">
        <f t="shared" si="150"/>
        <v>382.21782852993999</v>
      </c>
      <c r="F1545" s="3">
        <f t="shared" si="151"/>
        <v>-288.55767853282458</v>
      </c>
      <c r="G1545" s="3">
        <f t="shared" si="152"/>
        <v>6.3398500028845888</v>
      </c>
      <c r="H1545" s="3">
        <f t="shared" si="153"/>
        <v>382.21782852993999</v>
      </c>
      <c r="M1545" s="1">
        <f t="shared" si="154"/>
        <v>794</v>
      </c>
      <c r="N1545" s="38">
        <f>+M1545*'Failure Data'!F$3</f>
        <v>20.511666666666667</v>
      </c>
    </row>
    <row r="1546" spans="1:14" x14ac:dyDescent="0.15">
      <c r="A1546" s="1">
        <v>1537</v>
      </c>
      <c r="B1546" s="3">
        <f t="shared" si="149"/>
        <v>388.80858201819655</v>
      </c>
      <c r="C1546" s="8"/>
      <c r="D1546" s="3">
        <f t="shared" si="150"/>
        <v>382.46873201531201</v>
      </c>
      <c r="F1546" s="3">
        <f t="shared" si="151"/>
        <v>-288.80858201819655</v>
      </c>
      <c r="G1546" s="3">
        <f t="shared" si="152"/>
        <v>6.3398500028845319</v>
      </c>
      <c r="H1546" s="3">
        <f t="shared" si="153"/>
        <v>382.46873201531201</v>
      </c>
      <c r="M1546" s="1">
        <f t="shared" si="154"/>
        <v>795</v>
      </c>
      <c r="N1546" s="38">
        <f>+M1546*'Failure Data'!F$3</f>
        <v>20.537500000000001</v>
      </c>
    </row>
    <row r="1547" spans="1:14" x14ac:dyDescent="0.15">
      <c r="A1547" s="1">
        <v>1538</v>
      </c>
      <c r="B1547" s="3">
        <f t="shared" si="149"/>
        <v>389.05948550356857</v>
      </c>
      <c r="C1547" s="8"/>
      <c r="D1547" s="3">
        <f t="shared" si="150"/>
        <v>382.71963550068398</v>
      </c>
      <c r="F1547" s="3">
        <f t="shared" si="151"/>
        <v>-289.05948550356857</v>
      </c>
      <c r="G1547" s="3">
        <f t="shared" si="152"/>
        <v>6.3398500028845888</v>
      </c>
      <c r="H1547" s="3">
        <f t="shared" si="153"/>
        <v>382.71963550068398</v>
      </c>
      <c r="M1547" s="1">
        <f t="shared" si="154"/>
        <v>796</v>
      </c>
      <c r="N1547" s="38">
        <f>+M1547*'Failure Data'!F$3</f>
        <v>20.563333333333333</v>
      </c>
    </row>
    <row r="1548" spans="1:14" x14ac:dyDescent="0.15">
      <c r="A1548" s="1">
        <v>1539</v>
      </c>
      <c r="B1548" s="3">
        <f t="shared" si="149"/>
        <v>389.31038898894053</v>
      </c>
      <c r="C1548" s="8"/>
      <c r="D1548" s="3">
        <f t="shared" si="150"/>
        <v>382.970538986056</v>
      </c>
      <c r="F1548" s="3">
        <f t="shared" si="151"/>
        <v>-289.31038898894053</v>
      </c>
      <c r="G1548" s="3">
        <f t="shared" si="152"/>
        <v>6.3398500028845319</v>
      </c>
      <c r="H1548" s="3">
        <f t="shared" si="153"/>
        <v>382.970538986056</v>
      </c>
      <c r="M1548" s="1">
        <f t="shared" si="154"/>
        <v>797</v>
      </c>
      <c r="N1548" s="38">
        <f>+M1548*'Failure Data'!F$3</f>
        <v>20.589166666666667</v>
      </c>
    </row>
    <row r="1549" spans="1:14" x14ac:dyDescent="0.15">
      <c r="A1549" s="1">
        <v>1540</v>
      </c>
      <c r="B1549" s="3">
        <f t="shared" si="149"/>
        <v>389.56129247431255</v>
      </c>
      <c r="C1549" s="8"/>
      <c r="D1549" s="3">
        <f t="shared" si="150"/>
        <v>383.22144247142796</v>
      </c>
      <c r="F1549" s="3">
        <f t="shared" si="151"/>
        <v>-289.56129247431255</v>
      </c>
      <c r="G1549" s="3">
        <f t="shared" si="152"/>
        <v>6.3398500028845888</v>
      </c>
      <c r="H1549" s="3">
        <f t="shared" si="153"/>
        <v>383.22144247142796</v>
      </c>
      <c r="M1549" s="1">
        <f t="shared" si="154"/>
        <v>798</v>
      </c>
      <c r="N1549" s="38">
        <f>+M1549*'Failure Data'!F$3</f>
        <v>20.614999999999998</v>
      </c>
    </row>
    <row r="1550" spans="1:14" x14ac:dyDescent="0.15">
      <c r="A1550" s="1">
        <v>1541</v>
      </c>
      <c r="B1550" s="3">
        <f t="shared" si="149"/>
        <v>389.81219595968452</v>
      </c>
      <c r="C1550" s="8"/>
      <c r="D1550" s="3">
        <f t="shared" si="150"/>
        <v>383.47234595679998</v>
      </c>
      <c r="F1550" s="3">
        <f t="shared" si="151"/>
        <v>-289.81219595968452</v>
      </c>
      <c r="G1550" s="3">
        <f t="shared" si="152"/>
        <v>6.3398500028845319</v>
      </c>
      <c r="H1550" s="3">
        <f t="shared" si="153"/>
        <v>383.47234595679998</v>
      </c>
      <c r="M1550" s="1">
        <f t="shared" si="154"/>
        <v>799</v>
      </c>
      <c r="N1550" s="38">
        <f>+M1550*'Failure Data'!F$3</f>
        <v>20.640833333333333</v>
      </c>
    </row>
    <row r="1551" spans="1:14" x14ac:dyDescent="0.15">
      <c r="A1551" s="1">
        <v>1542</v>
      </c>
      <c r="B1551" s="3">
        <f t="shared" si="149"/>
        <v>390.06309944505654</v>
      </c>
      <c r="C1551" s="8"/>
      <c r="D1551" s="3">
        <f t="shared" si="150"/>
        <v>383.72324944217195</v>
      </c>
      <c r="F1551" s="3">
        <f t="shared" si="151"/>
        <v>-290.06309944505654</v>
      </c>
      <c r="G1551" s="3">
        <f t="shared" si="152"/>
        <v>6.3398500028845888</v>
      </c>
      <c r="H1551" s="3">
        <f t="shared" si="153"/>
        <v>383.72324944217195</v>
      </c>
      <c r="M1551" s="1">
        <f t="shared" si="154"/>
        <v>800</v>
      </c>
      <c r="N1551" s="38">
        <f>+M1551*'Failure Data'!F$3</f>
        <v>20.666666666666668</v>
      </c>
    </row>
    <row r="1552" spans="1:14" x14ac:dyDescent="0.15">
      <c r="A1552" s="1">
        <v>1543</v>
      </c>
      <c r="B1552" s="3">
        <f t="shared" si="149"/>
        <v>390.3140029304285</v>
      </c>
      <c r="C1552" s="8"/>
      <c r="D1552" s="3">
        <f t="shared" si="150"/>
        <v>383.97415292754397</v>
      </c>
      <c r="F1552" s="3">
        <f t="shared" si="151"/>
        <v>-290.3140029304285</v>
      </c>
      <c r="G1552" s="3">
        <f t="shared" si="152"/>
        <v>6.3398500028845319</v>
      </c>
      <c r="H1552" s="3">
        <f t="shared" si="153"/>
        <v>383.97415292754397</v>
      </c>
      <c r="M1552" s="1">
        <f t="shared" si="154"/>
        <v>801</v>
      </c>
      <c r="N1552" s="38">
        <f>+M1552*'Failure Data'!F$3</f>
        <v>20.692499999999999</v>
      </c>
    </row>
    <row r="1553" spans="1:14" x14ac:dyDescent="0.15">
      <c r="A1553" s="1">
        <v>1544</v>
      </c>
      <c r="B1553" s="3">
        <f t="shared" si="149"/>
        <v>390.56490641580052</v>
      </c>
      <c r="C1553" s="8"/>
      <c r="D1553" s="3">
        <f t="shared" si="150"/>
        <v>384.22505641291593</v>
      </c>
      <c r="F1553" s="3">
        <f t="shared" si="151"/>
        <v>-290.56490641580052</v>
      </c>
      <c r="G1553" s="3">
        <f t="shared" si="152"/>
        <v>6.3398500028845888</v>
      </c>
      <c r="H1553" s="3">
        <f t="shared" si="153"/>
        <v>384.22505641291593</v>
      </c>
      <c r="M1553" s="1">
        <f t="shared" si="154"/>
        <v>802</v>
      </c>
      <c r="N1553" s="38">
        <f>+M1553*'Failure Data'!F$3</f>
        <v>20.718333333333334</v>
      </c>
    </row>
    <row r="1554" spans="1:14" x14ac:dyDescent="0.15">
      <c r="A1554" s="1">
        <v>1545</v>
      </c>
      <c r="B1554" s="3">
        <f t="shared" si="149"/>
        <v>390.81580990117249</v>
      </c>
      <c r="C1554" s="8"/>
      <c r="D1554" s="3">
        <f t="shared" si="150"/>
        <v>384.47595989828795</v>
      </c>
      <c r="F1554" s="3">
        <f t="shared" si="151"/>
        <v>-290.81580990117249</v>
      </c>
      <c r="G1554" s="3">
        <f t="shared" si="152"/>
        <v>6.3398500028845319</v>
      </c>
      <c r="H1554" s="3">
        <f t="shared" si="153"/>
        <v>384.47595989828795</v>
      </c>
      <c r="M1554" s="1">
        <f t="shared" si="154"/>
        <v>803</v>
      </c>
      <c r="N1554" s="38">
        <f>+M1554*'Failure Data'!F$3</f>
        <v>20.744166666666665</v>
      </c>
    </row>
    <row r="1555" spans="1:14" x14ac:dyDescent="0.15">
      <c r="A1555" s="1">
        <v>1546</v>
      </c>
      <c r="B1555" s="3">
        <f t="shared" si="149"/>
        <v>391.06671338654451</v>
      </c>
      <c r="C1555" s="8"/>
      <c r="D1555" s="3">
        <f t="shared" si="150"/>
        <v>384.72686338365992</v>
      </c>
      <c r="F1555" s="3">
        <f t="shared" si="151"/>
        <v>-291.06671338654451</v>
      </c>
      <c r="G1555" s="3">
        <f t="shared" si="152"/>
        <v>6.3398500028845888</v>
      </c>
      <c r="H1555" s="3">
        <f t="shared" si="153"/>
        <v>384.72686338365992</v>
      </c>
      <c r="M1555" s="1">
        <f t="shared" si="154"/>
        <v>804</v>
      </c>
      <c r="N1555" s="38">
        <f>+M1555*'Failure Data'!F$3</f>
        <v>20.77</v>
      </c>
    </row>
    <row r="1556" spans="1:14" x14ac:dyDescent="0.15">
      <c r="A1556" s="1">
        <v>1547</v>
      </c>
      <c r="B1556" s="3">
        <f t="shared" si="149"/>
        <v>391.31761687191647</v>
      </c>
      <c r="C1556" s="8"/>
      <c r="D1556" s="3">
        <f t="shared" si="150"/>
        <v>384.97776686903194</v>
      </c>
      <c r="F1556" s="3">
        <f t="shared" si="151"/>
        <v>-291.31761687191647</v>
      </c>
      <c r="G1556" s="3">
        <f t="shared" si="152"/>
        <v>6.3398500028845319</v>
      </c>
      <c r="H1556" s="3">
        <f t="shared" si="153"/>
        <v>384.97776686903194</v>
      </c>
      <c r="M1556" s="1">
        <f t="shared" si="154"/>
        <v>805</v>
      </c>
      <c r="N1556" s="38">
        <f>+M1556*'Failure Data'!F$3</f>
        <v>20.795833333333334</v>
      </c>
    </row>
    <row r="1557" spans="1:14" x14ac:dyDescent="0.15">
      <c r="A1557" s="1">
        <v>1548</v>
      </c>
      <c r="B1557" s="3">
        <f t="shared" si="149"/>
        <v>391.56852035728849</v>
      </c>
      <c r="C1557" s="8"/>
      <c r="D1557" s="3">
        <f t="shared" si="150"/>
        <v>385.2286703544039</v>
      </c>
      <c r="F1557" s="3">
        <f t="shared" si="151"/>
        <v>-291.56852035728849</v>
      </c>
      <c r="G1557" s="3">
        <f t="shared" si="152"/>
        <v>6.3398500028845888</v>
      </c>
      <c r="H1557" s="3">
        <f t="shared" si="153"/>
        <v>385.2286703544039</v>
      </c>
      <c r="M1557" s="1">
        <f t="shared" si="154"/>
        <v>806</v>
      </c>
      <c r="N1557" s="38">
        <f>+M1557*'Failure Data'!F$3</f>
        <v>20.821666666666665</v>
      </c>
    </row>
    <row r="1558" spans="1:14" x14ac:dyDescent="0.15">
      <c r="A1558" s="1">
        <v>1549</v>
      </c>
      <c r="B1558" s="3">
        <f t="shared" si="149"/>
        <v>391.81942384266046</v>
      </c>
      <c r="C1558" s="8"/>
      <c r="D1558" s="3">
        <f t="shared" si="150"/>
        <v>385.47957383977592</v>
      </c>
      <c r="F1558" s="3">
        <f t="shared" si="151"/>
        <v>-291.81942384266046</v>
      </c>
      <c r="G1558" s="3">
        <f t="shared" si="152"/>
        <v>6.3398500028845319</v>
      </c>
      <c r="H1558" s="3">
        <f t="shared" si="153"/>
        <v>385.47957383977592</v>
      </c>
      <c r="M1558" s="1">
        <f t="shared" si="154"/>
        <v>807</v>
      </c>
      <c r="N1558" s="38">
        <f>+M1558*'Failure Data'!F$3</f>
        <v>20.8475</v>
      </c>
    </row>
    <row r="1559" spans="1:14" x14ac:dyDescent="0.15">
      <c r="A1559" s="1">
        <v>1550</v>
      </c>
      <c r="B1559" s="3">
        <f t="shared" si="149"/>
        <v>392.07032732803248</v>
      </c>
      <c r="C1559" s="8"/>
      <c r="D1559" s="3">
        <f t="shared" si="150"/>
        <v>385.73047732514789</v>
      </c>
      <c r="F1559" s="3">
        <f t="shared" si="151"/>
        <v>-292.07032732803248</v>
      </c>
      <c r="G1559" s="3">
        <f t="shared" si="152"/>
        <v>6.3398500028845888</v>
      </c>
      <c r="H1559" s="3">
        <f t="shared" si="153"/>
        <v>385.73047732514789</v>
      </c>
      <c r="M1559" s="1">
        <f t="shared" si="154"/>
        <v>808</v>
      </c>
      <c r="N1559" s="38">
        <f>+M1559*'Failure Data'!F$3</f>
        <v>20.873333333333335</v>
      </c>
    </row>
    <row r="1560" spans="1:14" x14ac:dyDescent="0.15">
      <c r="A1560" s="1">
        <v>1551</v>
      </c>
      <c r="B1560" s="3">
        <f t="shared" si="149"/>
        <v>392.32123081340444</v>
      </c>
      <c r="C1560" s="8"/>
      <c r="D1560" s="3">
        <f t="shared" si="150"/>
        <v>385.98138081051991</v>
      </c>
      <c r="F1560" s="3">
        <f t="shared" si="151"/>
        <v>-292.32123081340444</v>
      </c>
      <c r="G1560" s="3">
        <f t="shared" si="152"/>
        <v>6.3398500028845319</v>
      </c>
      <c r="H1560" s="3">
        <f t="shared" si="153"/>
        <v>385.98138081051991</v>
      </c>
      <c r="M1560" s="1">
        <f t="shared" si="154"/>
        <v>809</v>
      </c>
      <c r="N1560" s="38">
        <f>+M1560*'Failure Data'!F$3</f>
        <v>20.899166666666666</v>
      </c>
    </row>
    <row r="1561" spans="1:14" x14ac:dyDescent="0.15">
      <c r="A1561" s="1">
        <v>1552</v>
      </c>
      <c r="B1561" s="3">
        <f t="shared" si="149"/>
        <v>392.57213429877646</v>
      </c>
      <c r="C1561" s="8"/>
      <c r="D1561" s="3">
        <f t="shared" si="150"/>
        <v>386.23228429589187</v>
      </c>
      <c r="F1561" s="3">
        <f t="shared" si="151"/>
        <v>-292.57213429877646</v>
      </c>
      <c r="G1561" s="3">
        <f t="shared" si="152"/>
        <v>6.3398500028845888</v>
      </c>
      <c r="H1561" s="3">
        <f t="shared" si="153"/>
        <v>386.23228429589187</v>
      </c>
      <c r="M1561" s="1">
        <f t="shared" si="154"/>
        <v>810</v>
      </c>
      <c r="N1561" s="38">
        <f>+M1561*'Failure Data'!F$3</f>
        <v>20.925000000000001</v>
      </c>
    </row>
    <row r="1562" spans="1:14" x14ac:dyDescent="0.15">
      <c r="A1562" s="1">
        <v>1553</v>
      </c>
      <c r="B1562" s="3">
        <f t="shared" si="149"/>
        <v>392.82303778414843</v>
      </c>
      <c r="C1562" s="8"/>
      <c r="D1562" s="3">
        <f t="shared" si="150"/>
        <v>386.48318778126389</v>
      </c>
      <c r="F1562" s="3">
        <f t="shared" si="151"/>
        <v>-292.82303778414843</v>
      </c>
      <c r="G1562" s="3">
        <f t="shared" si="152"/>
        <v>6.3398500028845319</v>
      </c>
      <c r="H1562" s="3">
        <f t="shared" si="153"/>
        <v>386.48318778126389</v>
      </c>
      <c r="M1562" s="1">
        <f t="shared" si="154"/>
        <v>811</v>
      </c>
      <c r="N1562" s="38">
        <f>+M1562*'Failure Data'!F$3</f>
        <v>20.950833333333332</v>
      </c>
    </row>
    <row r="1563" spans="1:14" x14ac:dyDescent="0.15">
      <c r="A1563" s="1">
        <v>1554</v>
      </c>
      <c r="B1563" s="3">
        <f t="shared" si="149"/>
        <v>393.07394126952045</v>
      </c>
      <c r="C1563" s="8"/>
      <c r="D1563" s="3">
        <f t="shared" si="150"/>
        <v>386.73409126663586</v>
      </c>
      <c r="F1563" s="3">
        <f t="shared" si="151"/>
        <v>-293.07394126952045</v>
      </c>
      <c r="G1563" s="3">
        <f t="shared" si="152"/>
        <v>6.3398500028845888</v>
      </c>
      <c r="H1563" s="3">
        <f t="shared" si="153"/>
        <v>386.73409126663586</v>
      </c>
      <c r="M1563" s="1">
        <f t="shared" si="154"/>
        <v>812</v>
      </c>
      <c r="N1563" s="38">
        <f>+M1563*'Failure Data'!F$3</f>
        <v>20.976666666666667</v>
      </c>
    </row>
    <row r="1564" spans="1:14" x14ac:dyDescent="0.15">
      <c r="A1564" s="1">
        <v>1555</v>
      </c>
      <c r="B1564" s="3">
        <f t="shared" si="149"/>
        <v>393.32484475489241</v>
      </c>
      <c r="C1564" s="8"/>
      <c r="D1564" s="3">
        <f t="shared" si="150"/>
        <v>386.98499475200788</v>
      </c>
      <c r="F1564" s="3">
        <f t="shared" si="151"/>
        <v>-293.32484475489241</v>
      </c>
      <c r="G1564" s="3">
        <f t="shared" si="152"/>
        <v>6.3398500028845319</v>
      </c>
      <c r="H1564" s="3">
        <f t="shared" si="153"/>
        <v>386.98499475200788</v>
      </c>
      <c r="M1564" s="1">
        <f t="shared" si="154"/>
        <v>813</v>
      </c>
      <c r="N1564" s="38">
        <f>+M1564*'Failure Data'!F$3</f>
        <v>21.002500000000001</v>
      </c>
    </row>
    <row r="1565" spans="1:14" x14ac:dyDescent="0.15">
      <c r="A1565" s="1">
        <v>1556</v>
      </c>
      <c r="B1565" s="3">
        <f t="shared" si="149"/>
        <v>393.57574824026443</v>
      </c>
      <c r="C1565" s="8"/>
      <c r="D1565" s="3">
        <f t="shared" si="150"/>
        <v>387.23589823737984</v>
      </c>
      <c r="F1565" s="3">
        <f t="shared" si="151"/>
        <v>-293.57574824026443</v>
      </c>
      <c r="G1565" s="3">
        <f t="shared" si="152"/>
        <v>6.3398500028845888</v>
      </c>
      <c r="H1565" s="3">
        <f t="shared" si="153"/>
        <v>387.23589823737984</v>
      </c>
      <c r="M1565" s="1">
        <f t="shared" si="154"/>
        <v>814</v>
      </c>
      <c r="N1565" s="38">
        <f>+M1565*'Failure Data'!F$3</f>
        <v>21.028333333333332</v>
      </c>
    </row>
    <row r="1566" spans="1:14" x14ac:dyDescent="0.15">
      <c r="A1566" s="1">
        <v>1557</v>
      </c>
      <c r="B1566" s="3">
        <f t="shared" si="149"/>
        <v>393.8266517256364</v>
      </c>
      <c r="C1566" s="8"/>
      <c r="D1566" s="3">
        <f t="shared" si="150"/>
        <v>387.48680172275186</v>
      </c>
      <c r="F1566" s="3">
        <f t="shared" si="151"/>
        <v>-293.8266517256364</v>
      </c>
      <c r="G1566" s="3">
        <f t="shared" si="152"/>
        <v>6.3398500028845319</v>
      </c>
      <c r="H1566" s="3">
        <f t="shared" si="153"/>
        <v>387.48680172275186</v>
      </c>
      <c r="M1566" s="1">
        <f t="shared" si="154"/>
        <v>815</v>
      </c>
      <c r="N1566" s="38">
        <f>+M1566*'Failure Data'!F$3</f>
        <v>21.054166666666667</v>
      </c>
    </row>
    <row r="1567" spans="1:14" x14ac:dyDescent="0.15">
      <c r="A1567" s="1">
        <v>1558</v>
      </c>
      <c r="B1567" s="3">
        <f t="shared" si="149"/>
        <v>394.07755521100842</v>
      </c>
      <c r="C1567" s="8"/>
      <c r="D1567" s="3">
        <f t="shared" si="150"/>
        <v>387.73770520812383</v>
      </c>
      <c r="F1567" s="3">
        <f t="shared" si="151"/>
        <v>-294.07755521100842</v>
      </c>
      <c r="G1567" s="3">
        <f t="shared" si="152"/>
        <v>6.3398500028845888</v>
      </c>
      <c r="H1567" s="3">
        <f t="shared" si="153"/>
        <v>387.73770520812383</v>
      </c>
      <c r="M1567" s="1">
        <f t="shared" si="154"/>
        <v>816</v>
      </c>
      <c r="N1567" s="38">
        <f>+M1567*'Failure Data'!F$3</f>
        <v>21.08</v>
      </c>
    </row>
    <row r="1568" spans="1:14" x14ac:dyDescent="0.15">
      <c r="A1568" s="1">
        <v>1559</v>
      </c>
      <c r="B1568" s="3">
        <f t="shared" si="149"/>
        <v>394.32845869638038</v>
      </c>
      <c r="C1568" s="8"/>
      <c r="D1568" s="3">
        <f t="shared" si="150"/>
        <v>387.98860869349585</v>
      </c>
      <c r="F1568" s="3">
        <f t="shared" si="151"/>
        <v>-294.32845869638038</v>
      </c>
      <c r="G1568" s="3">
        <f t="shared" si="152"/>
        <v>6.3398500028845319</v>
      </c>
      <c r="H1568" s="3">
        <f t="shared" si="153"/>
        <v>387.98860869349585</v>
      </c>
      <c r="M1568" s="1">
        <f t="shared" si="154"/>
        <v>817</v>
      </c>
      <c r="N1568" s="38">
        <f>+M1568*'Failure Data'!F$3</f>
        <v>21.105833333333333</v>
      </c>
    </row>
    <row r="1569" spans="1:14" x14ac:dyDescent="0.15">
      <c r="A1569" s="1">
        <v>1560</v>
      </c>
      <c r="B1569" s="3">
        <f t="shared" si="149"/>
        <v>394.5793621817524</v>
      </c>
      <c r="C1569" s="8"/>
      <c r="D1569" s="3">
        <f t="shared" si="150"/>
        <v>388.23951217886787</v>
      </c>
      <c r="F1569" s="3">
        <f t="shared" si="151"/>
        <v>-294.5793621817524</v>
      </c>
      <c r="G1569" s="3">
        <f t="shared" si="152"/>
        <v>6.3398500028845319</v>
      </c>
      <c r="H1569" s="3">
        <f t="shared" si="153"/>
        <v>388.23951217886787</v>
      </c>
      <c r="M1569" s="1">
        <f t="shared" si="154"/>
        <v>818</v>
      </c>
      <c r="N1569" s="38">
        <f>+M1569*'Failure Data'!F$3</f>
        <v>21.131666666666668</v>
      </c>
    </row>
    <row r="1570" spans="1:14" x14ac:dyDescent="0.15">
      <c r="A1570" s="1">
        <v>1561</v>
      </c>
      <c r="B1570" s="3">
        <f t="shared" si="149"/>
        <v>394.83026566712442</v>
      </c>
      <c r="C1570" s="8"/>
      <c r="D1570" s="3">
        <f t="shared" si="150"/>
        <v>388.49041566423983</v>
      </c>
      <c r="F1570" s="3">
        <f t="shared" si="151"/>
        <v>-294.83026566712442</v>
      </c>
      <c r="G1570" s="3">
        <f t="shared" si="152"/>
        <v>6.3398500028845888</v>
      </c>
      <c r="H1570" s="3">
        <f t="shared" si="153"/>
        <v>388.49041566423983</v>
      </c>
      <c r="M1570" s="1">
        <f t="shared" si="154"/>
        <v>819</v>
      </c>
      <c r="N1570" s="38">
        <f>+M1570*'Failure Data'!F$3</f>
        <v>21.157499999999999</v>
      </c>
    </row>
    <row r="1571" spans="1:14" x14ac:dyDescent="0.15">
      <c r="A1571" s="1">
        <v>1562</v>
      </c>
      <c r="B1571" s="3">
        <f t="shared" si="149"/>
        <v>395.08116915249639</v>
      </c>
      <c r="C1571" s="8"/>
      <c r="D1571" s="3">
        <f t="shared" si="150"/>
        <v>388.74131914961185</v>
      </c>
      <c r="F1571" s="3">
        <f t="shared" si="151"/>
        <v>-295.08116915249639</v>
      </c>
      <c r="G1571" s="3">
        <f t="shared" si="152"/>
        <v>6.3398500028845319</v>
      </c>
      <c r="H1571" s="3">
        <f t="shared" si="153"/>
        <v>388.74131914961185</v>
      </c>
      <c r="M1571" s="1">
        <f t="shared" si="154"/>
        <v>820</v>
      </c>
      <c r="N1571" s="38">
        <f>+M1571*'Failure Data'!F$3</f>
        <v>21.183333333333334</v>
      </c>
    </row>
    <row r="1572" spans="1:14" x14ac:dyDescent="0.15">
      <c r="A1572" s="1">
        <v>1563</v>
      </c>
      <c r="B1572" s="3">
        <f t="shared" si="149"/>
        <v>395.33207263786841</v>
      </c>
      <c r="C1572" s="8"/>
      <c r="D1572" s="3">
        <f t="shared" si="150"/>
        <v>388.99222263498382</v>
      </c>
      <c r="F1572" s="3">
        <f t="shared" si="151"/>
        <v>-295.33207263786841</v>
      </c>
      <c r="G1572" s="3">
        <f t="shared" si="152"/>
        <v>6.3398500028845888</v>
      </c>
      <c r="H1572" s="3">
        <f t="shared" si="153"/>
        <v>388.99222263498382</v>
      </c>
      <c r="M1572" s="1">
        <f t="shared" si="154"/>
        <v>821</v>
      </c>
      <c r="N1572" s="38">
        <f>+M1572*'Failure Data'!F$3</f>
        <v>21.209166666666668</v>
      </c>
    </row>
    <row r="1573" spans="1:14" x14ac:dyDescent="0.15">
      <c r="A1573" s="1">
        <v>1564</v>
      </c>
      <c r="B1573" s="3">
        <f t="shared" si="149"/>
        <v>395.58297612324037</v>
      </c>
      <c r="C1573" s="8"/>
      <c r="D1573" s="3">
        <f t="shared" si="150"/>
        <v>389.24312612035584</v>
      </c>
      <c r="F1573" s="3">
        <f t="shared" si="151"/>
        <v>-295.58297612324037</v>
      </c>
      <c r="G1573" s="3">
        <f t="shared" si="152"/>
        <v>6.3398500028845319</v>
      </c>
      <c r="H1573" s="3">
        <f t="shared" si="153"/>
        <v>389.24312612035584</v>
      </c>
      <c r="M1573" s="1">
        <f t="shared" si="154"/>
        <v>822</v>
      </c>
      <c r="N1573" s="38">
        <f>+M1573*'Failure Data'!F$3</f>
        <v>21.234999999999999</v>
      </c>
    </row>
    <row r="1574" spans="1:14" x14ac:dyDescent="0.15">
      <c r="A1574" s="1">
        <v>1565</v>
      </c>
      <c r="B1574" s="3">
        <f t="shared" si="149"/>
        <v>395.83387960861239</v>
      </c>
      <c r="C1574" s="8"/>
      <c r="D1574" s="3">
        <f t="shared" si="150"/>
        <v>389.4940296057278</v>
      </c>
      <c r="F1574" s="3">
        <f t="shared" si="151"/>
        <v>-295.83387960861239</v>
      </c>
      <c r="G1574" s="3">
        <f t="shared" si="152"/>
        <v>6.3398500028845888</v>
      </c>
      <c r="H1574" s="3">
        <f t="shared" si="153"/>
        <v>389.4940296057278</v>
      </c>
      <c r="M1574" s="1">
        <f t="shared" si="154"/>
        <v>823</v>
      </c>
      <c r="N1574" s="38">
        <f>+M1574*'Failure Data'!F$3</f>
        <v>21.260833333333334</v>
      </c>
    </row>
    <row r="1575" spans="1:14" x14ac:dyDescent="0.15">
      <c r="A1575" s="1">
        <v>1566</v>
      </c>
      <c r="B1575" s="3">
        <f t="shared" si="149"/>
        <v>396.08478309398436</v>
      </c>
      <c r="C1575" s="8"/>
      <c r="D1575" s="3">
        <f t="shared" si="150"/>
        <v>389.74493309109982</v>
      </c>
      <c r="F1575" s="3">
        <f t="shared" si="151"/>
        <v>-296.08478309398436</v>
      </c>
      <c r="G1575" s="3">
        <f t="shared" si="152"/>
        <v>6.3398500028845319</v>
      </c>
      <c r="H1575" s="3">
        <f t="shared" si="153"/>
        <v>389.74493309109982</v>
      </c>
      <c r="M1575" s="1">
        <f t="shared" si="154"/>
        <v>824</v>
      </c>
      <c r="N1575" s="38">
        <f>+M1575*'Failure Data'!F$3</f>
        <v>21.286666666666665</v>
      </c>
    </row>
    <row r="1576" spans="1:14" x14ac:dyDescent="0.15">
      <c r="A1576" s="1">
        <v>1567</v>
      </c>
      <c r="B1576" s="3">
        <f t="shared" si="149"/>
        <v>396.33568657935638</v>
      </c>
      <c r="C1576" s="8"/>
      <c r="D1576" s="3">
        <f t="shared" si="150"/>
        <v>389.99583657647179</v>
      </c>
      <c r="F1576" s="3">
        <f t="shared" si="151"/>
        <v>-296.33568657935638</v>
      </c>
      <c r="G1576" s="3">
        <f t="shared" si="152"/>
        <v>6.3398500028845888</v>
      </c>
      <c r="H1576" s="3">
        <f t="shared" si="153"/>
        <v>389.99583657647179</v>
      </c>
      <c r="M1576" s="1">
        <f t="shared" si="154"/>
        <v>825</v>
      </c>
      <c r="N1576" s="38">
        <f>+M1576*'Failure Data'!F$3</f>
        <v>21.3125</v>
      </c>
    </row>
    <row r="1577" spans="1:14" x14ac:dyDescent="0.15">
      <c r="A1577" s="1">
        <v>1568</v>
      </c>
      <c r="B1577" s="3">
        <f t="shared" si="149"/>
        <v>396.58659006472834</v>
      </c>
      <c r="C1577" s="8"/>
      <c r="D1577" s="3">
        <f t="shared" si="150"/>
        <v>390.24674006184381</v>
      </c>
      <c r="F1577" s="3">
        <f t="shared" si="151"/>
        <v>-296.58659006472834</v>
      </c>
      <c r="G1577" s="3">
        <f t="shared" si="152"/>
        <v>6.3398500028845319</v>
      </c>
      <c r="H1577" s="3">
        <f t="shared" si="153"/>
        <v>390.24674006184381</v>
      </c>
      <c r="M1577" s="1">
        <f t="shared" si="154"/>
        <v>826</v>
      </c>
      <c r="N1577" s="38">
        <f>+M1577*'Failure Data'!F$3</f>
        <v>21.338333333333335</v>
      </c>
    </row>
    <row r="1578" spans="1:14" x14ac:dyDescent="0.15">
      <c r="A1578" s="1">
        <v>1569</v>
      </c>
      <c r="B1578" s="3">
        <f t="shared" si="149"/>
        <v>396.83749355010036</v>
      </c>
      <c r="C1578" s="8"/>
      <c r="D1578" s="3">
        <f t="shared" si="150"/>
        <v>390.49764354721577</v>
      </c>
      <c r="F1578" s="3">
        <f t="shared" si="151"/>
        <v>-296.83749355010036</v>
      </c>
      <c r="G1578" s="3">
        <f t="shared" si="152"/>
        <v>6.3398500028845888</v>
      </c>
      <c r="H1578" s="3">
        <f t="shared" si="153"/>
        <v>390.49764354721577</v>
      </c>
      <c r="M1578" s="1">
        <f t="shared" si="154"/>
        <v>827</v>
      </c>
      <c r="N1578" s="38">
        <f>+M1578*'Failure Data'!F$3</f>
        <v>21.364166666666666</v>
      </c>
    </row>
    <row r="1579" spans="1:14" x14ac:dyDescent="0.15">
      <c r="A1579" s="1">
        <v>1570</v>
      </c>
      <c r="B1579" s="3">
        <f t="shared" si="149"/>
        <v>397.08839703547233</v>
      </c>
      <c r="C1579" s="8"/>
      <c r="D1579" s="3">
        <f t="shared" si="150"/>
        <v>390.74854703258779</v>
      </c>
      <c r="F1579" s="3">
        <f t="shared" si="151"/>
        <v>-297.08839703547233</v>
      </c>
      <c r="G1579" s="3">
        <f t="shared" si="152"/>
        <v>6.3398500028845319</v>
      </c>
      <c r="H1579" s="3">
        <f t="shared" si="153"/>
        <v>390.74854703258779</v>
      </c>
      <c r="M1579" s="1">
        <f t="shared" si="154"/>
        <v>828</v>
      </c>
      <c r="N1579" s="38">
        <f>+M1579*'Failure Data'!F$3</f>
        <v>21.39</v>
      </c>
    </row>
    <row r="1580" spans="1:14" x14ac:dyDescent="0.15">
      <c r="A1580" s="1">
        <v>1571</v>
      </c>
      <c r="B1580" s="3">
        <f t="shared" si="149"/>
        <v>397.33930052084435</v>
      </c>
      <c r="C1580" s="8"/>
      <c r="D1580" s="3">
        <f t="shared" si="150"/>
        <v>390.99945051795976</v>
      </c>
      <c r="F1580" s="3">
        <f t="shared" si="151"/>
        <v>-297.33930052084435</v>
      </c>
      <c r="G1580" s="3">
        <f t="shared" si="152"/>
        <v>6.3398500028845888</v>
      </c>
      <c r="H1580" s="3">
        <f t="shared" si="153"/>
        <v>390.99945051795976</v>
      </c>
      <c r="M1580" s="1">
        <f t="shared" si="154"/>
        <v>829</v>
      </c>
      <c r="N1580" s="38">
        <f>+M1580*'Failure Data'!F$3</f>
        <v>21.415833333333332</v>
      </c>
    </row>
    <row r="1581" spans="1:14" x14ac:dyDescent="0.15">
      <c r="A1581" s="1">
        <v>1572</v>
      </c>
      <c r="B1581" s="3">
        <f t="shared" si="149"/>
        <v>397.59020400621631</v>
      </c>
      <c r="C1581" s="8"/>
      <c r="D1581" s="3">
        <f t="shared" si="150"/>
        <v>391.25035400333178</v>
      </c>
      <c r="F1581" s="3">
        <f t="shared" si="151"/>
        <v>-297.59020400621631</v>
      </c>
      <c r="G1581" s="3">
        <f t="shared" si="152"/>
        <v>6.3398500028845319</v>
      </c>
      <c r="H1581" s="3">
        <f t="shared" si="153"/>
        <v>391.25035400333178</v>
      </c>
      <c r="M1581" s="1">
        <f t="shared" si="154"/>
        <v>830</v>
      </c>
      <c r="N1581" s="38">
        <f>+M1581*'Failure Data'!F$3</f>
        <v>21.441666666666666</v>
      </c>
    </row>
    <row r="1582" spans="1:14" x14ac:dyDescent="0.15">
      <c r="A1582" s="1">
        <v>1573</v>
      </c>
      <c r="B1582" s="3">
        <f t="shared" ref="B1582:B1630" si="155">+(B$4*A1582)+B$5</f>
        <v>397.84110749158833</v>
      </c>
      <c r="C1582" s="8"/>
      <c r="D1582" s="3">
        <f t="shared" ref="D1582:D1630" si="156">+(D$4*A1582)+D$5</f>
        <v>391.50125748870374</v>
      </c>
      <c r="F1582" s="3">
        <f t="shared" ref="F1582:F1630" si="157">+xmax-B1582</f>
        <v>-297.84110749158833</v>
      </c>
      <c r="G1582" s="3">
        <f t="shared" ref="G1582:G1630" si="158">+B1582-D1582</f>
        <v>6.3398500028845888</v>
      </c>
      <c r="H1582" s="3">
        <f t="shared" ref="H1582:H1630" si="159">D1582</f>
        <v>391.50125748870374</v>
      </c>
      <c r="M1582" s="1">
        <f t="shared" si="154"/>
        <v>831</v>
      </c>
      <c r="N1582" s="38">
        <f>+M1582*'Failure Data'!F$3</f>
        <v>21.467500000000001</v>
      </c>
    </row>
    <row r="1583" spans="1:14" x14ac:dyDescent="0.15">
      <c r="A1583" s="1">
        <v>1574</v>
      </c>
      <c r="B1583" s="3">
        <f t="shared" si="155"/>
        <v>398.0920109769603</v>
      </c>
      <c r="C1583" s="8"/>
      <c r="D1583" s="3">
        <f t="shared" si="156"/>
        <v>391.75216097407576</v>
      </c>
      <c r="F1583" s="3">
        <f t="shared" si="157"/>
        <v>-298.0920109769603</v>
      </c>
      <c r="G1583" s="3">
        <f t="shared" si="158"/>
        <v>6.3398500028845319</v>
      </c>
      <c r="H1583" s="3">
        <f t="shared" si="159"/>
        <v>391.75216097407576</v>
      </c>
      <c r="M1583" s="1">
        <f t="shared" si="154"/>
        <v>832</v>
      </c>
      <c r="N1583" s="38">
        <f>+M1583*'Failure Data'!F$3</f>
        <v>21.493333333333332</v>
      </c>
    </row>
    <row r="1584" spans="1:14" x14ac:dyDescent="0.15">
      <c r="A1584" s="1">
        <v>1575</v>
      </c>
      <c r="B1584" s="3">
        <f t="shared" si="155"/>
        <v>398.34291446233232</v>
      </c>
      <c r="C1584" s="8"/>
      <c r="D1584" s="3">
        <f t="shared" si="156"/>
        <v>392.00306445944773</v>
      </c>
      <c r="F1584" s="3">
        <f t="shared" si="157"/>
        <v>-298.34291446233232</v>
      </c>
      <c r="G1584" s="3">
        <f t="shared" si="158"/>
        <v>6.3398500028845888</v>
      </c>
      <c r="H1584" s="3">
        <f t="shared" si="159"/>
        <v>392.00306445944773</v>
      </c>
      <c r="M1584" s="1">
        <f t="shared" si="154"/>
        <v>833</v>
      </c>
      <c r="N1584" s="38">
        <f>+M1584*'Failure Data'!F$3</f>
        <v>21.519166666666667</v>
      </c>
    </row>
    <row r="1585" spans="1:14" x14ac:dyDescent="0.15">
      <c r="A1585" s="1">
        <v>1576</v>
      </c>
      <c r="B1585" s="3">
        <f t="shared" si="155"/>
        <v>398.59381794770428</v>
      </c>
      <c r="C1585" s="8"/>
      <c r="D1585" s="3">
        <f t="shared" si="156"/>
        <v>392.25396794481975</v>
      </c>
      <c r="F1585" s="3">
        <f t="shared" si="157"/>
        <v>-298.59381794770428</v>
      </c>
      <c r="G1585" s="3">
        <f t="shared" si="158"/>
        <v>6.3398500028845319</v>
      </c>
      <c r="H1585" s="3">
        <f t="shared" si="159"/>
        <v>392.25396794481975</v>
      </c>
      <c r="M1585" s="1">
        <f t="shared" si="154"/>
        <v>834</v>
      </c>
      <c r="N1585" s="38">
        <f>+M1585*'Failure Data'!F$3</f>
        <v>21.544999999999998</v>
      </c>
    </row>
    <row r="1586" spans="1:14" x14ac:dyDescent="0.15">
      <c r="A1586" s="1">
        <v>1577</v>
      </c>
      <c r="B1586" s="3">
        <f t="shared" si="155"/>
        <v>398.8447214330763</v>
      </c>
      <c r="C1586" s="8"/>
      <c r="D1586" s="3">
        <f t="shared" si="156"/>
        <v>392.50487143019171</v>
      </c>
      <c r="F1586" s="3">
        <f t="shared" si="157"/>
        <v>-298.8447214330763</v>
      </c>
      <c r="G1586" s="3">
        <f t="shared" si="158"/>
        <v>6.3398500028845888</v>
      </c>
      <c r="H1586" s="3">
        <f t="shared" si="159"/>
        <v>392.50487143019171</v>
      </c>
      <c r="M1586" s="1">
        <f t="shared" si="154"/>
        <v>835</v>
      </c>
      <c r="N1586" s="38">
        <f>+M1586*'Failure Data'!F$3</f>
        <v>21.570833333333333</v>
      </c>
    </row>
    <row r="1587" spans="1:14" x14ac:dyDescent="0.15">
      <c r="A1587" s="1">
        <v>1578</v>
      </c>
      <c r="B1587" s="3">
        <f t="shared" si="155"/>
        <v>399.09562491844827</v>
      </c>
      <c r="C1587" s="8"/>
      <c r="D1587" s="3">
        <f t="shared" si="156"/>
        <v>392.75577491556373</v>
      </c>
      <c r="F1587" s="3">
        <f t="shared" si="157"/>
        <v>-299.09562491844827</v>
      </c>
      <c r="G1587" s="3">
        <f t="shared" si="158"/>
        <v>6.3398500028845319</v>
      </c>
      <c r="H1587" s="3">
        <f t="shared" si="159"/>
        <v>392.75577491556373</v>
      </c>
      <c r="M1587" s="1">
        <f t="shared" si="154"/>
        <v>836</v>
      </c>
      <c r="N1587" s="38">
        <f>+M1587*'Failure Data'!F$3</f>
        <v>21.596666666666668</v>
      </c>
    </row>
    <row r="1588" spans="1:14" x14ac:dyDescent="0.15">
      <c r="A1588" s="1">
        <v>1579</v>
      </c>
      <c r="B1588" s="3">
        <f t="shared" si="155"/>
        <v>399.34652840382029</v>
      </c>
      <c r="C1588" s="8"/>
      <c r="D1588" s="3">
        <f t="shared" si="156"/>
        <v>393.0066784009357</v>
      </c>
      <c r="F1588" s="3">
        <f t="shared" si="157"/>
        <v>-299.34652840382029</v>
      </c>
      <c r="G1588" s="3">
        <f t="shared" si="158"/>
        <v>6.3398500028845888</v>
      </c>
      <c r="H1588" s="3">
        <f t="shared" si="159"/>
        <v>393.0066784009357</v>
      </c>
      <c r="M1588" s="1">
        <f t="shared" si="154"/>
        <v>837</v>
      </c>
      <c r="N1588" s="38">
        <f>+M1588*'Failure Data'!F$3</f>
        <v>21.622499999999999</v>
      </c>
    </row>
    <row r="1589" spans="1:14" x14ac:dyDescent="0.15">
      <c r="A1589" s="1">
        <v>1580</v>
      </c>
      <c r="B1589" s="3">
        <f t="shared" si="155"/>
        <v>399.59743188919225</v>
      </c>
      <c r="C1589" s="8"/>
      <c r="D1589" s="3">
        <f t="shared" si="156"/>
        <v>393.25758188630772</v>
      </c>
      <c r="F1589" s="3">
        <f t="shared" si="157"/>
        <v>-299.59743188919225</v>
      </c>
      <c r="G1589" s="3">
        <f t="shared" si="158"/>
        <v>6.3398500028845319</v>
      </c>
      <c r="H1589" s="3">
        <f t="shared" si="159"/>
        <v>393.25758188630772</v>
      </c>
      <c r="M1589" s="1">
        <f t="shared" si="154"/>
        <v>838</v>
      </c>
      <c r="N1589" s="38">
        <f>+M1589*'Failure Data'!F$3</f>
        <v>21.648333333333333</v>
      </c>
    </row>
    <row r="1590" spans="1:14" x14ac:dyDescent="0.15">
      <c r="A1590" s="1">
        <v>1581</v>
      </c>
      <c r="B1590" s="3">
        <f t="shared" si="155"/>
        <v>399.84833537456427</v>
      </c>
      <c r="C1590" s="8"/>
      <c r="D1590" s="3">
        <f t="shared" si="156"/>
        <v>393.50848537167968</v>
      </c>
      <c r="F1590" s="3">
        <f t="shared" si="157"/>
        <v>-299.84833537456427</v>
      </c>
      <c r="G1590" s="3">
        <f t="shared" si="158"/>
        <v>6.3398500028845888</v>
      </c>
      <c r="H1590" s="3">
        <f t="shared" si="159"/>
        <v>393.50848537167968</v>
      </c>
      <c r="M1590" s="1">
        <f t="shared" si="154"/>
        <v>839</v>
      </c>
      <c r="N1590" s="38">
        <f>+M1590*'Failure Data'!F$3</f>
        <v>21.674166666666668</v>
      </c>
    </row>
    <row r="1591" spans="1:14" x14ac:dyDescent="0.15">
      <c r="A1591" s="1">
        <v>1582</v>
      </c>
      <c r="B1591" s="3">
        <f t="shared" si="155"/>
        <v>400.09923885993624</v>
      </c>
      <c r="C1591" s="8"/>
      <c r="D1591" s="3">
        <f t="shared" si="156"/>
        <v>393.7593888570517</v>
      </c>
      <c r="F1591" s="3">
        <f t="shared" si="157"/>
        <v>-300.09923885993624</v>
      </c>
      <c r="G1591" s="3">
        <f t="shared" si="158"/>
        <v>6.3398500028845319</v>
      </c>
      <c r="H1591" s="3">
        <f t="shared" si="159"/>
        <v>393.7593888570517</v>
      </c>
      <c r="M1591" s="1">
        <f t="shared" si="154"/>
        <v>840</v>
      </c>
      <c r="N1591" s="38">
        <f>+M1591*'Failure Data'!F$3</f>
        <v>21.7</v>
      </c>
    </row>
    <row r="1592" spans="1:14" x14ac:dyDescent="0.15">
      <c r="A1592" s="1">
        <v>1583</v>
      </c>
      <c r="B1592" s="3">
        <f t="shared" si="155"/>
        <v>400.35014234530826</v>
      </c>
      <c r="C1592" s="8"/>
      <c r="D1592" s="3">
        <f t="shared" si="156"/>
        <v>394.01029234242372</v>
      </c>
      <c r="F1592" s="3">
        <f t="shared" si="157"/>
        <v>-300.35014234530826</v>
      </c>
      <c r="G1592" s="3">
        <f t="shared" si="158"/>
        <v>6.3398500028845319</v>
      </c>
      <c r="H1592" s="3">
        <f t="shared" si="159"/>
        <v>394.01029234242372</v>
      </c>
      <c r="M1592" s="1">
        <f t="shared" si="154"/>
        <v>841</v>
      </c>
      <c r="N1592" s="38">
        <f>+M1592*'Failure Data'!F$3</f>
        <v>21.725833333333334</v>
      </c>
    </row>
    <row r="1593" spans="1:14" x14ac:dyDescent="0.15">
      <c r="A1593" s="1">
        <v>1584</v>
      </c>
      <c r="B1593" s="3">
        <f t="shared" si="155"/>
        <v>400.60104583068022</v>
      </c>
      <c r="C1593" s="8"/>
      <c r="D1593" s="3">
        <f t="shared" si="156"/>
        <v>394.26119582779569</v>
      </c>
      <c r="F1593" s="3">
        <f t="shared" si="157"/>
        <v>-300.60104583068022</v>
      </c>
      <c r="G1593" s="3">
        <f t="shared" si="158"/>
        <v>6.3398500028845319</v>
      </c>
      <c r="H1593" s="3">
        <f t="shared" si="159"/>
        <v>394.26119582779569</v>
      </c>
      <c r="M1593" s="1">
        <f t="shared" si="154"/>
        <v>842</v>
      </c>
      <c r="N1593" s="38">
        <f>+M1593*'Failure Data'!F$3</f>
        <v>21.751666666666665</v>
      </c>
    </row>
    <row r="1594" spans="1:14" x14ac:dyDescent="0.15">
      <c r="A1594" s="1">
        <v>1585</v>
      </c>
      <c r="B1594" s="3">
        <f t="shared" si="155"/>
        <v>400.85194931605224</v>
      </c>
      <c r="C1594" s="8"/>
      <c r="D1594" s="3">
        <f t="shared" si="156"/>
        <v>394.51209931316771</v>
      </c>
      <c r="F1594" s="3">
        <f t="shared" si="157"/>
        <v>-300.85194931605224</v>
      </c>
      <c r="G1594" s="3">
        <f t="shared" si="158"/>
        <v>6.3398500028845319</v>
      </c>
      <c r="H1594" s="3">
        <f t="shared" si="159"/>
        <v>394.51209931316771</v>
      </c>
      <c r="M1594" s="1">
        <f t="shared" si="154"/>
        <v>843</v>
      </c>
      <c r="N1594" s="38">
        <f>+M1594*'Failure Data'!F$3</f>
        <v>21.7775</v>
      </c>
    </row>
    <row r="1595" spans="1:14" x14ac:dyDescent="0.15">
      <c r="A1595" s="1">
        <v>1586</v>
      </c>
      <c r="B1595" s="3">
        <f t="shared" si="155"/>
        <v>401.10285280142426</v>
      </c>
      <c r="C1595" s="8"/>
      <c r="D1595" s="3">
        <f t="shared" si="156"/>
        <v>394.76300279853967</v>
      </c>
      <c r="F1595" s="3">
        <f t="shared" si="157"/>
        <v>-301.10285280142426</v>
      </c>
      <c r="G1595" s="3">
        <f t="shared" si="158"/>
        <v>6.3398500028845888</v>
      </c>
      <c r="H1595" s="3">
        <f t="shared" si="159"/>
        <v>394.76300279853967</v>
      </c>
      <c r="M1595" s="1">
        <f t="shared" si="154"/>
        <v>844</v>
      </c>
      <c r="N1595" s="38">
        <f>+M1595*'Failure Data'!F$3</f>
        <v>21.803333333333335</v>
      </c>
    </row>
    <row r="1596" spans="1:14" x14ac:dyDescent="0.15">
      <c r="A1596" s="1">
        <v>1587</v>
      </c>
      <c r="B1596" s="3">
        <f t="shared" si="155"/>
        <v>401.35375628679623</v>
      </c>
      <c r="C1596" s="8"/>
      <c r="D1596" s="3">
        <f t="shared" si="156"/>
        <v>395.01390628391169</v>
      </c>
      <c r="F1596" s="3">
        <f t="shared" si="157"/>
        <v>-301.35375628679623</v>
      </c>
      <c r="G1596" s="3">
        <f t="shared" si="158"/>
        <v>6.3398500028845319</v>
      </c>
      <c r="H1596" s="3">
        <f t="shared" si="159"/>
        <v>395.01390628391169</v>
      </c>
      <c r="M1596" s="1">
        <f t="shared" si="154"/>
        <v>845</v>
      </c>
      <c r="N1596" s="38">
        <f>+M1596*'Failure Data'!F$3</f>
        <v>21.829166666666666</v>
      </c>
    </row>
    <row r="1597" spans="1:14" x14ac:dyDescent="0.15">
      <c r="A1597" s="1">
        <v>1588</v>
      </c>
      <c r="B1597" s="3">
        <f t="shared" si="155"/>
        <v>401.60465977216825</v>
      </c>
      <c r="C1597" s="8"/>
      <c r="D1597" s="3">
        <f t="shared" si="156"/>
        <v>395.26480976928366</v>
      </c>
      <c r="F1597" s="3">
        <f t="shared" si="157"/>
        <v>-301.60465977216825</v>
      </c>
      <c r="G1597" s="3">
        <f t="shared" si="158"/>
        <v>6.3398500028845888</v>
      </c>
      <c r="H1597" s="3">
        <f t="shared" si="159"/>
        <v>395.26480976928366</v>
      </c>
      <c r="M1597" s="1">
        <f t="shared" si="154"/>
        <v>846</v>
      </c>
      <c r="N1597" s="38">
        <f>+M1597*'Failure Data'!F$3</f>
        <v>21.855</v>
      </c>
    </row>
    <row r="1598" spans="1:14" x14ac:dyDescent="0.15">
      <c r="A1598" s="1">
        <v>1589</v>
      </c>
      <c r="B1598" s="3">
        <f t="shared" si="155"/>
        <v>401.85556325754021</v>
      </c>
      <c r="C1598" s="8"/>
      <c r="D1598" s="3">
        <f t="shared" si="156"/>
        <v>395.51571325465568</v>
      </c>
      <c r="F1598" s="3">
        <f t="shared" si="157"/>
        <v>-301.85556325754021</v>
      </c>
      <c r="G1598" s="3">
        <f t="shared" si="158"/>
        <v>6.3398500028845319</v>
      </c>
      <c r="H1598" s="3">
        <f t="shared" si="159"/>
        <v>395.51571325465568</v>
      </c>
      <c r="M1598" s="1">
        <f t="shared" si="154"/>
        <v>847</v>
      </c>
      <c r="N1598" s="38">
        <f>+M1598*'Failure Data'!F$3</f>
        <v>21.880833333333332</v>
      </c>
    </row>
    <row r="1599" spans="1:14" x14ac:dyDescent="0.15">
      <c r="A1599" s="1">
        <v>1590</v>
      </c>
      <c r="B1599" s="3">
        <f t="shared" si="155"/>
        <v>402.10646674291223</v>
      </c>
      <c r="C1599" s="8"/>
      <c r="D1599" s="3">
        <f t="shared" si="156"/>
        <v>395.76661674002764</v>
      </c>
      <c r="F1599" s="3">
        <f t="shared" si="157"/>
        <v>-302.10646674291223</v>
      </c>
      <c r="G1599" s="3">
        <f t="shared" si="158"/>
        <v>6.3398500028845888</v>
      </c>
      <c r="H1599" s="3">
        <f t="shared" si="159"/>
        <v>395.76661674002764</v>
      </c>
      <c r="M1599" s="1">
        <f t="shared" si="154"/>
        <v>848</v>
      </c>
      <c r="N1599" s="38">
        <f>+M1599*'Failure Data'!F$3</f>
        <v>21.906666666666666</v>
      </c>
    </row>
    <row r="1600" spans="1:14" x14ac:dyDescent="0.15">
      <c r="A1600" s="1">
        <v>1591</v>
      </c>
      <c r="B1600" s="3">
        <f t="shared" si="155"/>
        <v>402.3573702282842</v>
      </c>
      <c r="C1600" s="8"/>
      <c r="D1600" s="3">
        <f t="shared" si="156"/>
        <v>396.01752022539966</v>
      </c>
      <c r="F1600" s="3">
        <f t="shared" si="157"/>
        <v>-302.3573702282842</v>
      </c>
      <c r="G1600" s="3">
        <f t="shared" si="158"/>
        <v>6.3398500028845319</v>
      </c>
      <c r="H1600" s="3">
        <f t="shared" si="159"/>
        <v>396.01752022539966</v>
      </c>
      <c r="M1600" s="1">
        <f t="shared" si="154"/>
        <v>849</v>
      </c>
      <c r="N1600" s="38">
        <f>+M1600*'Failure Data'!F$3</f>
        <v>21.932500000000001</v>
      </c>
    </row>
    <row r="1601" spans="1:14" x14ac:dyDescent="0.15">
      <c r="A1601" s="1">
        <v>1592</v>
      </c>
      <c r="B1601" s="3">
        <f t="shared" si="155"/>
        <v>402.60827371365622</v>
      </c>
      <c r="C1601" s="8"/>
      <c r="D1601" s="3">
        <f t="shared" si="156"/>
        <v>396.26842371077163</v>
      </c>
      <c r="F1601" s="3">
        <f t="shared" si="157"/>
        <v>-302.60827371365622</v>
      </c>
      <c r="G1601" s="3">
        <f t="shared" si="158"/>
        <v>6.3398500028845888</v>
      </c>
      <c r="H1601" s="3">
        <f t="shared" si="159"/>
        <v>396.26842371077163</v>
      </c>
      <c r="M1601" s="1">
        <f t="shared" ref="M1601:M1664" si="160">M1600+1</f>
        <v>850</v>
      </c>
      <c r="N1601" s="38">
        <f>+M1601*'Failure Data'!F$3</f>
        <v>21.958333333333332</v>
      </c>
    </row>
    <row r="1602" spans="1:14" x14ac:dyDescent="0.15">
      <c r="A1602" s="1">
        <v>1593</v>
      </c>
      <c r="B1602" s="3">
        <f t="shared" si="155"/>
        <v>402.85917719902818</v>
      </c>
      <c r="C1602" s="8"/>
      <c r="D1602" s="3">
        <f t="shared" si="156"/>
        <v>396.51932719614365</v>
      </c>
      <c r="F1602" s="3">
        <f t="shared" si="157"/>
        <v>-302.85917719902818</v>
      </c>
      <c r="G1602" s="3">
        <f t="shared" si="158"/>
        <v>6.3398500028845319</v>
      </c>
      <c r="H1602" s="3">
        <f t="shared" si="159"/>
        <v>396.51932719614365</v>
      </c>
      <c r="M1602" s="1">
        <f t="shared" si="160"/>
        <v>851</v>
      </c>
      <c r="N1602" s="38">
        <f>+M1602*'Failure Data'!F$3</f>
        <v>21.984166666666667</v>
      </c>
    </row>
    <row r="1603" spans="1:14" x14ac:dyDescent="0.15">
      <c r="A1603" s="1">
        <v>1594</v>
      </c>
      <c r="B1603" s="3">
        <f t="shared" si="155"/>
        <v>403.1100806844002</v>
      </c>
      <c r="C1603" s="8"/>
      <c r="D1603" s="3">
        <f t="shared" si="156"/>
        <v>396.77023068151561</v>
      </c>
      <c r="F1603" s="3">
        <f t="shared" si="157"/>
        <v>-303.1100806844002</v>
      </c>
      <c r="G1603" s="3">
        <f t="shared" si="158"/>
        <v>6.3398500028845888</v>
      </c>
      <c r="H1603" s="3">
        <f t="shared" si="159"/>
        <v>396.77023068151561</v>
      </c>
      <c r="M1603" s="1">
        <f t="shared" si="160"/>
        <v>852</v>
      </c>
      <c r="N1603" s="38">
        <f>+M1603*'Failure Data'!F$3</f>
        <v>22.01</v>
      </c>
    </row>
    <row r="1604" spans="1:14" x14ac:dyDescent="0.15">
      <c r="A1604" s="1">
        <v>1595</v>
      </c>
      <c r="B1604" s="3">
        <f t="shared" si="155"/>
        <v>403.36098416977217</v>
      </c>
      <c r="C1604" s="8"/>
      <c r="D1604" s="3">
        <f t="shared" si="156"/>
        <v>397.02113416688763</v>
      </c>
      <c r="F1604" s="3">
        <f t="shared" si="157"/>
        <v>-303.36098416977217</v>
      </c>
      <c r="G1604" s="3">
        <f t="shared" si="158"/>
        <v>6.3398500028845319</v>
      </c>
      <c r="H1604" s="3">
        <f t="shared" si="159"/>
        <v>397.02113416688763</v>
      </c>
      <c r="M1604" s="1">
        <f t="shared" si="160"/>
        <v>853</v>
      </c>
      <c r="N1604" s="38">
        <f>+M1604*'Failure Data'!F$3</f>
        <v>22.035833333333333</v>
      </c>
    </row>
    <row r="1605" spans="1:14" x14ac:dyDescent="0.15">
      <c r="A1605" s="1">
        <v>1596</v>
      </c>
      <c r="B1605" s="3">
        <f t="shared" si="155"/>
        <v>403.61188765514419</v>
      </c>
      <c r="C1605" s="8"/>
      <c r="D1605" s="3">
        <f t="shared" si="156"/>
        <v>397.2720376522596</v>
      </c>
      <c r="F1605" s="3">
        <f t="shared" si="157"/>
        <v>-303.61188765514419</v>
      </c>
      <c r="G1605" s="3">
        <f t="shared" si="158"/>
        <v>6.3398500028845888</v>
      </c>
      <c r="H1605" s="3">
        <f t="shared" si="159"/>
        <v>397.2720376522596</v>
      </c>
      <c r="M1605" s="1">
        <f t="shared" si="160"/>
        <v>854</v>
      </c>
      <c r="N1605" s="38">
        <f>+M1605*'Failure Data'!F$3</f>
        <v>22.061666666666667</v>
      </c>
    </row>
    <row r="1606" spans="1:14" x14ac:dyDescent="0.15">
      <c r="A1606" s="1">
        <v>1597</v>
      </c>
      <c r="B1606" s="3">
        <f t="shared" si="155"/>
        <v>403.86279114051615</v>
      </c>
      <c r="C1606" s="8"/>
      <c r="D1606" s="3">
        <f t="shared" si="156"/>
        <v>397.52294113763162</v>
      </c>
      <c r="F1606" s="3">
        <f t="shared" si="157"/>
        <v>-303.86279114051615</v>
      </c>
      <c r="G1606" s="3">
        <f t="shared" si="158"/>
        <v>6.3398500028845319</v>
      </c>
      <c r="H1606" s="3">
        <f t="shared" si="159"/>
        <v>397.52294113763162</v>
      </c>
      <c r="M1606" s="1">
        <f t="shared" si="160"/>
        <v>855</v>
      </c>
      <c r="N1606" s="38">
        <f>+M1606*'Failure Data'!F$3</f>
        <v>22.087499999999999</v>
      </c>
    </row>
    <row r="1607" spans="1:14" x14ac:dyDescent="0.15">
      <c r="A1607" s="1">
        <v>1598</v>
      </c>
      <c r="B1607" s="3">
        <f t="shared" si="155"/>
        <v>404.11369462588817</v>
      </c>
      <c r="C1607" s="8"/>
      <c r="D1607" s="3">
        <f t="shared" si="156"/>
        <v>397.77384462300358</v>
      </c>
      <c r="F1607" s="3">
        <f t="shared" si="157"/>
        <v>-304.11369462588817</v>
      </c>
      <c r="G1607" s="3">
        <f t="shared" si="158"/>
        <v>6.3398500028845888</v>
      </c>
      <c r="H1607" s="3">
        <f t="shared" si="159"/>
        <v>397.77384462300358</v>
      </c>
      <c r="M1607" s="1">
        <f t="shared" si="160"/>
        <v>856</v>
      </c>
      <c r="N1607" s="38">
        <f>+M1607*'Failure Data'!F$3</f>
        <v>22.113333333333333</v>
      </c>
    </row>
    <row r="1608" spans="1:14" x14ac:dyDescent="0.15">
      <c r="A1608" s="1">
        <v>1599</v>
      </c>
      <c r="B1608" s="3">
        <f t="shared" si="155"/>
        <v>404.36459811126014</v>
      </c>
      <c r="C1608" s="8"/>
      <c r="D1608" s="3">
        <f t="shared" si="156"/>
        <v>398.0247481083756</v>
      </c>
      <c r="F1608" s="3">
        <f t="shared" si="157"/>
        <v>-304.36459811126014</v>
      </c>
      <c r="G1608" s="3">
        <f t="shared" si="158"/>
        <v>6.3398500028845319</v>
      </c>
      <c r="H1608" s="3">
        <f t="shared" si="159"/>
        <v>398.0247481083756</v>
      </c>
      <c r="M1608" s="1">
        <f t="shared" si="160"/>
        <v>857</v>
      </c>
      <c r="N1608" s="38">
        <f>+M1608*'Failure Data'!F$3</f>
        <v>22.139166666666668</v>
      </c>
    </row>
    <row r="1609" spans="1:14" x14ac:dyDescent="0.15">
      <c r="A1609" s="1">
        <v>1600</v>
      </c>
      <c r="B1609" s="3">
        <f t="shared" si="155"/>
        <v>404.61550159663216</v>
      </c>
      <c r="C1609" s="8"/>
      <c r="D1609" s="3">
        <f t="shared" si="156"/>
        <v>398.27565159374757</v>
      </c>
      <c r="F1609" s="3">
        <f t="shared" si="157"/>
        <v>-304.61550159663216</v>
      </c>
      <c r="G1609" s="3">
        <f t="shared" si="158"/>
        <v>6.3398500028845888</v>
      </c>
      <c r="H1609" s="3">
        <f t="shared" si="159"/>
        <v>398.27565159374757</v>
      </c>
      <c r="M1609" s="1">
        <f t="shared" si="160"/>
        <v>858</v>
      </c>
      <c r="N1609" s="38">
        <f>+M1609*'Failure Data'!F$3</f>
        <v>22.164999999999999</v>
      </c>
    </row>
    <row r="1610" spans="1:14" x14ac:dyDescent="0.15">
      <c r="A1610" s="1">
        <v>1601</v>
      </c>
      <c r="B1610" s="3">
        <f t="shared" si="155"/>
        <v>404.86640508200412</v>
      </c>
      <c r="C1610" s="8"/>
      <c r="D1610" s="3">
        <f t="shared" si="156"/>
        <v>398.52655507911959</v>
      </c>
      <c r="F1610" s="3">
        <f t="shared" si="157"/>
        <v>-304.86640508200412</v>
      </c>
      <c r="G1610" s="3">
        <f t="shared" si="158"/>
        <v>6.3398500028845319</v>
      </c>
      <c r="H1610" s="3">
        <f t="shared" si="159"/>
        <v>398.52655507911959</v>
      </c>
      <c r="M1610" s="1">
        <f t="shared" si="160"/>
        <v>859</v>
      </c>
      <c r="N1610" s="38">
        <f>+M1610*'Failure Data'!F$3</f>
        <v>22.190833333333334</v>
      </c>
    </row>
    <row r="1611" spans="1:14" x14ac:dyDescent="0.15">
      <c r="A1611" s="1">
        <v>1602</v>
      </c>
      <c r="B1611" s="3">
        <f t="shared" si="155"/>
        <v>405.11730856737614</v>
      </c>
      <c r="C1611" s="8"/>
      <c r="D1611" s="3">
        <f t="shared" si="156"/>
        <v>398.77745856449155</v>
      </c>
      <c r="F1611" s="3">
        <f t="shared" si="157"/>
        <v>-305.11730856737614</v>
      </c>
      <c r="G1611" s="3">
        <f t="shared" si="158"/>
        <v>6.3398500028845888</v>
      </c>
      <c r="H1611" s="3">
        <f t="shared" si="159"/>
        <v>398.77745856449155</v>
      </c>
      <c r="M1611" s="1">
        <f t="shared" si="160"/>
        <v>860</v>
      </c>
      <c r="N1611" s="38">
        <f>+M1611*'Failure Data'!F$3</f>
        <v>22.216666666666665</v>
      </c>
    </row>
    <row r="1612" spans="1:14" x14ac:dyDescent="0.15">
      <c r="A1612" s="1">
        <v>1603</v>
      </c>
      <c r="B1612" s="3">
        <f t="shared" si="155"/>
        <v>405.36821205274811</v>
      </c>
      <c r="C1612" s="8"/>
      <c r="D1612" s="3">
        <f t="shared" si="156"/>
        <v>399.02836204986357</v>
      </c>
      <c r="F1612" s="3">
        <f t="shared" si="157"/>
        <v>-305.36821205274811</v>
      </c>
      <c r="G1612" s="3">
        <f t="shared" si="158"/>
        <v>6.3398500028845319</v>
      </c>
      <c r="H1612" s="3">
        <f t="shared" si="159"/>
        <v>399.02836204986357</v>
      </c>
      <c r="M1612" s="1">
        <f t="shared" si="160"/>
        <v>861</v>
      </c>
      <c r="N1612" s="38">
        <f>+M1612*'Failure Data'!F$3</f>
        <v>22.2425</v>
      </c>
    </row>
    <row r="1613" spans="1:14" x14ac:dyDescent="0.15">
      <c r="A1613" s="1">
        <v>1604</v>
      </c>
      <c r="B1613" s="3">
        <f t="shared" si="155"/>
        <v>405.61911553812013</v>
      </c>
      <c r="C1613" s="8"/>
      <c r="D1613" s="3">
        <f t="shared" si="156"/>
        <v>399.27926553523554</v>
      </c>
      <c r="F1613" s="3">
        <f t="shared" si="157"/>
        <v>-305.61911553812013</v>
      </c>
      <c r="G1613" s="3">
        <f t="shared" si="158"/>
        <v>6.3398500028845888</v>
      </c>
      <c r="H1613" s="3">
        <f t="shared" si="159"/>
        <v>399.27926553523554</v>
      </c>
      <c r="M1613" s="1">
        <f t="shared" si="160"/>
        <v>862</v>
      </c>
      <c r="N1613" s="38">
        <f>+M1613*'Failure Data'!F$3</f>
        <v>22.268333333333334</v>
      </c>
    </row>
    <row r="1614" spans="1:14" x14ac:dyDescent="0.15">
      <c r="A1614" s="1">
        <v>1605</v>
      </c>
      <c r="B1614" s="3">
        <f t="shared" si="155"/>
        <v>405.87001902349209</v>
      </c>
      <c r="C1614" s="8"/>
      <c r="D1614" s="3">
        <f t="shared" si="156"/>
        <v>399.53016902060756</v>
      </c>
      <c r="F1614" s="3">
        <f t="shared" si="157"/>
        <v>-305.87001902349209</v>
      </c>
      <c r="G1614" s="3">
        <f t="shared" si="158"/>
        <v>6.3398500028845319</v>
      </c>
      <c r="H1614" s="3">
        <f t="shared" si="159"/>
        <v>399.53016902060756</v>
      </c>
      <c r="M1614" s="1">
        <f t="shared" si="160"/>
        <v>863</v>
      </c>
      <c r="N1614" s="38">
        <f>+M1614*'Failure Data'!F$3</f>
        <v>22.294166666666666</v>
      </c>
    </row>
    <row r="1615" spans="1:14" x14ac:dyDescent="0.15">
      <c r="A1615" s="1">
        <v>1606</v>
      </c>
      <c r="B1615" s="3">
        <f t="shared" si="155"/>
        <v>406.12092250886411</v>
      </c>
      <c r="C1615" s="8"/>
      <c r="D1615" s="3">
        <f t="shared" si="156"/>
        <v>399.78107250597958</v>
      </c>
      <c r="F1615" s="3">
        <f t="shared" si="157"/>
        <v>-306.12092250886411</v>
      </c>
      <c r="G1615" s="3">
        <f t="shared" si="158"/>
        <v>6.3398500028845319</v>
      </c>
      <c r="H1615" s="3">
        <f t="shared" si="159"/>
        <v>399.78107250597958</v>
      </c>
      <c r="M1615" s="1">
        <f t="shared" si="160"/>
        <v>864</v>
      </c>
      <c r="N1615" s="38">
        <f>+M1615*'Failure Data'!F$3</f>
        <v>22.32</v>
      </c>
    </row>
    <row r="1616" spans="1:14" x14ac:dyDescent="0.15">
      <c r="A1616" s="1">
        <v>1607</v>
      </c>
      <c r="B1616" s="3">
        <f t="shared" si="155"/>
        <v>406.37182599423608</v>
      </c>
      <c r="C1616" s="8"/>
      <c r="D1616" s="3">
        <f t="shared" si="156"/>
        <v>400.03197599135154</v>
      </c>
      <c r="F1616" s="3">
        <f t="shared" si="157"/>
        <v>-306.37182599423608</v>
      </c>
      <c r="G1616" s="3">
        <f t="shared" si="158"/>
        <v>6.3398500028845319</v>
      </c>
      <c r="H1616" s="3">
        <f t="shared" si="159"/>
        <v>400.03197599135154</v>
      </c>
      <c r="M1616" s="1">
        <f t="shared" si="160"/>
        <v>865</v>
      </c>
      <c r="N1616" s="38">
        <f>+M1616*'Failure Data'!F$3</f>
        <v>22.345833333333331</v>
      </c>
    </row>
    <row r="1617" spans="1:14" x14ac:dyDescent="0.15">
      <c r="A1617" s="1">
        <v>1608</v>
      </c>
      <c r="B1617" s="3">
        <f t="shared" si="155"/>
        <v>406.6227294796081</v>
      </c>
      <c r="C1617" s="8"/>
      <c r="D1617" s="3">
        <f t="shared" si="156"/>
        <v>400.28287947672356</v>
      </c>
      <c r="F1617" s="3">
        <f t="shared" si="157"/>
        <v>-306.6227294796081</v>
      </c>
      <c r="G1617" s="3">
        <f t="shared" si="158"/>
        <v>6.3398500028845319</v>
      </c>
      <c r="H1617" s="3">
        <f t="shared" si="159"/>
        <v>400.28287947672356</v>
      </c>
      <c r="M1617" s="1">
        <f t="shared" si="160"/>
        <v>866</v>
      </c>
      <c r="N1617" s="38">
        <f>+M1617*'Failure Data'!F$3</f>
        <v>22.371666666666666</v>
      </c>
    </row>
    <row r="1618" spans="1:14" x14ac:dyDescent="0.15">
      <c r="A1618" s="1">
        <v>1609</v>
      </c>
      <c r="B1618" s="3">
        <f t="shared" si="155"/>
        <v>406.87363296498006</v>
      </c>
      <c r="C1618" s="8"/>
      <c r="D1618" s="3">
        <f t="shared" si="156"/>
        <v>400.53378296209553</v>
      </c>
      <c r="F1618" s="3">
        <f t="shared" si="157"/>
        <v>-306.87363296498006</v>
      </c>
      <c r="G1618" s="3">
        <f t="shared" si="158"/>
        <v>6.3398500028845319</v>
      </c>
      <c r="H1618" s="3">
        <f t="shared" si="159"/>
        <v>400.53378296209553</v>
      </c>
      <c r="M1618" s="1">
        <f t="shared" si="160"/>
        <v>867</v>
      </c>
      <c r="N1618" s="38">
        <f>+M1618*'Failure Data'!F$3</f>
        <v>22.397500000000001</v>
      </c>
    </row>
    <row r="1619" spans="1:14" x14ac:dyDescent="0.15">
      <c r="A1619" s="1">
        <v>1610</v>
      </c>
      <c r="B1619" s="3">
        <f t="shared" si="155"/>
        <v>407.12453645035208</v>
      </c>
      <c r="C1619" s="8"/>
      <c r="D1619" s="3">
        <f t="shared" si="156"/>
        <v>400.78468644746755</v>
      </c>
      <c r="F1619" s="3">
        <f t="shared" si="157"/>
        <v>-307.12453645035208</v>
      </c>
      <c r="G1619" s="3">
        <f t="shared" si="158"/>
        <v>6.3398500028845319</v>
      </c>
      <c r="H1619" s="3">
        <f t="shared" si="159"/>
        <v>400.78468644746755</v>
      </c>
      <c r="M1619" s="1">
        <f t="shared" si="160"/>
        <v>868</v>
      </c>
      <c r="N1619" s="38">
        <f>+M1619*'Failure Data'!F$3</f>
        <v>22.423333333333332</v>
      </c>
    </row>
    <row r="1620" spans="1:14" x14ac:dyDescent="0.15">
      <c r="A1620" s="1">
        <v>1611</v>
      </c>
      <c r="B1620" s="3">
        <f t="shared" si="155"/>
        <v>407.3754399357241</v>
      </c>
      <c r="C1620" s="8"/>
      <c r="D1620" s="3">
        <f t="shared" si="156"/>
        <v>401.03558993283951</v>
      </c>
      <c r="F1620" s="3">
        <f t="shared" si="157"/>
        <v>-307.3754399357241</v>
      </c>
      <c r="G1620" s="3">
        <f t="shared" si="158"/>
        <v>6.3398500028845888</v>
      </c>
      <c r="H1620" s="3">
        <f t="shared" si="159"/>
        <v>401.03558993283951</v>
      </c>
      <c r="M1620" s="1">
        <f t="shared" si="160"/>
        <v>869</v>
      </c>
      <c r="N1620" s="38">
        <f>+M1620*'Failure Data'!F$3</f>
        <v>22.449166666666667</v>
      </c>
    </row>
    <row r="1621" spans="1:14" x14ac:dyDescent="0.15">
      <c r="A1621" s="1">
        <v>1612</v>
      </c>
      <c r="B1621" s="3">
        <f t="shared" si="155"/>
        <v>407.62634342109607</v>
      </c>
      <c r="C1621" s="8"/>
      <c r="D1621" s="3">
        <f t="shared" si="156"/>
        <v>401.28649341821153</v>
      </c>
      <c r="F1621" s="3">
        <f t="shared" si="157"/>
        <v>-307.62634342109607</v>
      </c>
      <c r="G1621" s="3">
        <f t="shared" si="158"/>
        <v>6.3398500028845319</v>
      </c>
      <c r="H1621" s="3">
        <f t="shared" si="159"/>
        <v>401.28649341821153</v>
      </c>
      <c r="M1621" s="1">
        <f t="shared" si="160"/>
        <v>870</v>
      </c>
      <c r="N1621" s="38">
        <f>+M1621*'Failure Data'!F$3</f>
        <v>22.475000000000001</v>
      </c>
    </row>
    <row r="1622" spans="1:14" x14ac:dyDescent="0.15">
      <c r="A1622" s="1">
        <v>1613</v>
      </c>
      <c r="B1622" s="3">
        <f t="shared" si="155"/>
        <v>407.87724690646809</v>
      </c>
      <c r="C1622" s="8"/>
      <c r="D1622" s="3">
        <f t="shared" si="156"/>
        <v>401.5373969035835</v>
      </c>
      <c r="F1622" s="3">
        <f t="shared" si="157"/>
        <v>-307.87724690646809</v>
      </c>
      <c r="G1622" s="3">
        <f t="shared" si="158"/>
        <v>6.3398500028845888</v>
      </c>
      <c r="H1622" s="3">
        <f t="shared" si="159"/>
        <v>401.5373969035835</v>
      </c>
      <c r="M1622" s="1">
        <f t="shared" si="160"/>
        <v>871</v>
      </c>
      <c r="N1622" s="38">
        <f>+M1622*'Failure Data'!F$3</f>
        <v>22.500833333333333</v>
      </c>
    </row>
    <row r="1623" spans="1:14" x14ac:dyDescent="0.15">
      <c r="A1623" s="1">
        <v>1614</v>
      </c>
      <c r="B1623" s="3">
        <f t="shared" si="155"/>
        <v>408.12815039184005</v>
      </c>
      <c r="C1623" s="8"/>
      <c r="D1623" s="3">
        <f t="shared" si="156"/>
        <v>401.78830038895552</v>
      </c>
      <c r="F1623" s="3">
        <f t="shared" si="157"/>
        <v>-308.12815039184005</v>
      </c>
      <c r="G1623" s="3">
        <f t="shared" si="158"/>
        <v>6.3398500028845319</v>
      </c>
      <c r="H1623" s="3">
        <f t="shared" si="159"/>
        <v>401.78830038895552</v>
      </c>
      <c r="M1623" s="1">
        <f t="shared" si="160"/>
        <v>872</v>
      </c>
      <c r="N1623" s="38">
        <f>+M1623*'Failure Data'!F$3</f>
        <v>22.526666666666667</v>
      </c>
    </row>
    <row r="1624" spans="1:14" x14ac:dyDescent="0.15">
      <c r="A1624" s="1">
        <v>1615</v>
      </c>
      <c r="B1624" s="3">
        <f t="shared" si="155"/>
        <v>408.37905387721207</v>
      </c>
      <c r="C1624" s="8"/>
      <c r="D1624" s="3">
        <f t="shared" si="156"/>
        <v>402.03920387432748</v>
      </c>
      <c r="F1624" s="3">
        <f t="shared" si="157"/>
        <v>-308.37905387721207</v>
      </c>
      <c r="G1624" s="3">
        <f t="shared" si="158"/>
        <v>6.3398500028845888</v>
      </c>
      <c r="H1624" s="3">
        <f t="shared" si="159"/>
        <v>402.03920387432748</v>
      </c>
      <c r="M1624" s="1">
        <f t="shared" si="160"/>
        <v>873</v>
      </c>
      <c r="N1624" s="38">
        <f>+M1624*'Failure Data'!F$3</f>
        <v>22.552499999999998</v>
      </c>
    </row>
    <row r="1625" spans="1:14" x14ac:dyDescent="0.15">
      <c r="A1625" s="1">
        <v>1616</v>
      </c>
      <c r="B1625" s="3">
        <f t="shared" si="155"/>
        <v>408.62995736258404</v>
      </c>
      <c r="C1625" s="8"/>
      <c r="D1625" s="3">
        <f t="shared" si="156"/>
        <v>402.2901073596995</v>
      </c>
      <c r="F1625" s="3">
        <f t="shared" si="157"/>
        <v>-308.62995736258404</v>
      </c>
      <c r="G1625" s="3">
        <f t="shared" si="158"/>
        <v>6.3398500028845319</v>
      </c>
      <c r="H1625" s="3">
        <f t="shared" si="159"/>
        <v>402.2901073596995</v>
      </c>
      <c r="M1625" s="1">
        <f t="shared" si="160"/>
        <v>874</v>
      </c>
      <c r="N1625" s="38">
        <f>+M1625*'Failure Data'!F$3</f>
        <v>22.578333333333333</v>
      </c>
    </row>
    <row r="1626" spans="1:14" x14ac:dyDescent="0.15">
      <c r="A1626" s="1">
        <v>1617</v>
      </c>
      <c r="B1626" s="3">
        <f t="shared" si="155"/>
        <v>408.88086084795606</v>
      </c>
      <c r="C1626" s="8"/>
      <c r="D1626" s="3">
        <f t="shared" si="156"/>
        <v>402.54101084507147</v>
      </c>
      <c r="F1626" s="3">
        <f t="shared" si="157"/>
        <v>-308.88086084795606</v>
      </c>
      <c r="G1626" s="3">
        <f t="shared" si="158"/>
        <v>6.3398500028845888</v>
      </c>
      <c r="H1626" s="3">
        <f t="shared" si="159"/>
        <v>402.54101084507147</v>
      </c>
      <c r="M1626" s="1">
        <f t="shared" si="160"/>
        <v>875</v>
      </c>
      <c r="N1626" s="38">
        <f>+M1626*'Failure Data'!F$3</f>
        <v>22.604166666666668</v>
      </c>
    </row>
    <row r="1627" spans="1:14" x14ac:dyDescent="0.15">
      <c r="A1627" s="1">
        <v>1618</v>
      </c>
      <c r="B1627" s="3">
        <f t="shared" si="155"/>
        <v>409.13176433332802</v>
      </c>
      <c r="C1627" s="8"/>
      <c r="D1627" s="3">
        <f t="shared" si="156"/>
        <v>402.79191433044349</v>
      </c>
      <c r="F1627" s="3">
        <f t="shared" si="157"/>
        <v>-309.13176433332802</v>
      </c>
      <c r="G1627" s="3">
        <f t="shared" si="158"/>
        <v>6.3398500028845319</v>
      </c>
      <c r="H1627" s="3">
        <f t="shared" si="159"/>
        <v>402.79191433044349</v>
      </c>
      <c r="M1627" s="1">
        <f t="shared" si="160"/>
        <v>876</v>
      </c>
      <c r="N1627" s="38">
        <f>+M1627*'Failure Data'!F$3</f>
        <v>22.63</v>
      </c>
    </row>
    <row r="1628" spans="1:14" x14ac:dyDescent="0.15">
      <c r="A1628" s="1">
        <v>1619</v>
      </c>
      <c r="B1628" s="3">
        <f t="shared" si="155"/>
        <v>409.38266781870004</v>
      </c>
      <c r="C1628" s="8"/>
      <c r="D1628" s="3">
        <f t="shared" si="156"/>
        <v>403.04281781581545</v>
      </c>
      <c r="F1628" s="3">
        <f t="shared" si="157"/>
        <v>-309.38266781870004</v>
      </c>
      <c r="G1628" s="3">
        <f t="shared" si="158"/>
        <v>6.3398500028845888</v>
      </c>
      <c r="H1628" s="3">
        <f t="shared" si="159"/>
        <v>403.04281781581545</v>
      </c>
      <c r="M1628" s="1">
        <f t="shared" si="160"/>
        <v>877</v>
      </c>
      <c r="N1628" s="38">
        <f>+M1628*'Failure Data'!F$3</f>
        <v>22.655833333333334</v>
      </c>
    </row>
    <row r="1629" spans="1:14" x14ac:dyDescent="0.15">
      <c r="A1629" s="1">
        <v>1620</v>
      </c>
      <c r="B1629" s="3">
        <f t="shared" si="155"/>
        <v>409.63357130407201</v>
      </c>
      <c r="C1629" s="8"/>
      <c r="D1629" s="3">
        <f t="shared" si="156"/>
        <v>403.29372130118747</v>
      </c>
      <c r="F1629" s="3">
        <f t="shared" si="157"/>
        <v>-309.63357130407201</v>
      </c>
      <c r="G1629" s="3">
        <f t="shared" si="158"/>
        <v>6.3398500028845319</v>
      </c>
      <c r="H1629" s="3">
        <f t="shared" si="159"/>
        <v>403.29372130118747</v>
      </c>
      <c r="M1629" s="1">
        <f t="shared" si="160"/>
        <v>878</v>
      </c>
      <c r="N1629" s="38">
        <f>+M1629*'Failure Data'!F$3</f>
        <v>22.681666666666665</v>
      </c>
    </row>
    <row r="1630" spans="1:14" x14ac:dyDescent="0.15">
      <c r="A1630" s="1">
        <v>1621</v>
      </c>
      <c r="B1630" s="3">
        <f t="shared" si="155"/>
        <v>409.88447478944403</v>
      </c>
      <c r="C1630" s="8"/>
      <c r="D1630" s="3">
        <f t="shared" si="156"/>
        <v>403.54462478655944</v>
      </c>
      <c r="F1630" s="3">
        <f t="shared" si="157"/>
        <v>-309.88447478944403</v>
      </c>
      <c r="G1630" s="3">
        <f t="shared" si="158"/>
        <v>6.3398500028845888</v>
      </c>
      <c r="H1630" s="3">
        <f t="shared" si="159"/>
        <v>403.54462478655944</v>
      </c>
      <c r="M1630" s="1">
        <f t="shared" si="160"/>
        <v>879</v>
      </c>
      <c r="N1630" s="38">
        <f>+M1630*'Failure Data'!F$3</f>
        <v>22.7075</v>
      </c>
    </row>
    <row r="1631" spans="1:14" x14ac:dyDescent="0.15">
      <c r="A1631" s="1">
        <v>1622</v>
      </c>
      <c r="B1631" s="3">
        <f t="shared" ref="B1631:B1694" si="161">+(B$4*A1631)+B$5</f>
        <v>410.13537827481599</v>
      </c>
      <c r="C1631" s="8"/>
      <c r="D1631" s="3">
        <f t="shared" ref="D1631:D1694" si="162">+(D$4*A1631)+D$5</f>
        <v>403.79552827193146</v>
      </c>
      <c r="F1631" s="3">
        <f t="shared" ref="F1631:F1694" si="163">+xmax-B1631</f>
        <v>-310.13537827481599</v>
      </c>
      <c r="G1631" s="3">
        <f t="shared" ref="G1631:G1694" si="164">+B1631-D1631</f>
        <v>6.3398500028845319</v>
      </c>
      <c r="H1631" s="3">
        <f t="shared" ref="H1631:H1694" si="165">D1631</f>
        <v>403.79552827193146</v>
      </c>
      <c r="M1631" s="1">
        <f t="shared" si="160"/>
        <v>880</v>
      </c>
      <c r="N1631" s="38">
        <f>+M1631*'Failure Data'!F$3</f>
        <v>22.733333333333334</v>
      </c>
    </row>
    <row r="1632" spans="1:14" x14ac:dyDescent="0.15">
      <c r="A1632" s="1">
        <v>1623</v>
      </c>
      <c r="B1632" s="3">
        <f t="shared" si="161"/>
        <v>410.38628176018801</v>
      </c>
      <c r="C1632" s="8"/>
      <c r="D1632" s="3">
        <f t="shared" si="162"/>
        <v>404.04643175730342</v>
      </c>
      <c r="F1632" s="3">
        <f t="shared" si="163"/>
        <v>-310.38628176018801</v>
      </c>
      <c r="G1632" s="3">
        <f t="shared" si="164"/>
        <v>6.3398500028845888</v>
      </c>
      <c r="H1632" s="3">
        <f t="shared" si="165"/>
        <v>404.04643175730342</v>
      </c>
      <c r="M1632" s="1">
        <f t="shared" si="160"/>
        <v>881</v>
      </c>
      <c r="N1632" s="38">
        <f>+M1632*'Failure Data'!F$3</f>
        <v>22.759166666666665</v>
      </c>
    </row>
    <row r="1633" spans="1:14" x14ac:dyDescent="0.15">
      <c r="A1633" s="1">
        <v>1624</v>
      </c>
      <c r="B1633" s="3">
        <f t="shared" si="161"/>
        <v>410.63718524555998</v>
      </c>
      <c r="C1633" s="8"/>
      <c r="D1633" s="3">
        <f t="shared" si="162"/>
        <v>404.29733524267544</v>
      </c>
      <c r="F1633" s="3">
        <f t="shared" si="163"/>
        <v>-310.63718524555998</v>
      </c>
      <c r="G1633" s="3">
        <f t="shared" si="164"/>
        <v>6.3398500028845319</v>
      </c>
      <c r="H1633" s="3">
        <f t="shared" si="165"/>
        <v>404.29733524267544</v>
      </c>
      <c r="M1633" s="1">
        <f t="shared" si="160"/>
        <v>882</v>
      </c>
      <c r="N1633" s="38">
        <f>+M1633*'Failure Data'!F$3</f>
        <v>22.785</v>
      </c>
    </row>
    <row r="1634" spans="1:14" x14ac:dyDescent="0.15">
      <c r="A1634" s="1">
        <v>1625</v>
      </c>
      <c r="B1634" s="3">
        <f t="shared" si="161"/>
        <v>410.888088730932</v>
      </c>
      <c r="C1634" s="8"/>
      <c r="D1634" s="3">
        <f t="shared" si="162"/>
        <v>404.54823872804741</v>
      </c>
      <c r="F1634" s="3">
        <f t="shared" si="163"/>
        <v>-310.888088730932</v>
      </c>
      <c r="G1634" s="3">
        <f t="shared" si="164"/>
        <v>6.3398500028845888</v>
      </c>
      <c r="H1634" s="3">
        <f t="shared" si="165"/>
        <v>404.54823872804741</v>
      </c>
      <c r="M1634" s="1">
        <f t="shared" si="160"/>
        <v>883</v>
      </c>
      <c r="N1634" s="38">
        <f>+M1634*'Failure Data'!F$3</f>
        <v>22.810833333333335</v>
      </c>
    </row>
    <row r="1635" spans="1:14" x14ac:dyDescent="0.15">
      <c r="A1635" s="1">
        <v>1626</v>
      </c>
      <c r="B1635" s="3">
        <f t="shared" si="161"/>
        <v>411.13899221630396</v>
      </c>
      <c r="C1635" s="8"/>
      <c r="D1635" s="3">
        <f t="shared" si="162"/>
        <v>404.79914221341943</v>
      </c>
      <c r="F1635" s="3">
        <f t="shared" si="163"/>
        <v>-311.13899221630396</v>
      </c>
      <c r="G1635" s="3">
        <f t="shared" si="164"/>
        <v>6.3398500028845319</v>
      </c>
      <c r="H1635" s="3">
        <f t="shared" si="165"/>
        <v>404.79914221341943</v>
      </c>
      <c r="M1635" s="1">
        <f t="shared" si="160"/>
        <v>884</v>
      </c>
      <c r="N1635" s="38">
        <f>+M1635*'Failure Data'!F$3</f>
        <v>22.836666666666666</v>
      </c>
    </row>
    <row r="1636" spans="1:14" x14ac:dyDescent="0.15">
      <c r="A1636" s="1">
        <v>1627</v>
      </c>
      <c r="B1636" s="3">
        <f t="shared" si="161"/>
        <v>411.38989570167598</v>
      </c>
      <c r="C1636" s="8"/>
      <c r="D1636" s="3">
        <f t="shared" si="162"/>
        <v>405.05004569879139</v>
      </c>
      <c r="F1636" s="3">
        <f t="shared" si="163"/>
        <v>-311.38989570167598</v>
      </c>
      <c r="G1636" s="3">
        <f t="shared" si="164"/>
        <v>6.3398500028845888</v>
      </c>
      <c r="H1636" s="3">
        <f t="shared" si="165"/>
        <v>405.05004569879139</v>
      </c>
      <c r="M1636" s="1">
        <f t="shared" si="160"/>
        <v>885</v>
      </c>
      <c r="N1636" s="38">
        <f>+M1636*'Failure Data'!F$3</f>
        <v>22.862500000000001</v>
      </c>
    </row>
    <row r="1637" spans="1:14" x14ac:dyDescent="0.15">
      <c r="A1637" s="1">
        <v>1628</v>
      </c>
      <c r="B1637" s="3">
        <f t="shared" si="161"/>
        <v>411.64079918704795</v>
      </c>
      <c r="C1637" s="8"/>
      <c r="D1637" s="3">
        <f t="shared" si="162"/>
        <v>405.30094918416341</v>
      </c>
      <c r="F1637" s="3">
        <f t="shared" si="163"/>
        <v>-311.64079918704795</v>
      </c>
      <c r="G1637" s="3">
        <f t="shared" si="164"/>
        <v>6.3398500028845319</v>
      </c>
      <c r="H1637" s="3">
        <f t="shared" si="165"/>
        <v>405.30094918416341</v>
      </c>
      <c r="M1637" s="1">
        <f t="shared" si="160"/>
        <v>886</v>
      </c>
      <c r="N1637" s="38">
        <f>+M1637*'Failure Data'!F$3</f>
        <v>22.888333333333332</v>
      </c>
    </row>
    <row r="1638" spans="1:14" x14ac:dyDescent="0.15">
      <c r="A1638" s="1">
        <v>1629</v>
      </c>
      <c r="B1638" s="3">
        <f t="shared" si="161"/>
        <v>411.89170267241997</v>
      </c>
      <c r="C1638" s="8"/>
      <c r="D1638" s="3">
        <f t="shared" si="162"/>
        <v>405.55185266953538</v>
      </c>
      <c r="F1638" s="3">
        <f t="shared" si="163"/>
        <v>-311.89170267241997</v>
      </c>
      <c r="G1638" s="3">
        <f t="shared" si="164"/>
        <v>6.3398500028845888</v>
      </c>
      <c r="H1638" s="3">
        <f t="shared" si="165"/>
        <v>405.55185266953538</v>
      </c>
      <c r="M1638" s="1">
        <f t="shared" si="160"/>
        <v>887</v>
      </c>
      <c r="N1638" s="38">
        <f>+M1638*'Failure Data'!F$3</f>
        <v>22.914166666666667</v>
      </c>
    </row>
    <row r="1639" spans="1:14" x14ac:dyDescent="0.15">
      <c r="A1639" s="1">
        <v>1630</v>
      </c>
      <c r="B1639" s="3">
        <f t="shared" si="161"/>
        <v>412.14260615779193</v>
      </c>
      <c r="C1639" s="8"/>
      <c r="D1639" s="3">
        <f t="shared" si="162"/>
        <v>405.8027561549074</v>
      </c>
      <c r="F1639" s="3">
        <f t="shared" si="163"/>
        <v>-312.14260615779193</v>
      </c>
      <c r="G1639" s="3">
        <f t="shared" si="164"/>
        <v>6.3398500028845319</v>
      </c>
      <c r="H1639" s="3">
        <f t="shared" si="165"/>
        <v>405.8027561549074</v>
      </c>
      <c r="M1639" s="1">
        <f t="shared" si="160"/>
        <v>888</v>
      </c>
      <c r="N1639" s="38">
        <f>+M1639*'Failure Data'!F$3</f>
        <v>22.94</v>
      </c>
    </row>
    <row r="1640" spans="1:14" x14ac:dyDescent="0.15">
      <c r="A1640" s="1">
        <v>1631</v>
      </c>
      <c r="B1640" s="3">
        <f t="shared" si="161"/>
        <v>412.39350964316395</v>
      </c>
      <c r="C1640" s="8"/>
      <c r="D1640" s="3">
        <f t="shared" si="162"/>
        <v>406.05365964027942</v>
      </c>
      <c r="F1640" s="3">
        <f t="shared" si="163"/>
        <v>-312.39350964316395</v>
      </c>
      <c r="G1640" s="3">
        <f t="shared" si="164"/>
        <v>6.3398500028845319</v>
      </c>
      <c r="H1640" s="3">
        <f t="shared" si="165"/>
        <v>406.05365964027942</v>
      </c>
      <c r="M1640" s="1">
        <f t="shared" si="160"/>
        <v>889</v>
      </c>
      <c r="N1640" s="38">
        <f>+M1640*'Failure Data'!F$3</f>
        <v>22.965833333333332</v>
      </c>
    </row>
    <row r="1641" spans="1:14" x14ac:dyDescent="0.15">
      <c r="A1641" s="1">
        <v>1632</v>
      </c>
      <c r="B1641" s="3">
        <f t="shared" si="161"/>
        <v>412.64441312853592</v>
      </c>
      <c r="C1641" s="8"/>
      <c r="D1641" s="3">
        <f t="shared" si="162"/>
        <v>406.30456312565138</v>
      </c>
      <c r="F1641" s="3">
        <f t="shared" si="163"/>
        <v>-312.64441312853592</v>
      </c>
      <c r="G1641" s="3">
        <f t="shared" si="164"/>
        <v>6.3398500028845319</v>
      </c>
      <c r="H1641" s="3">
        <f t="shared" si="165"/>
        <v>406.30456312565138</v>
      </c>
      <c r="M1641" s="1">
        <f t="shared" si="160"/>
        <v>890</v>
      </c>
      <c r="N1641" s="38">
        <f>+M1641*'Failure Data'!F$3</f>
        <v>22.991666666666667</v>
      </c>
    </row>
    <row r="1642" spans="1:14" x14ac:dyDescent="0.15">
      <c r="A1642" s="1">
        <v>1633</v>
      </c>
      <c r="B1642" s="3">
        <f t="shared" si="161"/>
        <v>412.89531661390794</v>
      </c>
      <c r="C1642" s="8"/>
      <c r="D1642" s="3">
        <f t="shared" si="162"/>
        <v>406.55546661102341</v>
      </c>
      <c r="F1642" s="3">
        <f t="shared" si="163"/>
        <v>-312.89531661390794</v>
      </c>
      <c r="G1642" s="3">
        <f t="shared" si="164"/>
        <v>6.3398500028845319</v>
      </c>
      <c r="H1642" s="3">
        <f t="shared" si="165"/>
        <v>406.55546661102341</v>
      </c>
      <c r="M1642" s="1">
        <f t="shared" si="160"/>
        <v>891</v>
      </c>
      <c r="N1642" s="38">
        <f>+M1642*'Failure Data'!F$3</f>
        <v>23.017499999999998</v>
      </c>
    </row>
    <row r="1643" spans="1:14" x14ac:dyDescent="0.15">
      <c r="A1643" s="1">
        <v>1634</v>
      </c>
      <c r="B1643" s="3">
        <f t="shared" si="161"/>
        <v>413.14622009927996</v>
      </c>
      <c r="C1643" s="8"/>
      <c r="D1643" s="3">
        <f t="shared" si="162"/>
        <v>406.80637009639537</v>
      </c>
      <c r="F1643" s="3">
        <f t="shared" si="163"/>
        <v>-313.14622009927996</v>
      </c>
      <c r="G1643" s="3">
        <f t="shared" si="164"/>
        <v>6.3398500028845888</v>
      </c>
      <c r="H1643" s="3">
        <f t="shared" si="165"/>
        <v>406.80637009639537</v>
      </c>
      <c r="M1643" s="1">
        <f t="shared" si="160"/>
        <v>892</v>
      </c>
      <c r="N1643" s="38">
        <f>+M1643*'Failure Data'!F$3</f>
        <v>23.043333333333333</v>
      </c>
    </row>
    <row r="1644" spans="1:14" x14ac:dyDescent="0.15">
      <c r="A1644" s="1">
        <v>1635</v>
      </c>
      <c r="B1644" s="3">
        <f t="shared" si="161"/>
        <v>413.39712358465192</v>
      </c>
      <c r="C1644" s="8"/>
      <c r="D1644" s="3">
        <f t="shared" si="162"/>
        <v>407.05727358176739</v>
      </c>
      <c r="F1644" s="3">
        <f t="shared" si="163"/>
        <v>-313.39712358465192</v>
      </c>
      <c r="G1644" s="3">
        <f t="shared" si="164"/>
        <v>6.3398500028845319</v>
      </c>
      <c r="H1644" s="3">
        <f t="shared" si="165"/>
        <v>407.05727358176739</v>
      </c>
      <c r="M1644" s="1">
        <f t="shared" si="160"/>
        <v>893</v>
      </c>
      <c r="N1644" s="38">
        <f>+M1644*'Failure Data'!F$3</f>
        <v>23.069166666666668</v>
      </c>
    </row>
    <row r="1645" spans="1:14" x14ac:dyDescent="0.15">
      <c r="A1645" s="1">
        <v>1636</v>
      </c>
      <c r="B1645" s="3">
        <f t="shared" si="161"/>
        <v>413.64802707002394</v>
      </c>
      <c r="C1645" s="8"/>
      <c r="D1645" s="3">
        <f t="shared" si="162"/>
        <v>407.30817706713935</v>
      </c>
      <c r="F1645" s="3">
        <f t="shared" si="163"/>
        <v>-313.64802707002394</v>
      </c>
      <c r="G1645" s="3">
        <f t="shared" si="164"/>
        <v>6.3398500028845888</v>
      </c>
      <c r="H1645" s="3">
        <f t="shared" si="165"/>
        <v>407.30817706713935</v>
      </c>
      <c r="M1645" s="1">
        <f t="shared" si="160"/>
        <v>894</v>
      </c>
      <c r="N1645" s="38">
        <f>+M1645*'Failure Data'!F$3</f>
        <v>23.094999999999999</v>
      </c>
    </row>
    <row r="1646" spans="1:14" x14ac:dyDescent="0.15">
      <c r="A1646" s="1">
        <v>1637</v>
      </c>
      <c r="B1646" s="3">
        <f t="shared" si="161"/>
        <v>413.89893055539591</v>
      </c>
      <c r="C1646" s="8"/>
      <c r="D1646" s="3">
        <f t="shared" si="162"/>
        <v>407.55908055251138</v>
      </c>
      <c r="F1646" s="3">
        <f t="shared" si="163"/>
        <v>-313.89893055539591</v>
      </c>
      <c r="G1646" s="3">
        <f t="shared" si="164"/>
        <v>6.3398500028845319</v>
      </c>
      <c r="H1646" s="3">
        <f t="shared" si="165"/>
        <v>407.55908055251138</v>
      </c>
      <c r="M1646" s="1">
        <f t="shared" si="160"/>
        <v>895</v>
      </c>
      <c r="N1646" s="38">
        <f>+M1646*'Failure Data'!F$3</f>
        <v>23.120833333333334</v>
      </c>
    </row>
    <row r="1647" spans="1:14" x14ac:dyDescent="0.15">
      <c r="A1647" s="1">
        <v>1638</v>
      </c>
      <c r="B1647" s="3">
        <f t="shared" si="161"/>
        <v>414.14983404076793</v>
      </c>
      <c r="C1647" s="8"/>
      <c r="D1647" s="3">
        <f t="shared" si="162"/>
        <v>407.80998403788334</v>
      </c>
      <c r="F1647" s="3">
        <f t="shared" si="163"/>
        <v>-314.14983404076793</v>
      </c>
      <c r="G1647" s="3">
        <f t="shared" si="164"/>
        <v>6.3398500028845888</v>
      </c>
      <c r="H1647" s="3">
        <f t="shared" si="165"/>
        <v>407.80998403788334</v>
      </c>
      <c r="M1647" s="1">
        <f t="shared" si="160"/>
        <v>896</v>
      </c>
      <c r="N1647" s="38">
        <f>+M1647*'Failure Data'!F$3</f>
        <v>23.146666666666668</v>
      </c>
    </row>
    <row r="1648" spans="1:14" x14ac:dyDescent="0.15">
      <c r="A1648" s="1">
        <v>1639</v>
      </c>
      <c r="B1648" s="3">
        <f t="shared" si="161"/>
        <v>414.40073752613989</v>
      </c>
      <c r="C1648" s="8"/>
      <c r="D1648" s="3">
        <f t="shared" si="162"/>
        <v>408.06088752325536</v>
      </c>
      <c r="F1648" s="3">
        <f t="shared" si="163"/>
        <v>-314.40073752613989</v>
      </c>
      <c r="G1648" s="3">
        <f t="shared" si="164"/>
        <v>6.3398500028845319</v>
      </c>
      <c r="H1648" s="3">
        <f t="shared" si="165"/>
        <v>408.06088752325536</v>
      </c>
      <c r="M1648" s="1">
        <f t="shared" si="160"/>
        <v>897</v>
      </c>
      <c r="N1648" s="38">
        <f>+M1648*'Failure Data'!F$3</f>
        <v>23.172499999999999</v>
      </c>
    </row>
    <row r="1649" spans="1:14" x14ac:dyDescent="0.15">
      <c r="A1649" s="1">
        <v>1640</v>
      </c>
      <c r="B1649" s="3">
        <f t="shared" si="161"/>
        <v>414.65164101151191</v>
      </c>
      <c r="C1649" s="8"/>
      <c r="D1649" s="3">
        <f t="shared" si="162"/>
        <v>408.31179100862732</v>
      </c>
      <c r="F1649" s="3">
        <f t="shared" si="163"/>
        <v>-314.65164101151191</v>
      </c>
      <c r="G1649" s="3">
        <f t="shared" si="164"/>
        <v>6.3398500028845888</v>
      </c>
      <c r="H1649" s="3">
        <f t="shared" si="165"/>
        <v>408.31179100862732</v>
      </c>
      <c r="M1649" s="1">
        <f t="shared" si="160"/>
        <v>898</v>
      </c>
      <c r="N1649" s="38">
        <f>+M1649*'Failure Data'!F$3</f>
        <v>23.198333333333334</v>
      </c>
    </row>
    <row r="1650" spans="1:14" x14ac:dyDescent="0.15">
      <c r="A1650" s="1">
        <v>1641</v>
      </c>
      <c r="B1650" s="3">
        <f t="shared" si="161"/>
        <v>414.90254449688388</v>
      </c>
      <c r="C1650" s="8"/>
      <c r="D1650" s="3">
        <f t="shared" si="162"/>
        <v>408.56269449399935</v>
      </c>
      <c r="F1650" s="3">
        <f t="shared" si="163"/>
        <v>-314.90254449688388</v>
      </c>
      <c r="G1650" s="3">
        <f t="shared" si="164"/>
        <v>6.3398500028845319</v>
      </c>
      <c r="H1650" s="3">
        <f t="shared" si="165"/>
        <v>408.56269449399935</v>
      </c>
      <c r="M1650" s="1">
        <f t="shared" si="160"/>
        <v>899</v>
      </c>
      <c r="N1650" s="38">
        <f>+M1650*'Failure Data'!F$3</f>
        <v>23.224166666666665</v>
      </c>
    </row>
    <row r="1651" spans="1:14" x14ac:dyDescent="0.15">
      <c r="A1651" s="1">
        <v>1642</v>
      </c>
      <c r="B1651" s="3">
        <f t="shared" si="161"/>
        <v>415.1534479822559</v>
      </c>
      <c r="C1651" s="8"/>
      <c r="D1651" s="3">
        <f t="shared" si="162"/>
        <v>408.81359797937131</v>
      </c>
      <c r="F1651" s="3">
        <f t="shared" si="163"/>
        <v>-315.1534479822559</v>
      </c>
      <c r="G1651" s="3">
        <f t="shared" si="164"/>
        <v>6.3398500028845888</v>
      </c>
      <c r="H1651" s="3">
        <f t="shared" si="165"/>
        <v>408.81359797937131</v>
      </c>
      <c r="M1651" s="1">
        <f t="shared" si="160"/>
        <v>900</v>
      </c>
      <c r="N1651" s="38">
        <f>+M1651*'Failure Data'!F$3</f>
        <v>23.25</v>
      </c>
    </row>
    <row r="1652" spans="1:14" x14ac:dyDescent="0.15">
      <c r="A1652" s="1">
        <v>1643</v>
      </c>
      <c r="B1652" s="3">
        <f t="shared" si="161"/>
        <v>415.40435146762786</v>
      </c>
      <c r="C1652" s="8"/>
      <c r="D1652" s="3">
        <f t="shared" si="162"/>
        <v>409.06450146474333</v>
      </c>
      <c r="F1652" s="3">
        <f t="shared" si="163"/>
        <v>-315.40435146762786</v>
      </c>
      <c r="G1652" s="3">
        <f t="shared" si="164"/>
        <v>6.3398500028845319</v>
      </c>
      <c r="H1652" s="3">
        <f t="shared" si="165"/>
        <v>409.06450146474333</v>
      </c>
      <c r="M1652" s="1">
        <f t="shared" si="160"/>
        <v>901</v>
      </c>
      <c r="N1652" s="38">
        <f>+M1652*'Failure Data'!F$3</f>
        <v>23.275833333333335</v>
      </c>
    </row>
    <row r="1653" spans="1:14" x14ac:dyDescent="0.15">
      <c r="A1653" s="1">
        <v>1644</v>
      </c>
      <c r="B1653" s="3">
        <f t="shared" si="161"/>
        <v>415.65525495299988</v>
      </c>
      <c r="C1653" s="8"/>
      <c r="D1653" s="3">
        <f t="shared" si="162"/>
        <v>409.31540495011529</v>
      </c>
      <c r="F1653" s="3">
        <f t="shared" si="163"/>
        <v>-315.65525495299988</v>
      </c>
      <c r="G1653" s="3">
        <f t="shared" si="164"/>
        <v>6.3398500028845888</v>
      </c>
      <c r="H1653" s="3">
        <f t="shared" si="165"/>
        <v>409.31540495011529</v>
      </c>
      <c r="M1653" s="1">
        <f t="shared" si="160"/>
        <v>902</v>
      </c>
      <c r="N1653" s="38">
        <f>+M1653*'Failure Data'!F$3</f>
        <v>23.301666666666666</v>
      </c>
    </row>
    <row r="1654" spans="1:14" x14ac:dyDescent="0.15">
      <c r="A1654" s="1">
        <v>1645</v>
      </c>
      <c r="B1654" s="3">
        <f t="shared" si="161"/>
        <v>415.90615843837185</v>
      </c>
      <c r="C1654" s="8"/>
      <c r="D1654" s="3">
        <f t="shared" si="162"/>
        <v>409.56630843548731</v>
      </c>
      <c r="F1654" s="3">
        <f t="shared" si="163"/>
        <v>-315.90615843837185</v>
      </c>
      <c r="G1654" s="3">
        <f t="shared" si="164"/>
        <v>6.3398500028845319</v>
      </c>
      <c r="H1654" s="3">
        <f t="shared" si="165"/>
        <v>409.56630843548731</v>
      </c>
      <c r="M1654" s="1">
        <f t="shared" si="160"/>
        <v>903</v>
      </c>
      <c r="N1654" s="38">
        <f>+M1654*'Failure Data'!F$3</f>
        <v>23.327500000000001</v>
      </c>
    </row>
    <row r="1655" spans="1:14" x14ac:dyDescent="0.15">
      <c r="A1655" s="1">
        <v>1646</v>
      </c>
      <c r="B1655" s="3">
        <f t="shared" si="161"/>
        <v>416.15706192374387</v>
      </c>
      <c r="C1655" s="8"/>
      <c r="D1655" s="3">
        <f t="shared" si="162"/>
        <v>409.81721192085928</v>
      </c>
      <c r="F1655" s="3">
        <f t="shared" si="163"/>
        <v>-316.15706192374387</v>
      </c>
      <c r="G1655" s="3">
        <f t="shared" si="164"/>
        <v>6.3398500028845888</v>
      </c>
      <c r="H1655" s="3">
        <f t="shared" si="165"/>
        <v>409.81721192085928</v>
      </c>
      <c r="M1655" s="1">
        <f t="shared" si="160"/>
        <v>904</v>
      </c>
      <c r="N1655" s="38">
        <f>+M1655*'Failure Data'!F$3</f>
        <v>23.353333333333332</v>
      </c>
    </row>
    <row r="1656" spans="1:14" x14ac:dyDescent="0.15">
      <c r="A1656" s="1">
        <v>1647</v>
      </c>
      <c r="B1656" s="3">
        <f t="shared" si="161"/>
        <v>416.40796540911583</v>
      </c>
      <c r="C1656" s="8"/>
      <c r="D1656" s="3">
        <f t="shared" si="162"/>
        <v>410.0681154062313</v>
      </c>
      <c r="F1656" s="3">
        <f t="shared" si="163"/>
        <v>-316.40796540911583</v>
      </c>
      <c r="G1656" s="3">
        <f t="shared" si="164"/>
        <v>6.3398500028845319</v>
      </c>
      <c r="H1656" s="3">
        <f t="shared" si="165"/>
        <v>410.0681154062313</v>
      </c>
      <c r="M1656" s="1">
        <f t="shared" si="160"/>
        <v>905</v>
      </c>
      <c r="N1656" s="38">
        <f>+M1656*'Failure Data'!F$3</f>
        <v>23.379166666666666</v>
      </c>
    </row>
    <row r="1657" spans="1:14" x14ac:dyDescent="0.15">
      <c r="A1657" s="1">
        <v>1648</v>
      </c>
      <c r="B1657" s="3">
        <f t="shared" si="161"/>
        <v>416.65886889448785</v>
      </c>
      <c r="C1657" s="8"/>
      <c r="D1657" s="3">
        <f t="shared" si="162"/>
        <v>410.31901889160326</v>
      </c>
      <c r="F1657" s="3">
        <f t="shared" si="163"/>
        <v>-316.65886889448785</v>
      </c>
      <c r="G1657" s="3">
        <f t="shared" si="164"/>
        <v>6.3398500028845888</v>
      </c>
      <c r="H1657" s="3">
        <f t="shared" si="165"/>
        <v>410.31901889160326</v>
      </c>
      <c r="M1657" s="1">
        <f t="shared" si="160"/>
        <v>906</v>
      </c>
      <c r="N1657" s="38">
        <f>+M1657*'Failure Data'!F$3</f>
        <v>23.405000000000001</v>
      </c>
    </row>
    <row r="1658" spans="1:14" x14ac:dyDescent="0.15">
      <c r="A1658" s="1">
        <v>1649</v>
      </c>
      <c r="B1658" s="3">
        <f t="shared" si="161"/>
        <v>416.90977237985982</v>
      </c>
      <c r="C1658" s="8"/>
      <c r="D1658" s="3">
        <f t="shared" si="162"/>
        <v>410.56992237697528</v>
      </c>
      <c r="F1658" s="3">
        <f t="shared" si="163"/>
        <v>-316.90977237985982</v>
      </c>
      <c r="G1658" s="3">
        <f t="shared" si="164"/>
        <v>6.3398500028845319</v>
      </c>
      <c r="H1658" s="3">
        <f t="shared" si="165"/>
        <v>410.56992237697528</v>
      </c>
      <c r="M1658" s="1">
        <f t="shared" si="160"/>
        <v>907</v>
      </c>
      <c r="N1658" s="38">
        <f>+M1658*'Failure Data'!F$3</f>
        <v>23.430833333333332</v>
      </c>
    </row>
    <row r="1659" spans="1:14" x14ac:dyDescent="0.15">
      <c r="A1659" s="1">
        <v>1650</v>
      </c>
      <c r="B1659" s="3">
        <f t="shared" si="161"/>
        <v>417.16067586523184</v>
      </c>
      <c r="C1659" s="8"/>
      <c r="D1659" s="3">
        <f t="shared" si="162"/>
        <v>410.82082586234725</v>
      </c>
      <c r="F1659" s="3">
        <f t="shared" si="163"/>
        <v>-317.16067586523184</v>
      </c>
      <c r="G1659" s="3">
        <f t="shared" si="164"/>
        <v>6.3398500028845888</v>
      </c>
      <c r="H1659" s="3">
        <f t="shared" si="165"/>
        <v>410.82082586234725</v>
      </c>
      <c r="M1659" s="1">
        <f t="shared" si="160"/>
        <v>908</v>
      </c>
      <c r="N1659" s="38">
        <f>+M1659*'Failure Data'!F$3</f>
        <v>23.456666666666667</v>
      </c>
    </row>
    <row r="1660" spans="1:14" x14ac:dyDescent="0.15">
      <c r="A1660" s="1">
        <v>1651</v>
      </c>
      <c r="B1660" s="3">
        <f t="shared" si="161"/>
        <v>417.4115793506038</v>
      </c>
      <c r="C1660" s="8"/>
      <c r="D1660" s="3">
        <f t="shared" si="162"/>
        <v>411.07172934771927</v>
      </c>
      <c r="F1660" s="3">
        <f t="shared" si="163"/>
        <v>-317.4115793506038</v>
      </c>
      <c r="G1660" s="3">
        <f t="shared" si="164"/>
        <v>6.3398500028845319</v>
      </c>
      <c r="H1660" s="3">
        <f t="shared" si="165"/>
        <v>411.07172934771927</v>
      </c>
      <c r="M1660" s="1">
        <f t="shared" si="160"/>
        <v>909</v>
      </c>
      <c r="N1660" s="38">
        <f>+M1660*'Failure Data'!F$3</f>
        <v>23.482499999999998</v>
      </c>
    </row>
    <row r="1661" spans="1:14" x14ac:dyDescent="0.15">
      <c r="A1661" s="1">
        <v>1652</v>
      </c>
      <c r="B1661" s="3">
        <f t="shared" si="161"/>
        <v>417.66248283597582</v>
      </c>
      <c r="C1661" s="8"/>
      <c r="D1661" s="3">
        <f t="shared" si="162"/>
        <v>411.32263283309123</v>
      </c>
      <c r="F1661" s="3">
        <f t="shared" si="163"/>
        <v>-317.66248283597582</v>
      </c>
      <c r="G1661" s="3">
        <f t="shared" si="164"/>
        <v>6.3398500028845888</v>
      </c>
      <c r="H1661" s="3">
        <f t="shared" si="165"/>
        <v>411.32263283309123</v>
      </c>
      <c r="M1661" s="1">
        <f t="shared" si="160"/>
        <v>910</v>
      </c>
      <c r="N1661" s="38">
        <f>+M1661*'Failure Data'!F$3</f>
        <v>23.508333333333333</v>
      </c>
    </row>
    <row r="1662" spans="1:14" x14ac:dyDescent="0.15">
      <c r="A1662" s="1">
        <v>1653</v>
      </c>
      <c r="B1662" s="3">
        <f t="shared" si="161"/>
        <v>417.91338632134779</v>
      </c>
      <c r="C1662" s="8"/>
      <c r="D1662" s="3">
        <f t="shared" si="162"/>
        <v>411.57353631846325</v>
      </c>
      <c r="F1662" s="3">
        <f t="shared" si="163"/>
        <v>-317.91338632134779</v>
      </c>
      <c r="G1662" s="3">
        <f t="shared" si="164"/>
        <v>6.3398500028845319</v>
      </c>
      <c r="H1662" s="3">
        <f t="shared" si="165"/>
        <v>411.57353631846325</v>
      </c>
      <c r="M1662" s="1">
        <f t="shared" si="160"/>
        <v>911</v>
      </c>
      <c r="N1662" s="38">
        <f>+M1662*'Failure Data'!F$3</f>
        <v>23.534166666666668</v>
      </c>
    </row>
    <row r="1663" spans="1:14" x14ac:dyDescent="0.15">
      <c r="A1663" s="1">
        <v>1654</v>
      </c>
      <c r="B1663" s="3">
        <f t="shared" si="161"/>
        <v>418.16428980671981</v>
      </c>
      <c r="C1663" s="8"/>
      <c r="D1663" s="3">
        <f t="shared" si="162"/>
        <v>411.82443980383528</v>
      </c>
      <c r="F1663" s="3">
        <f t="shared" si="163"/>
        <v>-318.16428980671981</v>
      </c>
      <c r="G1663" s="3">
        <f t="shared" si="164"/>
        <v>6.3398500028845319</v>
      </c>
      <c r="H1663" s="3">
        <f t="shared" si="165"/>
        <v>411.82443980383528</v>
      </c>
      <c r="M1663" s="1">
        <f t="shared" si="160"/>
        <v>912</v>
      </c>
      <c r="N1663" s="38">
        <f>+M1663*'Failure Data'!F$3</f>
        <v>23.56</v>
      </c>
    </row>
    <row r="1664" spans="1:14" x14ac:dyDescent="0.15">
      <c r="A1664" s="1">
        <v>1655</v>
      </c>
      <c r="B1664" s="3">
        <f t="shared" si="161"/>
        <v>418.41519329209177</v>
      </c>
      <c r="C1664" s="8"/>
      <c r="D1664" s="3">
        <f t="shared" si="162"/>
        <v>412.07534328920724</v>
      </c>
      <c r="F1664" s="3">
        <f t="shared" si="163"/>
        <v>-318.41519329209177</v>
      </c>
      <c r="G1664" s="3">
        <f t="shared" si="164"/>
        <v>6.3398500028845319</v>
      </c>
      <c r="H1664" s="3">
        <f t="shared" si="165"/>
        <v>412.07534328920724</v>
      </c>
      <c r="M1664" s="1">
        <f t="shared" si="160"/>
        <v>913</v>
      </c>
      <c r="N1664" s="38">
        <f>+M1664*'Failure Data'!F$3</f>
        <v>23.585833333333333</v>
      </c>
    </row>
    <row r="1665" spans="1:14" x14ac:dyDescent="0.15">
      <c r="A1665" s="1">
        <v>1656</v>
      </c>
      <c r="B1665" s="3">
        <f t="shared" si="161"/>
        <v>418.66609677746379</v>
      </c>
      <c r="C1665" s="8"/>
      <c r="D1665" s="3">
        <f t="shared" si="162"/>
        <v>412.32624677457926</v>
      </c>
      <c r="F1665" s="3">
        <f t="shared" si="163"/>
        <v>-318.66609677746379</v>
      </c>
      <c r="G1665" s="3">
        <f t="shared" si="164"/>
        <v>6.3398500028845319</v>
      </c>
      <c r="H1665" s="3">
        <f t="shared" si="165"/>
        <v>412.32624677457926</v>
      </c>
      <c r="M1665" s="1">
        <f t="shared" ref="M1665:M1728" si="166">M1664+1</f>
        <v>914</v>
      </c>
      <c r="N1665" s="38">
        <f>+M1665*'Failure Data'!F$3</f>
        <v>23.611666666666668</v>
      </c>
    </row>
    <row r="1666" spans="1:14" x14ac:dyDescent="0.15">
      <c r="A1666" s="1">
        <v>1657</v>
      </c>
      <c r="B1666" s="3">
        <f t="shared" si="161"/>
        <v>418.91700026283576</v>
      </c>
      <c r="C1666" s="8"/>
      <c r="D1666" s="3">
        <f t="shared" si="162"/>
        <v>412.57715025995122</v>
      </c>
      <c r="F1666" s="3">
        <f t="shared" si="163"/>
        <v>-318.91700026283576</v>
      </c>
      <c r="G1666" s="3">
        <f t="shared" si="164"/>
        <v>6.3398500028845319</v>
      </c>
      <c r="H1666" s="3">
        <f t="shared" si="165"/>
        <v>412.57715025995122</v>
      </c>
      <c r="M1666" s="1">
        <f t="shared" si="166"/>
        <v>915</v>
      </c>
      <c r="N1666" s="38">
        <f>+M1666*'Failure Data'!F$3</f>
        <v>23.637499999999999</v>
      </c>
    </row>
    <row r="1667" spans="1:14" x14ac:dyDescent="0.15">
      <c r="A1667" s="1">
        <v>1658</v>
      </c>
      <c r="B1667" s="3">
        <f t="shared" si="161"/>
        <v>419.16790374820778</v>
      </c>
      <c r="C1667" s="8"/>
      <c r="D1667" s="3">
        <f t="shared" si="162"/>
        <v>412.82805374532325</v>
      </c>
      <c r="F1667" s="3">
        <f t="shared" si="163"/>
        <v>-319.16790374820778</v>
      </c>
      <c r="G1667" s="3">
        <f t="shared" si="164"/>
        <v>6.3398500028845319</v>
      </c>
      <c r="H1667" s="3">
        <f t="shared" si="165"/>
        <v>412.82805374532325</v>
      </c>
      <c r="M1667" s="1">
        <f t="shared" si="166"/>
        <v>916</v>
      </c>
      <c r="N1667" s="38">
        <f>+M1667*'Failure Data'!F$3</f>
        <v>23.663333333333334</v>
      </c>
    </row>
    <row r="1668" spans="1:14" x14ac:dyDescent="0.15">
      <c r="A1668" s="1">
        <v>1659</v>
      </c>
      <c r="B1668" s="3">
        <f t="shared" si="161"/>
        <v>419.4188072335798</v>
      </c>
      <c r="C1668" s="8"/>
      <c r="D1668" s="3">
        <f t="shared" si="162"/>
        <v>413.07895723069521</v>
      </c>
      <c r="F1668" s="3">
        <f t="shared" si="163"/>
        <v>-319.4188072335798</v>
      </c>
      <c r="G1668" s="3">
        <f t="shared" si="164"/>
        <v>6.3398500028845888</v>
      </c>
      <c r="H1668" s="3">
        <f t="shared" si="165"/>
        <v>413.07895723069521</v>
      </c>
      <c r="M1668" s="1">
        <f t="shared" si="166"/>
        <v>917</v>
      </c>
      <c r="N1668" s="38">
        <f>+M1668*'Failure Data'!F$3</f>
        <v>23.689166666666665</v>
      </c>
    </row>
    <row r="1669" spans="1:14" x14ac:dyDescent="0.15">
      <c r="A1669" s="1">
        <v>1660</v>
      </c>
      <c r="B1669" s="3">
        <f t="shared" si="161"/>
        <v>419.66971071895176</v>
      </c>
      <c r="C1669" s="8"/>
      <c r="D1669" s="3">
        <f t="shared" si="162"/>
        <v>413.32986071606723</v>
      </c>
      <c r="F1669" s="3">
        <f t="shared" si="163"/>
        <v>-319.66971071895176</v>
      </c>
      <c r="G1669" s="3">
        <f t="shared" si="164"/>
        <v>6.3398500028845319</v>
      </c>
      <c r="H1669" s="3">
        <f t="shared" si="165"/>
        <v>413.32986071606723</v>
      </c>
      <c r="M1669" s="1">
        <f t="shared" si="166"/>
        <v>918</v>
      </c>
      <c r="N1669" s="38">
        <f>+M1669*'Failure Data'!F$3</f>
        <v>23.715</v>
      </c>
    </row>
    <row r="1670" spans="1:14" x14ac:dyDescent="0.15">
      <c r="A1670" s="1">
        <v>1661</v>
      </c>
      <c r="B1670" s="3">
        <f t="shared" si="161"/>
        <v>419.92061420432378</v>
      </c>
      <c r="C1670" s="8"/>
      <c r="D1670" s="3">
        <f t="shared" si="162"/>
        <v>413.58076420143919</v>
      </c>
      <c r="F1670" s="3">
        <f t="shared" si="163"/>
        <v>-319.92061420432378</v>
      </c>
      <c r="G1670" s="3">
        <f t="shared" si="164"/>
        <v>6.3398500028845888</v>
      </c>
      <c r="H1670" s="3">
        <f t="shared" si="165"/>
        <v>413.58076420143919</v>
      </c>
      <c r="M1670" s="1">
        <f t="shared" si="166"/>
        <v>919</v>
      </c>
      <c r="N1670" s="38">
        <f>+M1670*'Failure Data'!F$3</f>
        <v>23.740833333333335</v>
      </c>
    </row>
    <row r="1671" spans="1:14" x14ac:dyDescent="0.15">
      <c r="A1671" s="1">
        <v>1662</v>
      </c>
      <c r="B1671" s="3">
        <f t="shared" si="161"/>
        <v>420.17151768969575</v>
      </c>
      <c r="C1671" s="8"/>
      <c r="D1671" s="3">
        <f t="shared" si="162"/>
        <v>413.83166768681122</v>
      </c>
      <c r="F1671" s="3">
        <f t="shared" si="163"/>
        <v>-320.17151768969575</v>
      </c>
      <c r="G1671" s="3">
        <f t="shared" si="164"/>
        <v>6.3398500028845319</v>
      </c>
      <c r="H1671" s="3">
        <f t="shared" si="165"/>
        <v>413.83166768681122</v>
      </c>
      <c r="M1671" s="1">
        <f t="shared" si="166"/>
        <v>920</v>
      </c>
      <c r="N1671" s="38">
        <f>+M1671*'Failure Data'!F$3</f>
        <v>23.766666666666666</v>
      </c>
    </row>
    <row r="1672" spans="1:14" x14ac:dyDescent="0.15">
      <c r="A1672" s="1">
        <v>1663</v>
      </c>
      <c r="B1672" s="3">
        <f t="shared" si="161"/>
        <v>420.42242117506777</v>
      </c>
      <c r="C1672" s="8"/>
      <c r="D1672" s="3">
        <f t="shared" si="162"/>
        <v>414.08257117218318</v>
      </c>
      <c r="F1672" s="3">
        <f t="shared" si="163"/>
        <v>-320.42242117506777</v>
      </c>
      <c r="G1672" s="3">
        <f t="shared" si="164"/>
        <v>6.3398500028845888</v>
      </c>
      <c r="H1672" s="3">
        <f t="shared" si="165"/>
        <v>414.08257117218318</v>
      </c>
      <c r="M1672" s="1">
        <f t="shared" si="166"/>
        <v>921</v>
      </c>
      <c r="N1672" s="38">
        <f>+M1672*'Failure Data'!F$3</f>
        <v>23.7925</v>
      </c>
    </row>
    <row r="1673" spans="1:14" x14ac:dyDescent="0.15">
      <c r="A1673" s="1">
        <v>1664</v>
      </c>
      <c r="B1673" s="3">
        <f t="shared" si="161"/>
        <v>420.67332466043973</v>
      </c>
      <c r="C1673" s="8"/>
      <c r="D1673" s="3">
        <f t="shared" si="162"/>
        <v>414.3334746575552</v>
      </c>
      <c r="F1673" s="3">
        <f t="shared" si="163"/>
        <v>-320.67332466043973</v>
      </c>
      <c r="G1673" s="3">
        <f t="shared" si="164"/>
        <v>6.3398500028845319</v>
      </c>
      <c r="H1673" s="3">
        <f t="shared" si="165"/>
        <v>414.3334746575552</v>
      </c>
      <c r="M1673" s="1">
        <f t="shared" si="166"/>
        <v>922</v>
      </c>
      <c r="N1673" s="38">
        <f>+M1673*'Failure Data'!F$3</f>
        <v>23.818333333333332</v>
      </c>
    </row>
    <row r="1674" spans="1:14" x14ac:dyDescent="0.15">
      <c r="A1674" s="1">
        <v>1665</v>
      </c>
      <c r="B1674" s="3">
        <f t="shared" si="161"/>
        <v>420.92422814581175</v>
      </c>
      <c r="C1674" s="8"/>
      <c r="D1674" s="3">
        <f t="shared" si="162"/>
        <v>414.58437814292716</v>
      </c>
      <c r="F1674" s="3">
        <f t="shared" si="163"/>
        <v>-320.92422814581175</v>
      </c>
      <c r="G1674" s="3">
        <f t="shared" si="164"/>
        <v>6.3398500028845888</v>
      </c>
      <c r="H1674" s="3">
        <f t="shared" si="165"/>
        <v>414.58437814292716</v>
      </c>
      <c r="M1674" s="1">
        <f t="shared" si="166"/>
        <v>923</v>
      </c>
      <c r="N1674" s="38">
        <f>+M1674*'Failure Data'!F$3</f>
        <v>23.844166666666666</v>
      </c>
    </row>
    <row r="1675" spans="1:14" x14ac:dyDescent="0.15">
      <c r="A1675" s="1">
        <v>1666</v>
      </c>
      <c r="B1675" s="3">
        <f t="shared" si="161"/>
        <v>421.17513163118372</v>
      </c>
      <c r="C1675" s="8"/>
      <c r="D1675" s="3">
        <f t="shared" si="162"/>
        <v>414.83528162829919</v>
      </c>
      <c r="F1675" s="3">
        <f t="shared" si="163"/>
        <v>-321.17513163118372</v>
      </c>
      <c r="G1675" s="3">
        <f t="shared" si="164"/>
        <v>6.3398500028845319</v>
      </c>
      <c r="H1675" s="3">
        <f t="shared" si="165"/>
        <v>414.83528162829919</v>
      </c>
      <c r="M1675" s="1">
        <f t="shared" si="166"/>
        <v>924</v>
      </c>
      <c r="N1675" s="38">
        <f>+M1675*'Failure Data'!F$3</f>
        <v>23.87</v>
      </c>
    </row>
    <row r="1676" spans="1:14" x14ac:dyDescent="0.15">
      <c r="A1676" s="1">
        <v>1667</v>
      </c>
      <c r="B1676" s="3">
        <f t="shared" si="161"/>
        <v>421.42603511655574</v>
      </c>
      <c r="C1676" s="8"/>
      <c r="D1676" s="3">
        <f t="shared" si="162"/>
        <v>415.08618511367115</v>
      </c>
      <c r="F1676" s="3">
        <f t="shared" si="163"/>
        <v>-321.42603511655574</v>
      </c>
      <c r="G1676" s="3">
        <f t="shared" si="164"/>
        <v>6.3398500028845888</v>
      </c>
      <c r="H1676" s="3">
        <f t="shared" si="165"/>
        <v>415.08618511367115</v>
      </c>
      <c r="M1676" s="1">
        <f t="shared" si="166"/>
        <v>925</v>
      </c>
      <c r="N1676" s="38">
        <f>+M1676*'Failure Data'!F$3</f>
        <v>23.895833333333332</v>
      </c>
    </row>
    <row r="1677" spans="1:14" x14ac:dyDescent="0.15">
      <c r="A1677" s="1">
        <v>1668</v>
      </c>
      <c r="B1677" s="3">
        <f t="shared" si="161"/>
        <v>421.6769386019277</v>
      </c>
      <c r="C1677" s="8"/>
      <c r="D1677" s="3">
        <f t="shared" si="162"/>
        <v>415.33708859904317</v>
      </c>
      <c r="F1677" s="3">
        <f t="shared" si="163"/>
        <v>-321.6769386019277</v>
      </c>
      <c r="G1677" s="3">
        <f t="shared" si="164"/>
        <v>6.3398500028845319</v>
      </c>
      <c r="H1677" s="3">
        <f t="shared" si="165"/>
        <v>415.33708859904317</v>
      </c>
      <c r="M1677" s="1">
        <f t="shared" si="166"/>
        <v>926</v>
      </c>
      <c r="N1677" s="38">
        <f>+M1677*'Failure Data'!F$3</f>
        <v>23.921666666666667</v>
      </c>
    </row>
    <row r="1678" spans="1:14" x14ac:dyDescent="0.15">
      <c r="A1678" s="1">
        <v>1669</v>
      </c>
      <c r="B1678" s="3">
        <f t="shared" si="161"/>
        <v>421.92784208729972</v>
      </c>
      <c r="C1678" s="8"/>
      <c r="D1678" s="3">
        <f t="shared" si="162"/>
        <v>415.58799208441513</v>
      </c>
      <c r="F1678" s="3">
        <f t="shared" si="163"/>
        <v>-321.92784208729972</v>
      </c>
      <c r="G1678" s="3">
        <f t="shared" si="164"/>
        <v>6.3398500028845888</v>
      </c>
      <c r="H1678" s="3">
        <f t="shared" si="165"/>
        <v>415.58799208441513</v>
      </c>
      <c r="M1678" s="1">
        <f t="shared" si="166"/>
        <v>927</v>
      </c>
      <c r="N1678" s="38">
        <f>+M1678*'Failure Data'!F$3</f>
        <v>23.947500000000002</v>
      </c>
    </row>
    <row r="1679" spans="1:14" x14ac:dyDescent="0.15">
      <c r="A1679" s="1">
        <v>1670</v>
      </c>
      <c r="B1679" s="3">
        <f t="shared" si="161"/>
        <v>422.17874557267169</v>
      </c>
      <c r="C1679" s="8"/>
      <c r="D1679" s="3">
        <f t="shared" si="162"/>
        <v>415.83889556978716</v>
      </c>
      <c r="F1679" s="3">
        <f t="shared" si="163"/>
        <v>-322.17874557267169</v>
      </c>
      <c r="G1679" s="3">
        <f t="shared" si="164"/>
        <v>6.3398500028845319</v>
      </c>
      <c r="H1679" s="3">
        <f t="shared" si="165"/>
        <v>415.83889556978716</v>
      </c>
      <c r="M1679" s="1">
        <f t="shared" si="166"/>
        <v>928</v>
      </c>
      <c r="N1679" s="38">
        <f>+M1679*'Failure Data'!F$3</f>
        <v>23.973333333333333</v>
      </c>
    </row>
    <row r="1680" spans="1:14" x14ac:dyDescent="0.15">
      <c r="A1680" s="1">
        <v>1671</v>
      </c>
      <c r="B1680" s="3">
        <f t="shared" si="161"/>
        <v>422.42964905804371</v>
      </c>
      <c r="C1680" s="8"/>
      <c r="D1680" s="3">
        <f t="shared" si="162"/>
        <v>416.08979905515912</v>
      </c>
      <c r="F1680" s="3">
        <f t="shared" si="163"/>
        <v>-322.42964905804371</v>
      </c>
      <c r="G1680" s="3">
        <f t="shared" si="164"/>
        <v>6.3398500028845888</v>
      </c>
      <c r="H1680" s="3">
        <f t="shared" si="165"/>
        <v>416.08979905515912</v>
      </c>
      <c r="M1680" s="1">
        <f t="shared" si="166"/>
        <v>929</v>
      </c>
      <c r="N1680" s="38">
        <f>+M1680*'Failure Data'!F$3</f>
        <v>23.999166666666667</v>
      </c>
    </row>
    <row r="1681" spans="1:14" x14ac:dyDescent="0.15">
      <c r="A1681" s="1">
        <v>1672</v>
      </c>
      <c r="B1681" s="3">
        <f t="shared" si="161"/>
        <v>422.68055254341567</v>
      </c>
      <c r="C1681" s="8"/>
      <c r="D1681" s="3">
        <f t="shared" si="162"/>
        <v>416.34070254053114</v>
      </c>
      <c r="F1681" s="3">
        <f t="shared" si="163"/>
        <v>-322.68055254341567</v>
      </c>
      <c r="G1681" s="3">
        <f t="shared" si="164"/>
        <v>6.3398500028845319</v>
      </c>
      <c r="H1681" s="3">
        <f t="shared" si="165"/>
        <v>416.34070254053114</v>
      </c>
      <c r="M1681" s="1">
        <f t="shared" si="166"/>
        <v>930</v>
      </c>
      <c r="N1681" s="38">
        <f>+M1681*'Failure Data'!F$3</f>
        <v>24.024999999999999</v>
      </c>
    </row>
    <row r="1682" spans="1:14" x14ac:dyDescent="0.15">
      <c r="A1682" s="1">
        <v>1673</v>
      </c>
      <c r="B1682" s="3">
        <f t="shared" si="161"/>
        <v>422.93145602878769</v>
      </c>
      <c r="C1682" s="8"/>
      <c r="D1682" s="3">
        <f t="shared" si="162"/>
        <v>416.5916060259031</v>
      </c>
      <c r="F1682" s="3">
        <f t="shared" si="163"/>
        <v>-322.93145602878769</v>
      </c>
      <c r="G1682" s="3">
        <f t="shared" si="164"/>
        <v>6.3398500028845888</v>
      </c>
      <c r="H1682" s="3">
        <f t="shared" si="165"/>
        <v>416.5916060259031</v>
      </c>
      <c r="M1682" s="1">
        <f t="shared" si="166"/>
        <v>931</v>
      </c>
      <c r="N1682" s="38">
        <f>+M1682*'Failure Data'!F$3</f>
        <v>24.050833333333333</v>
      </c>
    </row>
    <row r="1683" spans="1:14" x14ac:dyDescent="0.15">
      <c r="A1683" s="1">
        <v>1674</v>
      </c>
      <c r="B1683" s="3">
        <f t="shared" si="161"/>
        <v>423.18235951415966</v>
      </c>
      <c r="C1683" s="8"/>
      <c r="D1683" s="3">
        <f t="shared" si="162"/>
        <v>416.84250951127513</v>
      </c>
      <c r="F1683" s="3">
        <f t="shared" si="163"/>
        <v>-323.18235951415966</v>
      </c>
      <c r="G1683" s="3">
        <f t="shared" si="164"/>
        <v>6.3398500028845319</v>
      </c>
      <c r="H1683" s="3">
        <f t="shared" si="165"/>
        <v>416.84250951127513</v>
      </c>
      <c r="M1683" s="1">
        <f t="shared" si="166"/>
        <v>932</v>
      </c>
      <c r="N1683" s="38">
        <f>+M1683*'Failure Data'!F$3</f>
        <v>24.076666666666668</v>
      </c>
    </row>
    <row r="1684" spans="1:14" x14ac:dyDescent="0.15">
      <c r="A1684" s="1">
        <v>1675</v>
      </c>
      <c r="B1684" s="3">
        <f t="shared" si="161"/>
        <v>423.43326299953168</v>
      </c>
      <c r="C1684" s="8"/>
      <c r="D1684" s="3">
        <f t="shared" si="162"/>
        <v>417.09341299664709</v>
      </c>
      <c r="F1684" s="3">
        <f t="shared" si="163"/>
        <v>-323.43326299953168</v>
      </c>
      <c r="G1684" s="3">
        <f t="shared" si="164"/>
        <v>6.3398500028845888</v>
      </c>
      <c r="H1684" s="3">
        <f t="shared" si="165"/>
        <v>417.09341299664709</v>
      </c>
      <c r="M1684" s="1">
        <f t="shared" si="166"/>
        <v>933</v>
      </c>
      <c r="N1684" s="38">
        <f>+M1684*'Failure Data'!F$3</f>
        <v>24.102499999999999</v>
      </c>
    </row>
    <row r="1685" spans="1:14" x14ac:dyDescent="0.15">
      <c r="A1685" s="1">
        <v>1676</v>
      </c>
      <c r="B1685" s="3">
        <f t="shared" si="161"/>
        <v>423.68416648490364</v>
      </c>
      <c r="C1685" s="8"/>
      <c r="D1685" s="3">
        <f t="shared" si="162"/>
        <v>417.34431648201911</v>
      </c>
      <c r="F1685" s="3">
        <f t="shared" si="163"/>
        <v>-323.68416648490364</v>
      </c>
      <c r="G1685" s="3">
        <f t="shared" si="164"/>
        <v>6.3398500028845319</v>
      </c>
      <c r="H1685" s="3">
        <f t="shared" si="165"/>
        <v>417.34431648201911</v>
      </c>
      <c r="M1685" s="1">
        <f t="shared" si="166"/>
        <v>934</v>
      </c>
      <c r="N1685" s="38">
        <f>+M1685*'Failure Data'!F$3</f>
        <v>24.128333333333334</v>
      </c>
    </row>
    <row r="1686" spans="1:14" x14ac:dyDescent="0.15">
      <c r="A1686" s="1">
        <v>1677</v>
      </c>
      <c r="B1686" s="3">
        <f t="shared" si="161"/>
        <v>423.93506997027566</v>
      </c>
      <c r="C1686" s="8"/>
      <c r="D1686" s="3">
        <f t="shared" si="162"/>
        <v>417.59521996739113</v>
      </c>
      <c r="F1686" s="3">
        <f t="shared" si="163"/>
        <v>-323.93506997027566</v>
      </c>
      <c r="G1686" s="3">
        <f t="shared" si="164"/>
        <v>6.3398500028845319</v>
      </c>
      <c r="H1686" s="3">
        <f t="shared" si="165"/>
        <v>417.59521996739113</v>
      </c>
      <c r="M1686" s="1">
        <f t="shared" si="166"/>
        <v>935</v>
      </c>
      <c r="N1686" s="38">
        <f>+M1686*'Failure Data'!F$3</f>
        <v>24.154166666666665</v>
      </c>
    </row>
    <row r="1687" spans="1:14" x14ac:dyDescent="0.15">
      <c r="A1687" s="1">
        <v>1678</v>
      </c>
      <c r="B1687" s="3">
        <f t="shared" si="161"/>
        <v>424.18597345564763</v>
      </c>
      <c r="C1687" s="8"/>
      <c r="D1687" s="3">
        <f t="shared" si="162"/>
        <v>417.84612345276309</v>
      </c>
      <c r="F1687" s="3">
        <f t="shared" si="163"/>
        <v>-324.18597345564763</v>
      </c>
      <c r="G1687" s="3">
        <f t="shared" si="164"/>
        <v>6.3398500028845319</v>
      </c>
      <c r="H1687" s="3">
        <f t="shared" si="165"/>
        <v>417.84612345276309</v>
      </c>
      <c r="M1687" s="1">
        <f t="shared" si="166"/>
        <v>936</v>
      </c>
      <c r="N1687" s="38">
        <f>+M1687*'Failure Data'!F$3</f>
        <v>24.18</v>
      </c>
    </row>
    <row r="1688" spans="1:14" x14ac:dyDescent="0.15">
      <c r="A1688" s="1">
        <v>1679</v>
      </c>
      <c r="B1688" s="3">
        <f t="shared" si="161"/>
        <v>424.43687694101965</v>
      </c>
      <c r="C1688" s="8"/>
      <c r="D1688" s="3">
        <f t="shared" si="162"/>
        <v>418.09702693813512</v>
      </c>
      <c r="F1688" s="3">
        <f t="shared" si="163"/>
        <v>-324.43687694101965</v>
      </c>
      <c r="G1688" s="3">
        <f t="shared" si="164"/>
        <v>6.3398500028845319</v>
      </c>
      <c r="H1688" s="3">
        <f t="shared" si="165"/>
        <v>418.09702693813512</v>
      </c>
      <c r="M1688" s="1">
        <f t="shared" si="166"/>
        <v>937</v>
      </c>
      <c r="N1688" s="38">
        <f>+M1688*'Failure Data'!F$3</f>
        <v>24.205833333333334</v>
      </c>
    </row>
    <row r="1689" spans="1:14" x14ac:dyDescent="0.15">
      <c r="A1689" s="1">
        <v>1680</v>
      </c>
      <c r="B1689" s="3">
        <f t="shared" si="161"/>
        <v>424.68778042639161</v>
      </c>
      <c r="C1689" s="8"/>
      <c r="D1689" s="3">
        <f t="shared" si="162"/>
        <v>418.34793042350708</v>
      </c>
      <c r="F1689" s="3">
        <f t="shared" si="163"/>
        <v>-324.68778042639161</v>
      </c>
      <c r="G1689" s="3">
        <f t="shared" si="164"/>
        <v>6.3398500028845319</v>
      </c>
      <c r="H1689" s="3">
        <f t="shared" si="165"/>
        <v>418.34793042350708</v>
      </c>
      <c r="M1689" s="1">
        <f t="shared" si="166"/>
        <v>938</v>
      </c>
      <c r="N1689" s="38">
        <f>+M1689*'Failure Data'!F$3</f>
        <v>24.231666666666666</v>
      </c>
    </row>
    <row r="1690" spans="1:14" x14ac:dyDescent="0.15">
      <c r="A1690" s="1">
        <v>1681</v>
      </c>
      <c r="B1690" s="3">
        <f t="shared" si="161"/>
        <v>424.93868391176363</v>
      </c>
      <c r="C1690" s="8"/>
      <c r="D1690" s="3">
        <f t="shared" si="162"/>
        <v>418.5988339088791</v>
      </c>
      <c r="F1690" s="3">
        <f t="shared" si="163"/>
        <v>-324.93868391176363</v>
      </c>
      <c r="G1690" s="3">
        <f t="shared" si="164"/>
        <v>6.3398500028845319</v>
      </c>
      <c r="H1690" s="3">
        <f t="shared" si="165"/>
        <v>418.5988339088791</v>
      </c>
      <c r="M1690" s="1">
        <f t="shared" si="166"/>
        <v>939</v>
      </c>
      <c r="N1690" s="38">
        <f>+M1690*'Failure Data'!F$3</f>
        <v>24.2575</v>
      </c>
    </row>
    <row r="1691" spans="1:14" x14ac:dyDescent="0.15">
      <c r="A1691" s="1">
        <v>1682</v>
      </c>
      <c r="B1691" s="3">
        <f t="shared" si="161"/>
        <v>425.1895873971356</v>
      </c>
      <c r="C1691" s="8"/>
      <c r="D1691" s="3">
        <f t="shared" si="162"/>
        <v>418.84973739425106</v>
      </c>
      <c r="F1691" s="3">
        <f t="shared" si="163"/>
        <v>-325.1895873971356</v>
      </c>
      <c r="G1691" s="3">
        <f t="shared" si="164"/>
        <v>6.3398500028845319</v>
      </c>
      <c r="H1691" s="3">
        <f t="shared" si="165"/>
        <v>418.84973739425106</v>
      </c>
      <c r="M1691" s="1">
        <f t="shared" si="166"/>
        <v>940</v>
      </c>
      <c r="N1691" s="38">
        <f>+M1691*'Failure Data'!F$3</f>
        <v>24.283333333333331</v>
      </c>
    </row>
    <row r="1692" spans="1:14" x14ac:dyDescent="0.15">
      <c r="A1692" s="1">
        <v>1683</v>
      </c>
      <c r="B1692" s="3">
        <f t="shared" si="161"/>
        <v>425.44049088250762</v>
      </c>
      <c r="C1692" s="8"/>
      <c r="D1692" s="3">
        <f t="shared" si="162"/>
        <v>419.10064087962309</v>
      </c>
      <c r="F1692" s="3">
        <f t="shared" si="163"/>
        <v>-325.44049088250762</v>
      </c>
      <c r="G1692" s="3">
        <f t="shared" si="164"/>
        <v>6.3398500028845319</v>
      </c>
      <c r="H1692" s="3">
        <f t="shared" si="165"/>
        <v>419.10064087962309</v>
      </c>
      <c r="M1692" s="1">
        <f t="shared" si="166"/>
        <v>941</v>
      </c>
      <c r="N1692" s="38">
        <f>+M1692*'Failure Data'!F$3</f>
        <v>24.309166666666666</v>
      </c>
    </row>
    <row r="1693" spans="1:14" x14ac:dyDescent="0.15">
      <c r="A1693" s="1">
        <v>1684</v>
      </c>
      <c r="B1693" s="3">
        <f t="shared" si="161"/>
        <v>425.69139436787964</v>
      </c>
      <c r="C1693" s="8"/>
      <c r="D1693" s="3">
        <f t="shared" si="162"/>
        <v>419.35154436499505</v>
      </c>
      <c r="F1693" s="3">
        <f t="shared" si="163"/>
        <v>-325.69139436787964</v>
      </c>
      <c r="G1693" s="3">
        <f t="shared" si="164"/>
        <v>6.3398500028845888</v>
      </c>
      <c r="H1693" s="3">
        <f t="shared" si="165"/>
        <v>419.35154436499505</v>
      </c>
      <c r="M1693" s="1">
        <f t="shared" si="166"/>
        <v>942</v>
      </c>
      <c r="N1693" s="38">
        <f>+M1693*'Failure Data'!F$3</f>
        <v>24.335000000000001</v>
      </c>
    </row>
    <row r="1694" spans="1:14" x14ac:dyDescent="0.15">
      <c r="A1694" s="1">
        <v>1685</v>
      </c>
      <c r="B1694" s="3">
        <f t="shared" si="161"/>
        <v>425.9422978532516</v>
      </c>
      <c r="C1694" s="8"/>
      <c r="D1694" s="3">
        <f t="shared" si="162"/>
        <v>419.60244785036707</v>
      </c>
      <c r="F1694" s="3">
        <f t="shared" si="163"/>
        <v>-325.9422978532516</v>
      </c>
      <c r="G1694" s="3">
        <f t="shared" si="164"/>
        <v>6.3398500028845319</v>
      </c>
      <c r="H1694" s="3">
        <f t="shared" si="165"/>
        <v>419.60244785036707</v>
      </c>
      <c r="M1694" s="1">
        <f t="shared" si="166"/>
        <v>943</v>
      </c>
      <c r="N1694" s="38">
        <f>+M1694*'Failure Data'!F$3</f>
        <v>24.360833333333332</v>
      </c>
    </row>
    <row r="1695" spans="1:14" x14ac:dyDescent="0.15">
      <c r="A1695" s="1">
        <v>1686</v>
      </c>
      <c r="B1695" s="3">
        <f t="shared" ref="B1695:B1758" si="167">+(B$4*A1695)+B$5</f>
        <v>426.19320133862362</v>
      </c>
      <c r="C1695" s="8"/>
      <c r="D1695" s="3">
        <f t="shared" ref="D1695:D1758" si="168">+(D$4*A1695)+D$5</f>
        <v>419.85335133573903</v>
      </c>
      <c r="F1695" s="3">
        <f t="shared" ref="F1695:F1758" si="169">+xmax-B1695</f>
        <v>-326.19320133862362</v>
      </c>
      <c r="G1695" s="3">
        <f t="shared" ref="G1695:G1758" si="170">+B1695-D1695</f>
        <v>6.3398500028845888</v>
      </c>
      <c r="H1695" s="3">
        <f t="shared" ref="H1695:H1758" si="171">D1695</f>
        <v>419.85335133573903</v>
      </c>
      <c r="M1695" s="1">
        <f t="shared" si="166"/>
        <v>944</v>
      </c>
      <c r="N1695" s="38">
        <f>+M1695*'Failure Data'!F$3</f>
        <v>24.386666666666667</v>
      </c>
    </row>
    <row r="1696" spans="1:14" x14ac:dyDescent="0.15">
      <c r="A1696" s="1">
        <v>1687</v>
      </c>
      <c r="B1696" s="3">
        <f t="shared" si="167"/>
        <v>426.44410482399559</v>
      </c>
      <c r="C1696" s="8"/>
      <c r="D1696" s="3">
        <f t="shared" si="168"/>
        <v>420.10425482111106</v>
      </c>
      <c r="F1696" s="3">
        <f t="shared" si="169"/>
        <v>-326.44410482399559</v>
      </c>
      <c r="G1696" s="3">
        <f t="shared" si="170"/>
        <v>6.3398500028845319</v>
      </c>
      <c r="H1696" s="3">
        <f t="shared" si="171"/>
        <v>420.10425482111106</v>
      </c>
      <c r="M1696" s="1">
        <f t="shared" si="166"/>
        <v>945</v>
      </c>
      <c r="N1696" s="38">
        <f>+M1696*'Failure Data'!F$3</f>
        <v>24.412500000000001</v>
      </c>
    </row>
    <row r="1697" spans="1:14" x14ac:dyDescent="0.15">
      <c r="A1697" s="1">
        <v>1688</v>
      </c>
      <c r="B1697" s="3">
        <f t="shared" si="167"/>
        <v>426.69500830936761</v>
      </c>
      <c r="C1697" s="8"/>
      <c r="D1697" s="3">
        <f t="shared" si="168"/>
        <v>420.35515830648302</v>
      </c>
      <c r="F1697" s="3">
        <f t="shared" si="169"/>
        <v>-326.69500830936761</v>
      </c>
      <c r="G1697" s="3">
        <f t="shared" si="170"/>
        <v>6.3398500028845888</v>
      </c>
      <c r="H1697" s="3">
        <f t="shared" si="171"/>
        <v>420.35515830648302</v>
      </c>
      <c r="M1697" s="1">
        <f t="shared" si="166"/>
        <v>946</v>
      </c>
      <c r="N1697" s="38">
        <f>+M1697*'Failure Data'!F$3</f>
        <v>24.438333333333333</v>
      </c>
    </row>
    <row r="1698" spans="1:14" x14ac:dyDescent="0.15">
      <c r="A1698" s="1">
        <v>1689</v>
      </c>
      <c r="B1698" s="3">
        <f t="shared" si="167"/>
        <v>426.94591179473957</v>
      </c>
      <c r="C1698" s="8"/>
      <c r="D1698" s="3">
        <f t="shared" si="168"/>
        <v>420.60606179185504</v>
      </c>
      <c r="F1698" s="3">
        <f t="shared" si="169"/>
        <v>-326.94591179473957</v>
      </c>
      <c r="G1698" s="3">
        <f t="shared" si="170"/>
        <v>6.3398500028845319</v>
      </c>
      <c r="H1698" s="3">
        <f t="shared" si="171"/>
        <v>420.60606179185504</v>
      </c>
      <c r="M1698" s="1">
        <f t="shared" si="166"/>
        <v>947</v>
      </c>
      <c r="N1698" s="38">
        <f>+M1698*'Failure Data'!F$3</f>
        <v>24.464166666666667</v>
      </c>
    </row>
    <row r="1699" spans="1:14" x14ac:dyDescent="0.15">
      <c r="A1699" s="1">
        <v>1690</v>
      </c>
      <c r="B1699" s="3">
        <f t="shared" si="167"/>
        <v>427.19681528011159</v>
      </c>
      <c r="C1699" s="8"/>
      <c r="D1699" s="3">
        <f t="shared" si="168"/>
        <v>420.856965277227</v>
      </c>
      <c r="F1699" s="3">
        <f t="shared" si="169"/>
        <v>-327.19681528011159</v>
      </c>
      <c r="G1699" s="3">
        <f t="shared" si="170"/>
        <v>6.3398500028845888</v>
      </c>
      <c r="H1699" s="3">
        <f t="shared" si="171"/>
        <v>420.856965277227</v>
      </c>
      <c r="M1699" s="1">
        <f t="shared" si="166"/>
        <v>948</v>
      </c>
      <c r="N1699" s="38">
        <f>+M1699*'Failure Data'!F$3</f>
        <v>24.49</v>
      </c>
    </row>
    <row r="1700" spans="1:14" x14ac:dyDescent="0.15">
      <c r="A1700" s="1">
        <v>1691</v>
      </c>
      <c r="B1700" s="3">
        <f t="shared" si="167"/>
        <v>427.44771876548356</v>
      </c>
      <c r="C1700" s="8"/>
      <c r="D1700" s="3">
        <f t="shared" si="168"/>
        <v>421.10786876259903</v>
      </c>
      <c r="F1700" s="3">
        <f t="shared" si="169"/>
        <v>-327.44771876548356</v>
      </c>
      <c r="G1700" s="3">
        <f t="shared" si="170"/>
        <v>6.3398500028845319</v>
      </c>
      <c r="H1700" s="3">
        <f t="shared" si="171"/>
        <v>421.10786876259903</v>
      </c>
      <c r="M1700" s="1">
        <f t="shared" si="166"/>
        <v>949</v>
      </c>
      <c r="N1700" s="38">
        <f>+M1700*'Failure Data'!F$3</f>
        <v>24.515833333333333</v>
      </c>
    </row>
    <row r="1701" spans="1:14" x14ac:dyDescent="0.15">
      <c r="A1701" s="1">
        <v>1692</v>
      </c>
      <c r="B1701" s="3">
        <f t="shared" si="167"/>
        <v>427.69862225085558</v>
      </c>
      <c r="C1701" s="8"/>
      <c r="D1701" s="3">
        <f t="shared" si="168"/>
        <v>421.35877224797099</v>
      </c>
      <c r="F1701" s="3">
        <f t="shared" si="169"/>
        <v>-327.69862225085558</v>
      </c>
      <c r="G1701" s="3">
        <f t="shared" si="170"/>
        <v>6.3398500028845888</v>
      </c>
      <c r="H1701" s="3">
        <f t="shared" si="171"/>
        <v>421.35877224797099</v>
      </c>
      <c r="M1701" s="1">
        <f t="shared" si="166"/>
        <v>950</v>
      </c>
      <c r="N1701" s="38">
        <f>+M1701*'Failure Data'!F$3</f>
        <v>24.541666666666668</v>
      </c>
    </row>
    <row r="1702" spans="1:14" x14ac:dyDescent="0.15">
      <c r="A1702" s="1">
        <v>1693</v>
      </c>
      <c r="B1702" s="3">
        <f t="shared" si="167"/>
        <v>427.94952573622754</v>
      </c>
      <c r="C1702" s="8"/>
      <c r="D1702" s="3">
        <f t="shared" si="168"/>
        <v>421.60967573334301</v>
      </c>
      <c r="F1702" s="3">
        <f t="shared" si="169"/>
        <v>-327.94952573622754</v>
      </c>
      <c r="G1702" s="3">
        <f t="shared" si="170"/>
        <v>6.3398500028845319</v>
      </c>
      <c r="H1702" s="3">
        <f t="shared" si="171"/>
        <v>421.60967573334301</v>
      </c>
      <c r="M1702" s="1">
        <f t="shared" si="166"/>
        <v>951</v>
      </c>
      <c r="N1702" s="38">
        <f>+M1702*'Failure Data'!F$3</f>
        <v>24.567499999999999</v>
      </c>
    </row>
    <row r="1703" spans="1:14" x14ac:dyDescent="0.15">
      <c r="A1703" s="1">
        <v>1694</v>
      </c>
      <c r="B1703" s="3">
        <f t="shared" si="167"/>
        <v>428.20042922159956</v>
      </c>
      <c r="C1703" s="8"/>
      <c r="D1703" s="3">
        <f t="shared" si="168"/>
        <v>421.86057921871497</v>
      </c>
      <c r="F1703" s="3">
        <f t="shared" si="169"/>
        <v>-328.20042922159956</v>
      </c>
      <c r="G1703" s="3">
        <f t="shared" si="170"/>
        <v>6.3398500028845888</v>
      </c>
      <c r="H1703" s="3">
        <f t="shared" si="171"/>
        <v>421.86057921871497</v>
      </c>
      <c r="M1703" s="1">
        <f t="shared" si="166"/>
        <v>952</v>
      </c>
      <c r="N1703" s="38">
        <f>+M1703*'Failure Data'!F$3</f>
        <v>24.593333333333334</v>
      </c>
    </row>
    <row r="1704" spans="1:14" x14ac:dyDescent="0.15">
      <c r="A1704" s="1">
        <v>1695</v>
      </c>
      <c r="B1704" s="3">
        <f t="shared" si="167"/>
        <v>428.45133270697153</v>
      </c>
      <c r="C1704" s="8"/>
      <c r="D1704" s="3">
        <f t="shared" si="168"/>
        <v>422.111482704087</v>
      </c>
      <c r="F1704" s="3">
        <f t="shared" si="169"/>
        <v>-328.45133270697153</v>
      </c>
      <c r="G1704" s="3">
        <f t="shared" si="170"/>
        <v>6.3398500028845319</v>
      </c>
      <c r="H1704" s="3">
        <f t="shared" si="171"/>
        <v>422.111482704087</v>
      </c>
      <c r="M1704" s="1">
        <f t="shared" si="166"/>
        <v>953</v>
      </c>
      <c r="N1704" s="38">
        <f>+M1704*'Failure Data'!F$3</f>
        <v>24.619166666666665</v>
      </c>
    </row>
    <row r="1705" spans="1:14" x14ac:dyDescent="0.15">
      <c r="A1705" s="1">
        <v>1696</v>
      </c>
      <c r="B1705" s="3">
        <f t="shared" si="167"/>
        <v>428.70223619234355</v>
      </c>
      <c r="C1705" s="8"/>
      <c r="D1705" s="3">
        <f t="shared" si="168"/>
        <v>422.36238618945896</v>
      </c>
      <c r="F1705" s="3">
        <f t="shared" si="169"/>
        <v>-328.70223619234355</v>
      </c>
      <c r="G1705" s="3">
        <f t="shared" si="170"/>
        <v>6.3398500028845888</v>
      </c>
      <c r="H1705" s="3">
        <f t="shared" si="171"/>
        <v>422.36238618945896</v>
      </c>
      <c r="M1705" s="1">
        <f t="shared" si="166"/>
        <v>954</v>
      </c>
      <c r="N1705" s="38">
        <f>+M1705*'Failure Data'!F$3</f>
        <v>24.645</v>
      </c>
    </row>
    <row r="1706" spans="1:14" x14ac:dyDescent="0.15">
      <c r="A1706" s="1">
        <v>1697</v>
      </c>
      <c r="B1706" s="3">
        <f t="shared" si="167"/>
        <v>428.95313967771551</v>
      </c>
      <c r="C1706" s="8"/>
      <c r="D1706" s="3">
        <f t="shared" si="168"/>
        <v>422.61328967483098</v>
      </c>
      <c r="F1706" s="3">
        <f t="shared" si="169"/>
        <v>-328.95313967771551</v>
      </c>
      <c r="G1706" s="3">
        <f t="shared" si="170"/>
        <v>6.3398500028845319</v>
      </c>
      <c r="H1706" s="3">
        <f t="shared" si="171"/>
        <v>422.61328967483098</v>
      </c>
      <c r="M1706" s="1">
        <f t="shared" si="166"/>
        <v>955</v>
      </c>
      <c r="N1706" s="38">
        <f>+M1706*'Failure Data'!F$3</f>
        <v>24.670833333333334</v>
      </c>
    </row>
    <row r="1707" spans="1:14" x14ac:dyDescent="0.15">
      <c r="A1707" s="1">
        <v>1698</v>
      </c>
      <c r="B1707" s="3">
        <f t="shared" si="167"/>
        <v>429.20404316308753</v>
      </c>
      <c r="C1707" s="8"/>
      <c r="D1707" s="3">
        <f t="shared" si="168"/>
        <v>422.86419316020294</v>
      </c>
      <c r="F1707" s="3">
        <f t="shared" si="169"/>
        <v>-329.20404316308753</v>
      </c>
      <c r="G1707" s="3">
        <f t="shared" si="170"/>
        <v>6.3398500028845888</v>
      </c>
      <c r="H1707" s="3">
        <f t="shared" si="171"/>
        <v>422.86419316020294</v>
      </c>
      <c r="M1707" s="1">
        <f t="shared" si="166"/>
        <v>956</v>
      </c>
      <c r="N1707" s="38">
        <f>+M1707*'Failure Data'!F$3</f>
        <v>24.696666666666665</v>
      </c>
    </row>
    <row r="1708" spans="1:14" x14ac:dyDescent="0.15">
      <c r="A1708" s="1">
        <v>1699</v>
      </c>
      <c r="B1708" s="3">
        <f t="shared" si="167"/>
        <v>429.4549466484595</v>
      </c>
      <c r="C1708" s="8"/>
      <c r="D1708" s="3">
        <f t="shared" si="168"/>
        <v>423.11509664557497</v>
      </c>
      <c r="F1708" s="3">
        <f t="shared" si="169"/>
        <v>-329.4549466484595</v>
      </c>
      <c r="G1708" s="3">
        <f t="shared" si="170"/>
        <v>6.3398500028845319</v>
      </c>
      <c r="H1708" s="3">
        <f t="shared" si="171"/>
        <v>423.11509664557497</v>
      </c>
      <c r="M1708" s="1">
        <f t="shared" si="166"/>
        <v>957</v>
      </c>
      <c r="N1708" s="38">
        <f>+M1708*'Failure Data'!F$3</f>
        <v>24.7225</v>
      </c>
    </row>
    <row r="1709" spans="1:14" x14ac:dyDescent="0.15">
      <c r="A1709" s="1">
        <v>1700</v>
      </c>
      <c r="B1709" s="3">
        <f t="shared" si="167"/>
        <v>429.70585013383152</v>
      </c>
      <c r="C1709" s="8"/>
      <c r="D1709" s="3">
        <f t="shared" si="168"/>
        <v>423.36600013094699</v>
      </c>
      <c r="F1709" s="3">
        <f t="shared" si="169"/>
        <v>-329.70585013383152</v>
      </c>
      <c r="G1709" s="3">
        <f t="shared" si="170"/>
        <v>6.3398500028845319</v>
      </c>
      <c r="H1709" s="3">
        <f t="shared" si="171"/>
        <v>423.36600013094699</v>
      </c>
      <c r="M1709" s="1">
        <f t="shared" si="166"/>
        <v>958</v>
      </c>
      <c r="N1709" s="38">
        <f>+M1709*'Failure Data'!F$3</f>
        <v>24.748333333333335</v>
      </c>
    </row>
    <row r="1710" spans="1:14" x14ac:dyDescent="0.15">
      <c r="A1710" s="1">
        <v>1701</v>
      </c>
      <c r="B1710" s="3">
        <f t="shared" si="167"/>
        <v>429.95675361920348</v>
      </c>
      <c r="C1710" s="8"/>
      <c r="D1710" s="3">
        <f t="shared" si="168"/>
        <v>423.61690361631895</v>
      </c>
      <c r="F1710" s="3">
        <f t="shared" si="169"/>
        <v>-329.95675361920348</v>
      </c>
      <c r="G1710" s="3">
        <f t="shared" si="170"/>
        <v>6.3398500028845319</v>
      </c>
      <c r="H1710" s="3">
        <f t="shared" si="171"/>
        <v>423.61690361631895</v>
      </c>
      <c r="M1710" s="1">
        <f t="shared" si="166"/>
        <v>959</v>
      </c>
      <c r="N1710" s="38">
        <f>+M1710*'Failure Data'!F$3</f>
        <v>24.774166666666666</v>
      </c>
    </row>
    <row r="1711" spans="1:14" x14ac:dyDescent="0.15">
      <c r="A1711" s="1">
        <v>1702</v>
      </c>
      <c r="B1711" s="3">
        <f t="shared" si="167"/>
        <v>430.2076571045755</v>
      </c>
      <c r="C1711" s="8"/>
      <c r="D1711" s="3">
        <f t="shared" si="168"/>
        <v>423.86780710169097</v>
      </c>
      <c r="F1711" s="3">
        <f t="shared" si="169"/>
        <v>-330.2076571045755</v>
      </c>
      <c r="G1711" s="3">
        <f t="shared" si="170"/>
        <v>6.3398500028845319</v>
      </c>
      <c r="H1711" s="3">
        <f t="shared" si="171"/>
        <v>423.86780710169097</v>
      </c>
      <c r="M1711" s="1">
        <f t="shared" si="166"/>
        <v>960</v>
      </c>
      <c r="N1711" s="38">
        <f>+M1711*'Failure Data'!F$3</f>
        <v>24.8</v>
      </c>
    </row>
    <row r="1712" spans="1:14" x14ac:dyDescent="0.15">
      <c r="A1712" s="1">
        <v>1703</v>
      </c>
      <c r="B1712" s="3">
        <f t="shared" si="167"/>
        <v>430.45856058994747</v>
      </c>
      <c r="C1712" s="8"/>
      <c r="D1712" s="3">
        <f t="shared" si="168"/>
        <v>424.11871058706294</v>
      </c>
      <c r="F1712" s="3">
        <f t="shared" si="169"/>
        <v>-330.45856058994747</v>
      </c>
      <c r="G1712" s="3">
        <f t="shared" si="170"/>
        <v>6.3398500028845319</v>
      </c>
      <c r="H1712" s="3">
        <f t="shared" si="171"/>
        <v>424.11871058706294</v>
      </c>
      <c r="M1712" s="1">
        <f t="shared" si="166"/>
        <v>961</v>
      </c>
      <c r="N1712" s="38">
        <f>+M1712*'Failure Data'!F$3</f>
        <v>24.825833333333332</v>
      </c>
    </row>
    <row r="1713" spans="1:14" x14ac:dyDescent="0.15">
      <c r="A1713" s="1">
        <v>1704</v>
      </c>
      <c r="B1713" s="3">
        <f t="shared" si="167"/>
        <v>430.70946407531949</v>
      </c>
      <c r="C1713" s="8"/>
      <c r="D1713" s="3">
        <f t="shared" si="168"/>
        <v>424.36961407243496</v>
      </c>
      <c r="F1713" s="3">
        <f t="shared" si="169"/>
        <v>-330.70946407531949</v>
      </c>
      <c r="G1713" s="3">
        <f t="shared" si="170"/>
        <v>6.3398500028845319</v>
      </c>
      <c r="H1713" s="3">
        <f t="shared" si="171"/>
        <v>424.36961407243496</v>
      </c>
      <c r="M1713" s="1">
        <f t="shared" si="166"/>
        <v>962</v>
      </c>
      <c r="N1713" s="38">
        <f>+M1713*'Failure Data'!F$3</f>
        <v>24.851666666666667</v>
      </c>
    </row>
    <row r="1714" spans="1:14" x14ac:dyDescent="0.15">
      <c r="A1714" s="1">
        <v>1705</v>
      </c>
      <c r="B1714" s="3">
        <f t="shared" si="167"/>
        <v>430.96036756069145</v>
      </c>
      <c r="C1714" s="8"/>
      <c r="D1714" s="3">
        <f t="shared" si="168"/>
        <v>424.62051755780692</v>
      </c>
      <c r="F1714" s="3">
        <f t="shared" si="169"/>
        <v>-330.96036756069145</v>
      </c>
      <c r="G1714" s="3">
        <f t="shared" si="170"/>
        <v>6.3398500028845319</v>
      </c>
      <c r="H1714" s="3">
        <f t="shared" si="171"/>
        <v>424.62051755780692</v>
      </c>
      <c r="M1714" s="1">
        <f t="shared" si="166"/>
        <v>963</v>
      </c>
      <c r="N1714" s="38">
        <f>+M1714*'Failure Data'!F$3</f>
        <v>24.877500000000001</v>
      </c>
    </row>
    <row r="1715" spans="1:14" x14ac:dyDescent="0.15">
      <c r="A1715" s="1">
        <v>1706</v>
      </c>
      <c r="B1715" s="3">
        <f t="shared" si="167"/>
        <v>431.21127104606347</v>
      </c>
      <c r="C1715" s="8"/>
      <c r="D1715" s="3">
        <f t="shared" si="168"/>
        <v>424.87142104317894</v>
      </c>
      <c r="F1715" s="3">
        <f t="shared" si="169"/>
        <v>-331.21127104606347</v>
      </c>
      <c r="G1715" s="3">
        <f t="shared" si="170"/>
        <v>6.3398500028845319</v>
      </c>
      <c r="H1715" s="3">
        <f t="shared" si="171"/>
        <v>424.87142104317894</v>
      </c>
      <c r="M1715" s="1">
        <f t="shared" si="166"/>
        <v>964</v>
      </c>
      <c r="N1715" s="38">
        <f>+M1715*'Failure Data'!F$3</f>
        <v>24.903333333333332</v>
      </c>
    </row>
    <row r="1716" spans="1:14" x14ac:dyDescent="0.15">
      <c r="A1716" s="1">
        <v>1707</v>
      </c>
      <c r="B1716" s="3">
        <f t="shared" si="167"/>
        <v>431.46217453143549</v>
      </c>
      <c r="C1716" s="8"/>
      <c r="D1716" s="3">
        <f t="shared" si="168"/>
        <v>425.12232452855091</v>
      </c>
      <c r="F1716" s="3">
        <f t="shared" si="169"/>
        <v>-331.46217453143549</v>
      </c>
      <c r="G1716" s="3">
        <f t="shared" si="170"/>
        <v>6.3398500028845888</v>
      </c>
      <c r="H1716" s="3">
        <f t="shared" si="171"/>
        <v>425.12232452855091</v>
      </c>
      <c r="M1716" s="1">
        <f t="shared" si="166"/>
        <v>965</v>
      </c>
      <c r="N1716" s="38">
        <f>+M1716*'Failure Data'!F$3</f>
        <v>24.929166666666667</v>
      </c>
    </row>
    <row r="1717" spans="1:14" x14ac:dyDescent="0.15">
      <c r="A1717" s="1">
        <v>1708</v>
      </c>
      <c r="B1717" s="3">
        <f t="shared" si="167"/>
        <v>431.71307801680746</v>
      </c>
      <c r="C1717" s="8"/>
      <c r="D1717" s="3">
        <f t="shared" si="168"/>
        <v>425.37322801392293</v>
      </c>
      <c r="F1717" s="3">
        <f t="shared" si="169"/>
        <v>-331.71307801680746</v>
      </c>
      <c r="G1717" s="3">
        <f t="shared" si="170"/>
        <v>6.3398500028845319</v>
      </c>
      <c r="H1717" s="3">
        <f t="shared" si="171"/>
        <v>425.37322801392293</v>
      </c>
      <c r="M1717" s="1">
        <f t="shared" si="166"/>
        <v>966</v>
      </c>
      <c r="N1717" s="38">
        <f>+M1717*'Failure Data'!F$3</f>
        <v>24.954999999999998</v>
      </c>
    </row>
    <row r="1718" spans="1:14" x14ac:dyDescent="0.15">
      <c r="A1718" s="1">
        <v>1709</v>
      </c>
      <c r="B1718" s="3">
        <f t="shared" si="167"/>
        <v>431.96398150217948</v>
      </c>
      <c r="C1718" s="8"/>
      <c r="D1718" s="3">
        <f t="shared" si="168"/>
        <v>425.62413149929489</v>
      </c>
      <c r="F1718" s="3">
        <f t="shared" si="169"/>
        <v>-331.96398150217948</v>
      </c>
      <c r="G1718" s="3">
        <f t="shared" si="170"/>
        <v>6.3398500028845888</v>
      </c>
      <c r="H1718" s="3">
        <f t="shared" si="171"/>
        <v>425.62413149929489</v>
      </c>
      <c r="M1718" s="1">
        <f t="shared" si="166"/>
        <v>967</v>
      </c>
      <c r="N1718" s="38">
        <f>+M1718*'Failure Data'!F$3</f>
        <v>24.980833333333333</v>
      </c>
    </row>
    <row r="1719" spans="1:14" x14ac:dyDescent="0.15">
      <c r="A1719" s="1">
        <v>1710</v>
      </c>
      <c r="B1719" s="3">
        <f t="shared" si="167"/>
        <v>432.21488498755144</v>
      </c>
      <c r="C1719" s="8"/>
      <c r="D1719" s="3">
        <f t="shared" si="168"/>
        <v>425.87503498466691</v>
      </c>
      <c r="F1719" s="3">
        <f t="shared" si="169"/>
        <v>-332.21488498755144</v>
      </c>
      <c r="G1719" s="3">
        <f t="shared" si="170"/>
        <v>6.3398500028845319</v>
      </c>
      <c r="H1719" s="3">
        <f t="shared" si="171"/>
        <v>425.87503498466691</v>
      </c>
      <c r="M1719" s="1">
        <f t="shared" si="166"/>
        <v>968</v>
      </c>
      <c r="N1719" s="38">
        <f>+M1719*'Failure Data'!F$3</f>
        <v>25.006666666666668</v>
      </c>
    </row>
    <row r="1720" spans="1:14" x14ac:dyDescent="0.15">
      <c r="A1720" s="1">
        <v>1711</v>
      </c>
      <c r="B1720" s="3">
        <f t="shared" si="167"/>
        <v>432.46578847292346</v>
      </c>
      <c r="C1720" s="8"/>
      <c r="D1720" s="3">
        <f t="shared" si="168"/>
        <v>426.12593847003888</v>
      </c>
      <c r="F1720" s="3">
        <f t="shared" si="169"/>
        <v>-332.46578847292346</v>
      </c>
      <c r="G1720" s="3">
        <f t="shared" si="170"/>
        <v>6.3398500028845888</v>
      </c>
      <c r="H1720" s="3">
        <f t="shared" si="171"/>
        <v>426.12593847003888</v>
      </c>
      <c r="M1720" s="1">
        <f t="shared" si="166"/>
        <v>969</v>
      </c>
      <c r="N1720" s="38">
        <f>+M1720*'Failure Data'!F$3</f>
        <v>25.032499999999999</v>
      </c>
    </row>
    <row r="1721" spans="1:14" x14ac:dyDescent="0.15">
      <c r="A1721" s="1">
        <v>1712</v>
      </c>
      <c r="B1721" s="3">
        <f t="shared" si="167"/>
        <v>432.71669195829543</v>
      </c>
      <c r="C1721" s="8"/>
      <c r="D1721" s="3">
        <f t="shared" si="168"/>
        <v>426.3768419554109</v>
      </c>
      <c r="F1721" s="3">
        <f t="shared" si="169"/>
        <v>-332.71669195829543</v>
      </c>
      <c r="G1721" s="3">
        <f t="shared" si="170"/>
        <v>6.3398500028845319</v>
      </c>
      <c r="H1721" s="3">
        <f t="shared" si="171"/>
        <v>426.3768419554109</v>
      </c>
      <c r="M1721" s="1">
        <f t="shared" si="166"/>
        <v>970</v>
      </c>
      <c r="N1721" s="38">
        <f>+M1721*'Failure Data'!F$3</f>
        <v>25.058333333333334</v>
      </c>
    </row>
    <row r="1722" spans="1:14" x14ac:dyDescent="0.15">
      <c r="A1722" s="1">
        <v>1713</v>
      </c>
      <c r="B1722" s="3">
        <f t="shared" si="167"/>
        <v>432.96759544366745</v>
      </c>
      <c r="C1722" s="8"/>
      <c r="D1722" s="3">
        <f t="shared" si="168"/>
        <v>426.62774544078286</v>
      </c>
      <c r="F1722" s="3">
        <f t="shared" si="169"/>
        <v>-332.96759544366745</v>
      </c>
      <c r="G1722" s="3">
        <f t="shared" si="170"/>
        <v>6.3398500028845888</v>
      </c>
      <c r="H1722" s="3">
        <f t="shared" si="171"/>
        <v>426.62774544078286</v>
      </c>
      <c r="M1722" s="1">
        <f t="shared" si="166"/>
        <v>971</v>
      </c>
      <c r="N1722" s="38">
        <f>+M1722*'Failure Data'!F$3</f>
        <v>25.084166666666665</v>
      </c>
    </row>
    <row r="1723" spans="1:14" x14ac:dyDescent="0.15">
      <c r="A1723" s="1">
        <v>1714</v>
      </c>
      <c r="B1723" s="3">
        <f t="shared" si="167"/>
        <v>433.21849892903941</v>
      </c>
      <c r="C1723" s="8"/>
      <c r="D1723" s="3">
        <f t="shared" si="168"/>
        <v>426.87864892615488</v>
      </c>
      <c r="F1723" s="3">
        <f t="shared" si="169"/>
        <v>-333.21849892903941</v>
      </c>
      <c r="G1723" s="3">
        <f t="shared" si="170"/>
        <v>6.3398500028845319</v>
      </c>
      <c r="H1723" s="3">
        <f t="shared" si="171"/>
        <v>426.87864892615488</v>
      </c>
      <c r="M1723" s="1">
        <f t="shared" si="166"/>
        <v>972</v>
      </c>
      <c r="N1723" s="38">
        <f>+M1723*'Failure Data'!F$3</f>
        <v>25.11</v>
      </c>
    </row>
    <row r="1724" spans="1:14" x14ac:dyDescent="0.15">
      <c r="A1724" s="1">
        <v>1715</v>
      </c>
      <c r="B1724" s="3">
        <f t="shared" si="167"/>
        <v>433.46940241441143</v>
      </c>
      <c r="C1724" s="8"/>
      <c r="D1724" s="3">
        <f t="shared" si="168"/>
        <v>427.12955241152684</v>
      </c>
      <c r="F1724" s="3">
        <f t="shared" si="169"/>
        <v>-333.46940241441143</v>
      </c>
      <c r="G1724" s="3">
        <f t="shared" si="170"/>
        <v>6.3398500028845888</v>
      </c>
      <c r="H1724" s="3">
        <f t="shared" si="171"/>
        <v>427.12955241152684</v>
      </c>
      <c r="M1724" s="1">
        <f t="shared" si="166"/>
        <v>973</v>
      </c>
      <c r="N1724" s="38">
        <f>+M1724*'Failure Data'!F$3</f>
        <v>25.135833333333334</v>
      </c>
    </row>
    <row r="1725" spans="1:14" x14ac:dyDescent="0.15">
      <c r="A1725" s="1">
        <v>1716</v>
      </c>
      <c r="B1725" s="3">
        <f t="shared" si="167"/>
        <v>433.7203058997834</v>
      </c>
      <c r="C1725" s="8"/>
      <c r="D1725" s="3">
        <f t="shared" si="168"/>
        <v>427.38045589689887</v>
      </c>
      <c r="F1725" s="3">
        <f t="shared" si="169"/>
        <v>-333.7203058997834</v>
      </c>
      <c r="G1725" s="3">
        <f t="shared" si="170"/>
        <v>6.3398500028845319</v>
      </c>
      <c r="H1725" s="3">
        <f t="shared" si="171"/>
        <v>427.38045589689887</v>
      </c>
      <c r="M1725" s="1">
        <f t="shared" si="166"/>
        <v>974</v>
      </c>
      <c r="N1725" s="38">
        <f>+M1725*'Failure Data'!F$3</f>
        <v>25.161666666666665</v>
      </c>
    </row>
    <row r="1726" spans="1:14" x14ac:dyDescent="0.15">
      <c r="A1726" s="1">
        <v>1717</v>
      </c>
      <c r="B1726" s="3">
        <f t="shared" si="167"/>
        <v>433.97120938515542</v>
      </c>
      <c r="C1726" s="8"/>
      <c r="D1726" s="3">
        <f t="shared" si="168"/>
        <v>427.63135938227083</v>
      </c>
      <c r="F1726" s="3">
        <f t="shared" si="169"/>
        <v>-333.97120938515542</v>
      </c>
      <c r="G1726" s="3">
        <f t="shared" si="170"/>
        <v>6.3398500028845888</v>
      </c>
      <c r="H1726" s="3">
        <f t="shared" si="171"/>
        <v>427.63135938227083</v>
      </c>
      <c r="M1726" s="1">
        <f t="shared" si="166"/>
        <v>975</v>
      </c>
      <c r="N1726" s="38">
        <f>+M1726*'Failure Data'!F$3</f>
        <v>25.1875</v>
      </c>
    </row>
    <row r="1727" spans="1:14" x14ac:dyDescent="0.15">
      <c r="A1727" s="1">
        <v>1718</v>
      </c>
      <c r="B1727" s="3">
        <f t="shared" si="167"/>
        <v>434.22211287052738</v>
      </c>
      <c r="C1727" s="8"/>
      <c r="D1727" s="3">
        <f t="shared" si="168"/>
        <v>427.88226286764285</v>
      </c>
      <c r="F1727" s="3">
        <f t="shared" si="169"/>
        <v>-334.22211287052738</v>
      </c>
      <c r="G1727" s="3">
        <f t="shared" si="170"/>
        <v>6.3398500028845319</v>
      </c>
      <c r="H1727" s="3">
        <f t="shared" si="171"/>
        <v>427.88226286764285</v>
      </c>
      <c r="M1727" s="1">
        <f t="shared" si="166"/>
        <v>976</v>
      </c>
      <c r="N1727" s="38">
        <f>+M1727*'Failure Data'!F$3</f>
        <v>25.213333333333335</v>
      </c>
    </row>
    <row r="1728" spans="1:14" x14ac:dyDescent="0.15">
      <c r="A1728" s="1">
        <v>1719</v>
      </c>
      <c r="B1728" s="3">
        <f t="shared" si="167"/>
        <v>434.4730163558994</v>
      </c>
      <c r="C1728" s="8"/>
      <c r="D1728" s="3">
        <f t="shared" si="168"/>
        <v>428.13316635301481</v>
      </c>
      <c r="F1728" s="3">
        <f t="shared" si="169"/>
        <v>-334.4730163558994</v>
      </c>
      <c r="G1728" s="3">
        <f t="shared" si="170"/>
        <v>6.3398500028845888</v>
      </c>
      <c r="H1728" s="3">
        <f t="shared" si="171"/>
        <v>428.13316635301481</v>
      </c>
      <c r="M1728" s="1">
        <f t="shared" si="166"/>
        <v>977</v>
      </c>
      <c r="N1728" s="38">
        <f>+M1728*'Failure Data'!F$3</f>
        <v>25.239166666666666</v>
      </c>
    </row>
    <row r="1729" spans="1:14" x14ac:dyDescent="0.15">
      <c r="A1729" s="1">
        <v>1720</v>
      </c>
      <c r="B1729" s="3">
        <f t="shared" si="167"/>
        <v>434.72391984127137</v>
      </c>
      <c r="C1729" s="8"/>
      <c r="D1729" s="3">
        <f t="shared" si="168"/>
        <v>428.38406983838684</v>
      </c>
      <c r="F1729" s="3">
        <f t="shared" si="169"/>
        <v>-334.72391984127137</v>
      </c>
      <c r="G1729" s="3">
        <f t="shared" si="170"/>
        <v>6.3398500028845319</v>
      </c>
      <c r="H1729" s="3">
        <f t="shared" si="171"/>
        <v>428.38406983838684</v>
      </c>
      <c r="M1729" s="1">
        <f t="shared" ref="M1729:M1792" si="172">M1728+1</f>
        <v>978</v>
      </c>
      <c r="N1729" s="38">
        <f>+M1729*'Failure Data'!F$3</f>
        <v>25.265000000000001</v>
      </c>
    </row>
    <row r="1730" spans="1:14" x14ac:dyDescent="0.15">
      <c r="A1730" s="1">
        <v>1721</v>
      </c>
      <c r="B1730" s="3">
        <f t="shared" si="167"/>
        <v>434.97482332664339</v>
      </c>
      <c r="C1730" s="8"/>
      <c r="D1730" s="3">
        <f t="shared" si="168"/>
        <v>428.6349733237588</v>
      </c>
      <c r="F1730" s="3">
        <f t="shared" si="169"/>
        <v>-334.97482332664339</v>
      </c>
      <c r="G1730" s="3">
        <f t="shared" si="170"/>
        <v>6.3398500028845888</v>
      </c>
      <c r="H1730" s="3">
        <f t="shared" si="171"/>
        <v>428.6349733237588</v>
      </c>
      <c r="M1730" s="1">
        <f t="shared" si="172"/>
        <v>979</v>
      </c>
      <c r="N1730" s="38">
        <f>+M1730*'Failure Data'!F$3</f>
        <v>25.290833333333332</v>
      </c>
    </row>
    <row r="1731" spans="1:14" x14ac:dyDescent="0.15">
      <c r="A1731" s="1">
        <v>1722</v>
      </c>
      <c r="B1731" s="3">
        <f t="shared" si="167"/>
        <v>435.22572681201535</v>
      </c>
      <c r="C1731" s="8"/>
      <c r="D1731" s="3">
        <f t="shared" si="168"/>
        <v>428.88587680913082</v>
      </c>
      <c r="F1731" s="3">
        <f t="shared" si="169"/>
        <v>-335.22572681201535</v>
      </c>
      <c r="G1731" s="3">
        <f t="shared" si="170"/>
        <v>6.3398500028845319</v>
      </c>
      <c r="H1731" s="3">
        <f t="shared" si="171"/>
        <v>428.88587680913082</v>
      </c>
      <c r="M1731" s="1">
        <f t="shared" si="172"/>
        <v>980</v>
      </c>
      <c r="N1731" s="38">
        <f>+M1731*'Failure Data'!F$3</f>
        <v>25.316666666666666</v>
      </c>
    </row>
    <row r="1732" spans="1:14" x14ac:dyDescent="0.15">
      <c r="A1732" s="1">
        <v>1723</v>
      </c>
      <c r="B1732" s="3">
        <f t="shared" si="167"/>
        <v>435.47663029738737</v>
      </c>
      <c r="C1732" s="8"/>
      <c r="D1732" s="3">
        <f t="shared" si="168"/>
        <v>429.13678029450284</v>
      </c>
      <c r="F1732" s="3">
        <f t="shared" si="169"/>
        <v>-335.47663029738737</v>
      </c>
      <c r="G1732" s="3">
        <f t="shared" si="170"/>
        <v>6.3398500028845319</v>
      </c>
      <c r="H1732" s="3">
        <f t="shared" si="171"/>
        <v>429.13678029450284</v>
      </c>
      <c r="M1732" s="1">
        <f t="shared" si="172"/>
        <v>981</v>
      </c>
      <c r="N1732" s="38">
        <f>+M1732*'Failure Data'!F$3</f>
        <v>25.342500000000001</v>
      </c>
    </row>
    <row r="1733" spans="1:14" x14ac:dyDescent="0.15">
      <c r="A1733" s="1">
        <v>1724</v>
      </c>
      <c r="B1733" s="3">
        <f t="shared" si="167"/>
        <v>435.72753378275934</v>
      </c>
      <c r="C1733" s="8"/>
      <c r="D1733" s="3">
        <f t="shared" si="168"/>
        <v>429.38768377987481</v>
      </c>
      <c r="F1733" s="3">
        <f t="shared" si="169"/>
        <v>-335.72753378275934</v>
      </c>
      <c r="G1733" s="3">
        <f t="shared" si="170"/>
        <v>6.3398500028845319</v>
      </c>
      <c r="H1733" s="3">
        <f t="shared" si="171"/>
        <v>429.38768377987481</v>
      </c>
      <c r="M1733" s="1">
        <f t="shared" si="172"/>
        <v>982</v>
      </c>
      <c r="N1733" s="38">
        <f>+M1733*'Failure Data'!F$3</f>
        <v>25.368333333333332</v>
      </c>
    </row>
    <row r="1734" spans="1:14" x14ac:dyDescent="0.15">
      <c r="A1734" s="1">
        <v>1725</v>
      </c>
      <c r="B1734" s="3">
        <f t="shared" si="167"/>
        <v>435.97843726813136</v>
      </c>
      <c r="C1734" s="8"/>
      <c r="D1734" s="3">
        <f t="shared" si="168"/>
        <v>429.63858726524683</v>
      </c>
      <c r="F1734" s="3">
        <f t="shared" si="169"/>
        <v>-335.97843726813136</v>
      </c>
      <c r="G1734" s="3">
        <f t="shared" si="170"/>
        <v>6.3398500028845319</v>
      </c>
      <c r="H1734" s="3">
        <f t="shared" si="171"/>
        <v>429.63858726524683</v>
      </c>
      <c r="M1734" s="1">
        <f t="shared" si="172"/>
        <v>983</v>
      </c>
      <c r="N1734" s="38">
        <f>+M1734*'Failure Data'!F$3</f>
        <v>25.394166666666667</v>
      </c>
    </row>
    <row r="1735" spans="1:14" x14ac:dyDescent="0.15">
      <c r="A1735" s="1">
        <v>1726</v>
      </c>
      <c r="B1735" s="3">
        <f t="shared" si="167"/>
        <v>436.22934075350332</v>
      </c>
      <c r="C1735" s="8"/>
      <c r="D1735" s="3">
        <f t="shared" si="168"/>
        <v>429.88949075061879</v>
      </c>
      <c r="F1735" s="3">
        <f t="shared" si="169"/>
        <v>-336.22934075350332</v>
      </c>
      <c r="G1735" s="3">
        <f t="shared" si="170"/>
        <v>6.3398500028845319</v>
      </c>
      <c r="H1735" s="3">
        <f t="shared" si="171"/>
        <v>429.88949075061879</v>
      </c>
      <c r="M1735" s="1">
        <f t="shared" si="172"/>
        <v>984</v>
      </c>
      <c r="N1735" s="38">
        <f>+M1735*'Failure Data'!F$3</f>
        <v>25.419999999999998</v>
      </c>
    </row>
    <row r="1736" spans="1:14" x14ac:dyDescent="0.15">
      <c r="A1736" s="1">
        <v>1727</v>
      </c>
      <c r="B1736" s="3">
        <f t="shared" si="167"/>
        <v>436.48024423887534</v>
      </c>
      <c r="C1736" s="8"/>
      <c r="D1736" s="3">
        <f t="shared" si="168"/>
        <v>430.14039423599081</v>
      </c>
      <c r="F1736" s="3">
        <f t="shared" si="169"/>
        <v>-336.48024423887534</v>
      </c>
      <c r="G1736" s="3">
        <f t="shared" si="170"/>
        <v>6.3398500028845319</v>
      </c>
      <c r="H1736" s="3">
        <f t="shared" si="171"/>
        <v>430.14039423599081</v>
      </c>
      <c r="M1736" s="1">
        <f t="shared" si="172"/>
        <v>985</v>
      </c>
      <c r="N1736" s="38">
        <f>+M1736*'Failure Data'!F$3</f>
        <v>25.445833333333333</v>
      </c>
    </row>
    <row r="1737" spans="1:14" x14ac:dyDescent="0.15">
      <c r="A1737" s="1">
        <v>1728</v>
      </c>
      <c r="B1737" s="3">
        <f t="shared" si="167"/>
        <v>436.73114772424731</v>
      </c>
      <c r="C1737" s="8"/>
      <c r="D1737" s="3">
        <f t="shared" si="168"/>
        <v>430.39129772136278</v>
      </c>
      <c r="F1737" s="3">
        <f t="shared" si="169"/>
        <v>-336.73114772424731</v>
      </c>
      <c r="G1737" s="3">
        <f t="shared" si="170"/>
        <v>6.3398500028845319</v>
      </c>
      <c r="H1737" s="3">
        <f t="shared" si="171"/>
        <v>430.39129772136278</v>
      </c>
      <c r="M1737" s="1">
        <f t="shared" si="172"/>
        <v>986</v>
      </c>
      <c r="N1737" s="38">
        <f>+M1737*'Failure Data'!F$3</f>
        <v>25.471666666666668</v>
      </c>
    </row>
    <row r="1738" spans="1:14" x14ac:dyDescent="0.15">
      <c r="A1738" s="1">
        <v>1729</v>
      </c>
      <c r="B1738" s="3">
        <f t="shared" si="167"/>
        <v>436.98205120961933</v>
      </c>
      <c r="C1738" s="8"/>
      <c r="D1738" s="3">
        <f t="shared" si="168"/>
        <v>430.6422012067348</v>
      </c>
      <c r="F1738" s="3">
        <f t="shared" si="169"/>
        <v>-336.98205120961933</v>
      </c>
      <c r="G1738" s="3">
        <f t="shared" si="170"/>
        <v>6.3398500028845319</v>
      </c>
      <c r="H1738" s="3">
        <f t="shared" si="171"/>
        <v>430.6422012067348</v>
      </c>
      <c r="M1738" s="1">
        <f t="shared" si="172"/>
        <v>987</v>
      </c>
      <c r="N1738" s="38">
        <f>+M1738*'Failure Data'!F$3</f>
        <v>25.497499999999999</v>
      </c>
    </row>
    <row r="1739" spans="1:14" x14ac:dyDescent="0.15">
      <c r="A1739" s="1">
        <v>1730</v>
      </c>
      <c r="B1739" s="3">
        <f t="shared" si="167"/>
        <v>437.23295469499129</v>
      </c>
      <c r="C1739" s="8"/>
      <c r="D1739" s="3">
        <f t="shared" si="168"/>
        <v>430.89310469210676</v>
      </c>
      <c r="F1739" s="3">
        <f t="shared" si="169"/>
        <v>-337.23295469499129</v>
      </c>
      <c r="G1739" s="3">
        <f t="shared" si="170"/>
        <v>6.3398500028845319</v>
      </c>
      <c r="H1739" s="3">
        <f t="shared" si="171"/>
        <v>430.89310469210676</v>
      </c>
      <c r="M1739" s="1">
        <f t="shared" si="172"/>
        <v>988</v>
      </c>
      <c r="N1739" s="38">
        <f>+M1739*'Failure Data'!F$3</f>
        <v>25.523333333333333</v>
      </c>
    </row>
    <row r="1740" spans="1:14" x14ac:dyDescent="0.15">
      <c r="A1740" s="1">
        <v>1731</v>
      </c>
      <c r="B1740" s="3">
        <f t="shared" si="167"/>
        <v>437.48385818036331</v>
      </c>
      <c r="C1740" s="8"/>
      <c r="D1740" s="3">
        <f t="shared" si="168"/>
        <v>431.14400817747878</v>
      </c>
      <c r="F1740" s="3">
        <f t="shared" si="169"/>
        <v>-337.48385818036331</v>
      </c>
      <c r="G1740" s="3">
        <f t="shared" si="170"/>
        <v>6.3398500028845319</v>
      </c>
      <c r="H1740" s="3">
        <f t="shared" si="171"/>
        <v>431.14400817747878</v>
      </c>
      <c r="M1740" s="1">
        <f t="shared" si="172"/>
        <v>989</v>
      </c>
      <c r="N1740" s="38">
        <f>+M1740*'Failure Data'!F$3</f>
        <v>25.549166666666668</v>
      </c>
    </row>
    <row r="1741" spans="1:14" x14ac:dyDescent="0.15">
      <c r="A1741" s="1">
        <v>1732</v>
      </c>
      <c r="B1741" s="3">
        <f t="shared" si="167"/>
        <v>437.73476166573533</v>
      </c>
      <c r="C1741" s="8"/>
      <c r="D1741" s="3">
        <f t="shared" si="168"/>
        <v>431.39491166285075</v>
      </c>
      <c r="F1741" s="3">
        <f t="shared" si="169"/>
        <v>-337.73476166573533</v>
      </c>
      <c r="G1741" s="3">
        <f t="shared" si="170"/>
        <v>6.3398500028845888</v>
      </c>
      <c r="H1741" s="3">
        <f t="shared" si="171"/>
        <v>431.39491166285075</v>
      </c>
      <c r="M1741" s="1">
        <f t="shared" si="172"/>
        <v>990</v>
      </c>
      <c r="N1741" s="38">
        <f>+M1741*'Failure Data'!F$3</f>
        <v>25.574999999999999</v>
      </c>
    </row>
    <row r="1742" spans="1:14" x14ac:dyDescent="0.15">
      <c r="A1742" s="1">
        <v>1733</v>
      </c>
      <c r="B1742" s="3">
        <f t="shared" si="167"/>
        <v>437.9856651511073</v>
      </c>
      <c r="C1742" s="8"/>
      <c r="D1742" s="3">
        <f t="shared" si="168"/>
        <v>431.64581514822277</v>
      </c>
      <c r="F1742" s="3">
        <f t="shared" si="169"/>
        <v>-337.9856651511073</v>
      </c>
      <c r="G1742" s="3">
        <f t="shared" si="170"/>
        <v>6.3398500028845319</v>
      </c>
      <c r="H1742" s="3">
        <f t="shared" si="171"/>
        <v>431.64581514822277</v>
      </c>
      <c r="M1742" s="1">
        <f t="shared" si="172"/>
        <v>991</v>
      </c>
      <c r="N1742" s="38">
        <f>+M1742*'Failure Data'!F$3</f>
        <v>25.600833333333334</v>
      </c>
    </row>
    <row r="1743" spans="1:14" x14ac:dyDescent="0.15">
      <c r="A1743" s="1">
        <v>1734</v>
      </c>
      <c r="B1743" s="3">
        <f t="shared" si="167"/>
        <v>438.23656863647932</v>
      </c>
      <c r="C1743" s="8"/>
      <c r="D1743" s="3">
        <f t="shared" si="168"/>
        <v>431.89671863359473</v>
      </c>
      <c r="F1743" s="3">
        <f t="shared" si="169"/>
        <v>-338.23656863647932</v>
      </c>
      <c r="G1743" s="3">
        <f t="shared" si="170"/>
        <v>6.3398500028845888</v>
      </c>
      <c r="H1743" s="3">
        <f t="shared" si="171"/>
        <v>431.89671863359473</v>
      </c>
      <c r="M1743" s="1">
        <f t="shared" si="172"/>
        <v>992</v>
      </c>
      <c r="N1743" s="38">
        <f>+M1743*'Failure Data'!F$3</f>
        <v>25.626666666666665</v>
      </c>
    </row>
    <row r="1744" spans="1:14" x14ac:dyDescent="0.15">
      <c r="A1744" s="1">
        <v>1735</v>
      </c>
      <c r="B1744" s="3">
        <f t="shared" si="167"/>
        <v>438.48747212185128</v>
      </c>
      <c r="C1744" s="8"/>
      <c r="D1744" s="3">
        <f t="shared" si="168"/>
        <v>432.14762211896675</v>
      </c>
      <c r="F1744" s="3">
        <f t="shared" si="169"/>
        <v>-338.48747212185128</v>
      </c>
      <c r="G1744" s="3">
        <f t="shared" si="170"/>
        <v>6.3398500028845319</v>
      </c>
      <c r="H1744" s="3">
        <f t="shared" si="171"/>
        <v>432.14762211896675</v>
      </c>
      <c r="M1744" s="1">
        <f t="shared" si="172"/>
        <v>993</v>
      </c>
      <c r="N1744" s="38">
        <f>+M1744*'Failure Data'!F$3</f>
        <v>25.6525</v>
      </c>
    </row>
    <row r="1745" spans="1:14" x14ac:dyDescent="0.15">
      <c r="A1745" s="1">
        <v>1736</v>
      </c>
      <c r="B1745" s="3">
        <f t="shared" si="167"/>
        <v>438.7383756072233</v>
      </c>
      <c r="C1745" s="8"/>
      <c r="D1745" s="3">
        <f t="shared" si="168"/>
        <v>432.39852560433872</v>
      </c>
      <c r="F1745" s="3">
        <f t="shared" si="169"/>
        <v>-338.7383756072233</v>
      </c>
      <c r="G1745" s="3">
        <f t="shared" si="170"/>
        <v>6.3398500028845888</v>
      </c>
      <c r="H1745" s="3">
        <f t="shared" si="171"/>
        <v>432.39852560433872</v>
      </c>
      <c r="M1745" s="1">
        <f t="shared" si="172"/>
        <v>994</v>
      </c>
      <c r="N1745" s="38">
        <f>+M1745*'Failure Data'!F$3</f>
        <v>25.678333333333335</v>
      </c>
    </row>
    <row r="1746" spans="1:14" x14ac:dyDescent="0.15">
      <c r="A1746" s="1">
        <v>1737</v>
      </c>
      <c r="B1746" s="3">
        <f t="shared" si="167"/>
        <v>438.98927909259527</v>
      </c>
      <c r="C1746" s="8"/>
      <c r="D1746" s="3">
        <f t="shared" si="168"/>
        <v>432.64942908971074</v>
      </c>
      <c r="F1746" s="3">
        <f t="shared" si="169"/>
        <v>-338.98927909259527</v>
      </c>
      <c r="G1746" s="3">
        <f t="shared" si="170"/>
        <v>6.3398500028845319</v>
      </c>
      <c r="H1746" s="3">
        <f t="shared" si="171"/>
        <v>432.64942908971074</v>
      </c>
      <c r="M1746" s="1">
        <f t="shared" si="172"/>
        <v>995</v>
      </c>
      <c r="N1746" s="38">
        <f>+M1746*'Failure Data'!F$3</f>
        <v>25.704166666666666</v>
      </c>
    </row>
    <row r="1747" spans="1:14" x14ac:dyDescent="0.15">
      <c r="A1747" s="1">
        <v>1738</v>
      </c>
      <c r="B1747" s="3">
        <f t="shared" si="167"/>
        <v>439.24018257796729</v>
      </c>
      <c r="C1747" s="8"/>
      <c r="D1747" s="3">
        <f t="shared" si="168"/>
        <v>432.9003325750827</v>
      </c>
      <c r="F1747" s="3">
        <f t="shared" si="169"/>
        <v>-339.24018257796729</v>
      </c>
      <c r="G1747" s="3">
        <f t="shared" si="170"/>
        <v>6.3398500028845888</v>
      </c>
      <c r="H1747" s="3">
        <f t="shared" si="171"/>
        <v>432.9003325750827</v>
      </c>
      <c r="M1747" s="1">
        <f t="shared" si="172"/>
        <v>996</v>
      </c>
      <c r="N1747" s="38">
        <f>+M1747*'Failure Data'!F$3</f>
        <v>25.73</v>
      </c>
    </row>
    <row r="1748" spans="1:14" x14ac:dyDescent="0.15">
      <c r="A1748" s="1">
        <v>1739</v>
      </c>
      <c r="B1748" s="3">
        <f t="shared" si="167"/>
        <v>439.49108606333925</v>
      </c>
      <c r="C1748" s="8"/>
      <c r="D1748" s="3">
        <f t="shared" si="168"/>
        <v>433.15123606045472</v>
      </c>
      <c r="F1748" s="3">
        <f t="shared" si="169"/>
        <v>-339.49108606333925</v>
      </c>
      <c r="G1748" s="3">
        <f t="shared" si="170"/>
        <v>6.3398500028845319</v>
      </c>
      <c r="H1748" s="3">
        <f t="shared" si="171"/>
        <v>433.15123606045472</v>
      </c>
      <c r="M1748" s="1">
        <f t="shared" si="172"/>
        <v>997</v>
      </c>
      <c r="N1748" s="38">
        <f>+M1748*'Failure Data'!F$3</f>
        <v>25.755833333333332</v>
      </c>
    </row>
    <row r="1749" spans="1:14" x14ac:dyDescent="0.15">
      <c r="A1749" s="1">
        <v>1740</v>
      </c>
      <c r="B1749" s="3">
        <f t="shared" si="167"/>
        <v>439.74198954871127</v>
      </c>
      <c r="C1749" s="8"/>
      <c r="D1749" s="3">
        <f t="shared" si="168"/>
        <v>433.40213954582669</v>
      </c>
      <c r="F1749" s="3">
        <f t="shared" si="169"/>
        <v>-339.74198954871127</v>
      </c>
      <c r="G1749" s="3">
        <f t="shared" si="170"/>
        <v>6.3398500028845888</v>
      </c>
      <c r="H1749" s="3">
        <f t="shared" si="171"/>
        <v>433.40213954582669</v>
      </c>
      <c r="M1749" s="1">
        <f t="shared" si="172"/>
        <v>998</v>
      </c>
      <c r="N1749" s="38">
        <f>+M1749*'Failure Data'!F$3</f>
        <v>25.781666666666666</v>
      </c>
    </row>
    <row r="1750" spans="1:14" x14ac:dyDescent="0.15">
      <c r="A1750" s="1">
        <v>1741</v>
      </c>
      <c r="B1750" s="3">
        <f t="shared" si="167"/>
        <v>439.99289303408324</v>
      </c>
      <c r="C1750" s="8"/>
      <c r="D1750" s="3">
        <f t="shared" si="168"/>
        <v>433.65304303119871</v>
      </c>
      <c r="F1750" s="3">
        <f t="shared" si="169"/>
        <v>-339.99289303408324</v>
      </c>
      <c r="G1750" s="3">
        <f t="shared" si="170"/>
        <v>6.3398500028845319</v>
      </c>
      <c r="H1750" s="3">
        <f t="shared" si="171"/>
        <v>433.65304303119871</v>
      </c>
      <c r="M1750" s="1">
        <f t="shared" si="172"/>
        <v>999</v>
      </c>
      <c r="N1750" s="38">
        <f>+M1750*'Failure Data'!F$3</f>
        <v>25.807500000000001</v>
      </c>
    </row>
    <row r="1751" spans="1:14" x14ac:dyDescent="0.15">
      <c r="A1751" s="1">
        <v>1742</v>
      </c>
      <c r="B1751" s="3">
        <f t="shared" si="167"/>
        <v>440.24379651945526</v>
      </c>
      <c r="C1751" s="8"/>
      <c r="D1751" s="3">
        <f t="shared" si="168"/>
        <v>433.90394651657067</v>
      </c>
      <c r="F1751" s="3">
        <f t="shared" si="169"/>
        <v>-340.24379651945526</v>
      </c>
      <c r="G1751" s="3">
        <f t="shared" si="170"/>
        <v>6.3398500028845888</v>
      </c>
      <c r="H1751" s="3">
        <f t="shared" si="171"/>
        <v>433.90394651657067</v>
      </c>
      <c r="M1751" s="1">
        <f t="shared" si="172"/>
        <v>1000</v>
      </c>
      <c r="N1751" s="38">
        <f>+M1751*'Failure Data'!F$3</f>
        <v>25.833333333333332</v>
      </c>
    </row>
    <row r="1752" spans="1:14" x14ac:dyDescent="0.15">
      <c r="A1752" s="1">
        <v>1743</v>
      </c>
      <c r="B1752" s="3">
        <f t="shared" si="167"/>
        <v>440.49470000482722</v>
      </c>
      <c r="C1752" s="8"/>
      <c r="D1752" s="3">
        <f t="shared" si="168"/>
        <v>434.15485000194269</v>
      </c>
      <c r="F1752" s="3">
        <f t="shared" si="169"/>
        <v>-340.49470000482722</v>
      </c>
      <c r="G1752" s="3">
        <f t="shared" si="170"/>
        <v>6.3398500028845319</v>
      </c>
      <c r="H1752" s="3">
        <f t="shared" si="171"/>
        <v>434.15485000194269</v>
      </c>
      <c r="M1752" s="1">
        <f t="shared" si="172"/>
        <v>1001</v>
      </c>
      <c r="N1752" s="38">
        <f>+M1752*'Failure Data'!F$3</f>
        <v>25.859166666666667</v>
      </c>
    </row>
    <row r="1753" spans="1:14" x14ac:dyDescent="0.15">
      <c r="A1753" s="1">
        <v>1744</v>
      </c>
      <c r="B1753" s="3">
        <f t="shared" si="167"/>
        <v>440.74560349019924</v>
      </c>
      <c r="C1753" s="8"/>
      <c r="D1753" s="3">
        <f t="shared" si="168"/>
        <v>434.40575348731466</v>
      </c>
      <c r="F1753" s="3">
        <f t="shared" si="169"/>
        <v>-340.74560349019924</v>
      </c>
      <c r="G1753" s="3">
        <f t="shared" si="170"/>
        <v>6.3398500028845888</v>
      </c>
      <c r="H1753" s="3">
        <f t="shared" si="171"/>
        <v>434.40575348731466</v>
      </c>
      <c r="M1753" s="1">
        <f t="shared" si="172"/>
        <v>1002</v>
      </c>
      <c r="N1753" s="38">
        <f>+M1753*'Failure Data'!F$3</f>
        <v>25.885000000000002</v>
      </c>
    </row>
    <row r="1754" spans="1:14" x14ac:dyDescent="0.15">
      <c r="A1754" s="1">
        <v>1745</v>
      </c>
      <c r="B1754" s="3">
        <f t="shared" si="167"/>
        <v>440.99650697557121</v>
      </c>
      <c r="C1754" s="8"/>
      <c r="D1754" s="3">
        <f t="shared" si="168"/>
        <v>434.65665697268668</v>
      </c>
      <c r="F1754" s="3">
        <f t="shared" si="169"/>
        <v>-340.99650697557121</v>
      </c>
      <c r="G1754" s="3">
        <f t="shared" si="170"/>
        <v>6.3398500028845319</v>
      </c>
      <c r="H1754" s="3">
        <f t="shared" si="171"/>
        <v>434.65665697268668</v>
      </c>
      <c r="M1754" s="1">
        <f t="shared" si="172"/>
        <v>1003</v>
      </c>
      <c r="N1754" s="38">
        <f>+M1754*'Failure Data'!F$3</f>
        <v>25.910833333333333</v>
      </c>
    </row>
    <row r="1755" spans="1:14" x14ac:dyDescent="0.15">
      <c r="A1755" s="1">
        <v>1746</v>
      </c>
      <c r="B1755" s="3">
        <f t="shared" si="167"/>
        <v>441.24741046094323</v>
      </c>
      <c r="C1755" s="8"/>
      <c r="D1755" s="3">
        <f t="shared" si="168"/>
        <v>434.9075604580587</v>
      </c>
      <c r="F1755" s="3">
        <f t="shared" si="169"/>
        <v>-341.24741046094323</v>
      </c>
      <c r="G1755" s="3">
        <f t="shared" si="170"/>
        <v>6.3398500028845319</v>
      </c>
      <c r="H1755" s="3">
        <f t="shared" si="171"/>
        <v>434.9075604580587</v>
      </c>
      <c r="M1755" s="1">
        <f t="shared" si="172"/>
        <v>1004</v>
      </c>
      <c r="N1755" s="38">
        <f>+M1755*'Failure Data'!F$3</f>
        <v>25.936666666666667</v>
      </c>
    </row>
    <row r="1756" spans="1:14" x14ac:dyDescent="0.15">
      <c r="A1756" s="1">
        <v>1747</v>
      </c>
      <c r="B1756" s="3">
        <f t="shared" si="167"/>
        <v>441.49831394631519</v>
      </c>
      <c r="C1756" s="8"/>
      <c r="D1756" s="3">
        <f t="shared" si="168"/>
        <v>435.15846394343066</v>
      </c>
      <c r="F1756" s="3">
        <f t="shared" si="169"/>
        <v>-341.49831394631519</v>
      </c>
      <c r="G1756" s="3">
        <f t="shared" si="170"/>
        <v>6.3398500028845319</v>
      </c>
      <c r="H1756" s="3">
        <f t="shared" si="171"/>
        <v>435.15846394343066</v>
      </c>
      <c r="M1756" s="1">
        <f t="shared" si="172"/>
        <v>1005</v>
      </c>
      <c r="N1756" s="38">
        <f>+M1756*'Failure Data'!F$3</f>
        <v>25.962499999999999</v>
      </c>
    </row>
    <row r="1757" spans="1:14" x14ac:dyDescent="0.15">
      <c r="A1757" s="1">
        <v>1748</v>
      </c>
      <c r="B1757" s="3">
        <f t="shared" si="167"/>
        <v>441.74921743168721</v>
      </c>
      <c r="C1757" s="8"/>
      <c r="D1757" s="3">
        <f t="shared" si="168"/>
        <v>435.40936742880268</v>
      </c>
      <c r="F1757" s="3">
        <f t="shared" si="169"/>
        <v>-341.74921743168721</v>
      </c>
      <c r="G1757" s="3">
        <f t="shared" si="170"/>
        <v>6.3398500028845319</v>
      </c>
      <c r="H1757" s="3">
        <f t="shared" si="171"/>
        <v>435.40936742880268</v>
      </c>
      <c r="M1757" s="1">
        <f t="shared" si="172"/>
        <v>1006</v>
      </c>
      <c r="N1757" s="38">
        <f>+M1757*'Failure Data'!F$3</f>
        <v>25.988333333333333</v>
      </c>
    </row>
    <row r="1758" spans="1:14" x14ac:dyDescent="0.15">
      <c r="A1758" s="1">
        <v>1749</v>
      </c>
      <c r="B1758" s="3">
        <f t="shared" si="167"/>
        <v>442.00012091705918</v>
      </c>
      <c r="C1758" s="8"/>
      <c r="D1758" s="3">
        <f t="shared" si="168"/>
        <v>435.66027091417465</v>
      </c>
      <c r="F1758" s="3">
        <f t="shared" si="169"/>
        <v>-342.00012091705918</v>
      </c>
      <c r="G1758" s="3">
        <f t="shared" si="170"/>
        <v>6.3398500028845319</v>
      </c>
      <c r="H1758" s="3">
        <f t="shared" si="171"/>
        <v>435.66027091417465</v>
      </c>
      <c r="M1758" s="1">
        <f t="shared" si="172"/>
        <v>1007</v>
      </c>
      <c r="N1758" s="38">
        <f>+M1758*'Failure Data'!F$3</f>
        <v>26.014166666666668</v>
      </c>
    </row>
    <row r="1759" spans="1:14" x14ac:dyDescent="0.15">
      <c r="A1759" s="1">
        <v>1750</v>
      </c>
      <c r="B1759" s="3">
        <f t="shared" ref="B1759:B1822" si="173">+(B$4*A1759)+B$5</f>
        <v>442.2510244024312</v>
      </c>
      <c r="C1759" s="8"/>
      <c r="D1759" s="3">
        <f t="shared" ref="D1759:D1822" si="174">+(D$4*A1759)+D$5</f>
        <v>435.91117439954667</v>
      </c>
      <c r="F1759" s="3">
        <f t="shared" ref="F1759:F1822" si="175">+xmax-B1759</f>
        <v>-342.2510244024312</v>
      </c>
      <c r="G1759" s="3">
        <f t="shared" ref="G1759:G1822" si="176">+B1759-D1759</f>
        <v>6.3398500028845319</v>
      </c>
      <c r="H1759" s="3">
        <f t="shared" ref="H1759:H1822" si="177">D1759</f>
        <v>435.91117439954667</v>
      </c>
      <c r="M1759" s="1">
        <f t="shared" si="172"/>
        <v>1008</v>
      </c>
      <c r="N1759" s="38">
        <f>+M1759*'Failure Data'!F$3</f>
        <v>26.04</v>
      </c>
    </row>
    <row r="1760" spans="1:14" x14ac:dyDescent="0.15">
      <c r="A1760" s="1">
        <v>1751</v>
      </c>
      <c r="B1760" s="3">
        <f t="shared" si="173"/>
        <v>442.50192788780316</v>
      </c>
      <c r="C1760" s="8"/>
      <c r="D1760" s="3">
        <f t="shared" si="174"/>
        <v>436.16207788491863</v>
      </c>
      <c r="F1760" s="3">
        <f t="shared" si="175"/>
        <v>-342.50192788780316</v>
      </c>
      <c r="G1760" s="3">
        <f t="shared" si="176"/>
        <v>6.3398500028845319</v>
      </c>
      <c r="H1760" s="3">
        <f t="shared" si="177"/>
        <v>436.16207788491863</v>
      </c>
      <c r="M1760" s="1">
        <f t="shared" si="172"/>
        <v>1009</v>
      </c>
      <c r="N1760" s="38">
        <f>+M1760*'Failure Data'!F$3</f>
        <v>26.065833333333334</v>
      </c>
    </row>
    <row r="1761" spans="1:14" x14ac:dyDescent="0.15">
      <c r="A1761" s="1">
        <v>1752</v>
      </c>
      <c r="B1761" s="3">
        <f t="shared" si="173"/>
        <v>442.75283137317518</v>
      </c>
      <c r="C1761" s="8"/>
      <c r="D1761" s="3">
        <f t="shared" si="174"/>
        <v>436.41298137029065</v>
      </c>
      <c r="F1761" s="3">
        <f t="shared" si="175"/>
        <v>-342.75283137317518</v>
      </c>
      <c r="G1761" s="3">
        <f t="shared" si="176"/>
        <v>6.3398500028845319</v>
      </c>
      <c r="H1761" s="3">
        <f t="shared" si="177"/>
        <v>436.41298137029065</v>
      </c>
      <c r="M1761" s="1">
        <f t="shared" si="172"/>
        <v>1010</v>
      </c>
      <c r="N1761" s="38">
        <f>+M1761*'Failure Data'!F$3</f>
        <v>26.091666666666665</v>
      </c>
    </row>
    <row r="1762" spans="1:14" x14ac:dyDescent="0.15">
      <c r="A1762" s="1">
        <v>1753</v>
      </c>
      <c r="B1762" s="3">
        <f t="shared" si="173"/>
        <v>443.00373485854715</v>
      </c>
      <c r="C1762" s="8"/>
      <c r="D1762" s="3">
        <f t="shared" si="174"/>
        <v>436.66388485566262</v>
      </c>
      <c r="F1762" s="3">
        <f t="shared" si="175"/>
        <v>-343.00373485854715</v>
      </c>
      <c r="G1762" s="3">
        <f t="shared" si="176"/>
        <v>6.3398500028845319</v>
      </c>
      <c r="H1762" s="3">
        <f t="shared" si="177"/>
        <v>436.66388485566262</v>
      </c>
      <c r="M1762" s="1">
        <f t="shared" si="172"/>
        <v>1011</v>
      </c>
      <c r="N1762" s="38">
        <f>+M1762*'Failure Data'!F$3</f>
        <v>26.1175</v>
      </c>
    </row>
    <row r="1763" spans="1:14" x14ac:dyDescent="0.15">
      <c r="A1763" s="1">
        <v>1754</v>
      </c>
      <c r="B1763" s="3">
        <f t="shared" si="173"/>
        <v>443.25463834391917</v>
      </c>
      <c r="C1763" s="8"/>
      <c r="D1763" s="3">
        <f t="shared" si="174"/>
        <v>436.91478834103464</v>
      </c>
      <c r="F1763" s="3">
        <f t="shared" si="175"/>
        <v>-343.25463834391917</v>
      </c>
      <c r="G1763" s="3">
        <f t="shared" si="176"/>
        <v>6.3398500028845319</v>
      </c>
      <c r="H1763" s="3">
        <f t="shared" si="177"/>
        <v>436.91478834103464</v>
      </c>
      <c r="M1763" s="1">
        <f t="shared" si="172"/>
        <v>1012</v>
      </c>
      <c r="N1763" s="38">
        <f>+M1763*'Failure Data'!F$3</f>
        <v>26.143333333333334</v>
      </c>
    </row>
    <row r="1764" spans="1:14" x14ac:dyDescent="0.15">
      <c r="A1764" s="1">
        <v>1755</v>
      </c>
      <c r="B1764" s="3">
        <f t="shared" si="173"/>
        <v>443.50554182929113</v>
      </c>
      <c r="C1764" s="8"/>
      <c r="D1764" s="3">
        <f t="shared" si="174"/>
        <v>437.1656918264066</v>
      </c>
      <c r="F1764" s="3">
        <f t="shared" si="175"/>
        <v>-343.50554182929113</v>
      </c>
      <c r="G1764" s="3">
        <f t="shared" si="176"/>
        <v>6.3398500028845319</v>
      </c>
      <c r="H1764" s="3">
        <f t="shared" si="177"/>
        <v>437.1656918264066</v>
      </c>
      <c r="M1764" s="1">
        <f t="shared" si="172"/>
        <v>1013</v>
      </c>
      <c r="N1764" s="38">
        <f>+M1764*'Failure Data'!F$3</f>
        <v>26.169166666666666</v>
      </c>
    </row>
    <row r="1765" spans="1:14" x14ac:dyDescent="0.15">
      <c r="A1765" s="1">
        <v>1756</v>
      </c>
      <c r="B1765" s="3">
        <f t="shared" si="173"/>
        <v>443.75644531466315</v>
      </c>
      <c r="C1765" s="8"/>
      <c r="D1765" s="3">
        <f t="shared" si="174"/>
        <v>437.41659531177862</v>
      </c>
      <c r="F1765" s="3">
        <f t="shared" si="175"/>
        <v>-343.75644531466315</v>
      </c>
      <c r="G1765" s="3">
        <f t="shared" si="176"/>
        <v>6.3398500028845319</v>
      </c>
      <c r="H1765" s="3">
        <f t="shared" si="177"/>
        <v>437.41659531177862</v>
      </c>
      <c r="M1765" s="1">
        <f t="shared" si="172"/>
        <v>1014</v>
      </c>
      <c r="N1765" s="38">
        <f>+M1765*'Failure Data'!F$3</f>
        <v>26.195</v>
      </c>
    </row>
    <row r="1766" spans="1:14" x14ac:dyDescent="0.15">
      <c r="A1766" s="1">
        <v>1757</v>
      </c>
      <c r="B1766" s="3">
        <f t="shared" si="173"/>
        <v>444.00734880003517</v>
      </c>
      <c r="C1766" s="8"/>
      <c r="D1766" s="3">
        <f t="shared" si="174"/>
        <v>437.66749879715059</v>
      </c>
      <c r="F1766" s="3">
        <f t="shared" si="175"/>
        <v>-344.00734880003517</v>
      </c>
      <c r="G1766" s="3">
        <f t="shared" si="176"/>
        <v>6.3398500028845888</v>
      </c>
      <c r="H1766" s="3">
        <f t="shared" si="177"/>
        <v>437.66749879715059</v>
      </c>
      <c r="M1766" s="1">
        <f t="shared" si="172"/>
        <v>1015</v>
      </c>
      <c r="N1766" s="38">
        <f>+M1766*'Failure Data'!F$3</f>
        <v>26.220833333333331</v>
      </c>
    </row>
    <row r="1767" spans="1:14" x14ac:dyDescent="0.15">
      <c r="A1767" s="1">
        <v>1758</v>
      </c>
      <c r="B1767" s="3">
        <f t="shared" si="173"/>
        <v>444.25825228540714</v>
      </c>
      <c r="C1767" s="8"/>
      <c r="D1767" s="3">
        <f t="shared" si="174"/>
        <v>437.91840228252261</v>
      </c>
      <c r="F1767" s="3">
        <f t="shared" si="175"/>
        <v>-344.25825228540714</v>
      </c>
      <c r="G1767" s="3">
        <f t="shared" si="176"/>
        <v>6.3398500028845319</v>
      </c>
      <c r="H1767" s="3">
        <f t="shared" si="177"/>
        <v>437.91840228252261</v>
      </c>
      <c r="M1767" s="1">
        <f t="shared" si="172"/>
        <v>1016</v>
      </c>
      <c r="N1767" s="38">
        <f>+M1767*'Failure Data'!F$3</f>
        <v>26.246666666666666</v>
      </c>
    </row>
    <row r="1768" spans="1:14" x14ac:dyDescent="0.15">
      <c r="A1768" s="1">
        <v>1759</v>
      </c>
      <c r="B1768" s="3">
        <f t="shared" si="173"/>
        <v>444.50915577077916</v>
      </c>
      <c r="C1768" s="8"/>
      <c r="D1768" s="3">
        <f t="shared" si="174"/>
        <v>438.16930576789457</v>
      </c>
      <c r="F1768" s="3">
        <f t="shared" si="175"/>
        <v>-344.50915577077916</v>
      </c>
      <c r="G1768" s="3">
        <f t="shared" si="176"/>
        <v>6.3398500028845888</v>
      </c>
      <c r="H1768" s="3">
        <f t="shared" si="177"/>
        <v>438.16930576789457</v>
      </c>
      <c r="M1768" s="1">
        <f t="shared" si="172"/>
        <v>1017</v>
      </c>
      <c r="N1768" s="38">
        <f>+M1768*'Failure Data'!F$3</f>
        <v>26.272500000000001</v>
      </c>
    </row>
    <row r="1769" spans="1:14" x14ac:dyDescent="0.15">
      <c r="A1769" s="1">
        <v>1760</v>
      </c>
      <c r="B1769" s="3">
        <f t="shared" si="173"/>
        <v>444.76005925615112</v>
      </c>
      <c r="C1769" s="8"/>
      <c r="D1769" s="3">
        <f t="shared" si="174"/>
        <v>438.42020925326659</v>
      </c>
      <c r="F1769" s="3">
        <f t="shared" si="175"/>
        <v>-344.76005925615112</v>
      </c>
      <c r="G1769" s="3">
        <f t="shared" si="176"/>
        <v>6.3398500028845319</v>
      </c>
      <c r="H1769" s="3">
        <f t="shared" si="177"/>
        <v>438.42020925326659</v>
      </c>
      <c r="M1769" s="1">
        <f t="shared" si="172"/>
        <v>1018</v>
      </c>
      <c r="N1769" s="38">
        <f>+M1769*'Failure Data'!F$3</f>
        <v>26.298333333333332</v>
      </c>
    </row>
    <row r="1770" spans="1:14" x14ac:dyDescent="0.15">
      <c r="A1770" s="1">
        <v>1761</v>
      </c>
      <c r="B1770" s="3">
        <f t="shared" si="173"/>
        <v>445.01096274152314</v>
      </c>
      <c r="C1770" s="8"/>
      <c r="D1770" s="3">
        <f t="shared" si="174"/>
        <v>438.67111273863856</v>
      </c>
      <c r="F1770" s="3">
        <f t="shared" si="175"/>
        <v>-345.01096274152314</v>
      </c>
      <c r="G1770" s="3">
        <f t="shared" si="176"/>
        <v>6.3398500028845888</v>
      </c>
      <c r="H1770" s="3">
        <f t="shared" si="177"/>
        <v>438.67111273863856</v>
      </c>
      <c r="M1770" s="1">
        <f t="shared" si="172"/>
        <v>1019</v>
      </c>
      <c r="N1770" s="38">
        <f>+M1770*'Failure Data'!F$3</f>
        <v>26.324166666666667</v>
      </c>
    </row>
    <row r="1771" spans="1:14" x14ac:dyDescent="0.15">
      <c r="A1771" s="1">
        <v>1762</v>
      </c>
      <c r="B1771" s="3">
        <f t="shared" si="173"/>
        <v>445.26186622689511</v>
      </c>
      <c r="C1771" s="8"/>
      <c r="D1771" s="3">
        <f t="shared" si="174"/>
        <v>438.92201622401058</v>
      </c>
      <c r="F1771" s="3">
        <f t="shared" si="175"/>
        <v>-345.26186622689511</v>
      </c>
      <c r="G1771" s="3">
        <f t="shared" si="176"/>
        <v>6.3398500028845319</v>
      </c>
      <c r="H1771" s="3">
        <f t="shared" si="177"/>
        <v>438.92201622401058</v>
      </c>
      <c r="M1771" s="1">
        <f t="shared" si="172"/>
        <v>1020</v>
      </c>
      <c r="N1771" s="38">
        <f>+M1771*'Failure Data'!F$3</f>
        <v>26.35</v>
      </c>
    </row>
    <row r="1772" spans="1:14" x14ac:dyDescent="0.15">
      <c r="A1772" s="1">
        <v>1763</v>
      </c>
      <c r="B1772" s="3">
        <f t="shared" si="173"/>
        <v>445.51276971226713</v>
      </c>
      <c r="C1772" s="8"/>
      <c r="D1772" s="3">
        <f t="shared" si="174"/>
        <v>439.17291970938254</v>
      </c>
      <c r="F1772" s="3">
        <f t="shared" si="175"/>
        <v>-345.51276971226713</v>
      </c>
      <c r="G1772" s="3">
        <f t="shared" si="176"/>
        <v>6.3398500028845888</v>
      </c>
      <c r="H1772" s="3">
        <f t="shared" si="177"/>
        <v>439.17291970938254</v>
      </c>
      <c r="M1772" s="1">
        <f t="shared" si="172"/>
        <v>1021</v>
      </c>
      <c r="N1772" s="38">
        <f>+M1772*'Failure Data'!F$3</f>
        <v>26.375833333333333</v>
      </c>
    </row>
    <row r="1773" spans="1:14" x14ac:dyDescent="0.15">
      <c r="A1773" s="1">
        <v>1764</v>
      </c>
      <c r="B1773" s="3">
        <f t="shared" si="173"/>
        <v>445.76367319763909</v>
      </c>
      <c r="C1773" s="8"/>
      <c r="D1773" s="3">
        <f t="shared" si="174"/>
        <v>439.42382319475456</v>
      </c>
      <c r="F1773" s="3">
        <f t="shared" si="175"/>
        <v>-345.76367319763909</v>
      </c>
      <c r="G1773" s="3">
        <f t="shared" si="176"/>
        <v>6.3398500028845319</v>
      </c>
      <c r="H1773" s="3">
        <f t="shared" si="177"/>
        <v>439.42382319475456</v>
      </c>
      <c r="M1773" s="1">
        <f t="shared" si="172"/>
        <v>1022</v>
      </c>
      <c r="N1773" s="38">
        <f>+M1773*'Failure Data'!F$3</f>
        <v>26.401666666666667</v>
      </c>
    </row>
    <row r="1774" spans="1:14" x14ac:dyDescent="0.15">
      <c r="A1774" s="1">
        <v>1765</v>
      </c>
      <c r="B1774" s="3">
        <f t="shared" si="173"/>
        <v>446.01457668301111</v>
      </c>
      <c r="C1774" s="8"/>
      <c r="D1774" s="3">
        <f t="shared" si="174"/>
        <v>439.67472668012653</v>
      </c>
      <c r="F1774" s="3">
        <f t="shared" si="175"/>
        <v>-346.01457668301111</v>
      </c>
      <c r="G1774" s="3">
        <f t="shared" si="176"/>
        <v>6.3398500028845888</v>
      </c>
      <c r="H1774" s="3">
        <f t="shared" si="177"/>
        <v>439.67472668012653</v>
      </c>
      <c r="M1774" s="1">
        <f t="shared" si="172"/>
        <v>1023</v>
      </c>
      <c r="N1774" s="38">
        <f>+M1774*'Failure Data'!F$3</f>
        <v>26.427499999999998</v>
      </c>
    </row>
    <row r="1775" spans="1:14" x14ac:dyDescent="0.15">
      <c r="A1775" s="1">
        <v>1766</v>
      </c>
      <c r="B1775" s="3">
        <f t="shared" si="173"/>
        <v>446.26548016838308</v>
      </c>
      <c r="C1775" s="8"/>
      <c r="D1775" s="3">
        <f t="shared" si="174"/>
        <v>439.92563016549855</v>
      </c>
      <c r="F1775" s="3">
        <f t="shared" si="175"/>
        <v>-346.26548016838308</v>
      </c>
      <c r="G1775" s="3">
        <f t="shared" si="176"/>
        <v>6.3398500028845319</v>
      </c>
      <c r="H1775" s="3">
        <f t="shared" si="177"/>
        <v>439.92563016549855</v>
      </c>
      <c r="M1775" s="1">
        <f t="shared" si="172"/>
        <v>1024</v>
      </c>
      <c r="N1775" s="38">
        <f>+M1775*'Failure Data'!F$3</f>
        <v>26.453333333333333</v>
      </c>
    </row>
    <row r="1776" spans="1:14" x14ac:dyDescent="0.15">
      <c r="A1776" s="1">
        <v>1767</v>
      </c>
      <c r="B1776" s="3">
        <f t="shared" si="173"/>
        <v>446.5163836537551</v>
      </c>
      <c r="C1776" s="8"/>
      <c r="D1776" s="3">
        <f t="shared" si="174"/>
        <v>440.17653365087051</v>
      </c>
      <c r="F1776" s="3">
        <f t="shared" si="175"/>
        <v>-346.5163836537551</v>
      </c>
      <c r="G1776" s="3">
        <f t="shared" si="176"/>
        <v>6.3398500028845888</v>
      </c>
      <c r="H1776" s="3">
        <f t="shared" si="177"/>
        <v>440.17653365087051</v>
      </c>
      <c r="M1776" s="1">
        <f t="shared" si="172"/>
        <v>1025</v>
      </c>
      <c r="N1776" s="38">
        <f>+M1776*'Failure Data'!F$3</f>
        <v>26.479166666666668</v>
      </c>
    </row>
    <row r="1777" spans="1:14" x14ac:dyDescent="0.15">
      <c r="A1777" s="1">
        <v>1768</v>
      </c>
      <c r="B1777" s="3">
        <f t="shared" si="173"/>
        <v>446.76728713912706</v>
      </c>
      <c r="C1777" s="8"/>
      <c r="D1777" s="3">
        <f t="shared" si="174"/>
        <v>440.42743713624253</v>
      </c>
      <c r="F1777" s="3">
        <f t="shared" si="175"/>
        <v>-346.76728713912706</v>
      </c>
      <c r="G1777" s="3">
        <f t="shared" si="176"/>
        <v>6.3398500028845319</v>
      </c>
      <c r="H1777" s="3">
        <f t="shared" si="177"/>
        <v>440.42743713624253</v>
      </c>
      <c r="M1777" s="1">
        <f t="shared" si="172"/>
        <v>1026</v>
      </c>
      <c r="N1777" s="38">
        <f>+M1777*'Failure Data'!F$3</f>
        <v>26.504999999999999</v>
      </c>
    </row>
    <row r="1778" spans="1:14" x14ac:dyDescent="0.15">
      <c r="A1778" s="1">
        <v>1769</v>
      </c>
      <c r="B1778" s="3">
        <f t="shared" si="173"/>
        <v>447.01819062449908</v>
      </c>
      <c r="C1778" s="8"/>
      <c r="D1778" s="3">
        <f t="shared" si="174"/>
        <v>440.67834062161455</v>
      </c>
      <c r="F1778" s="3">
        <f t="shared" si="175"/>
        <v>-347.01819062449908</v>
      </c>
      <c r="G1778" s="3">
        <f t="shared" si="176"/>
        <v>6.3398500028845319</v>
      </c>
      <c r="H1778" s="3">
        <f t="shared" si="177"/>
        <v>440.67834062161455</v>
      </c>
      <c r="M1778" s="1">
        <f t="shared" si="172"/>
        <v>1027</v>
      </c>
      <c r="N1778" s="38">
        <f>+M1778*'Failure Data'!F$3</f>
        <v>26.530833333333334</v>
      </c>
    </row>
    <row r="1779" spans="1:14" x14ac:dyDescent="0.15">
      <c r="A1779" s="1">
        <v>1770</v>
      </c>
      <c r="B1779" s="3">
        <f t="shared" si="173"/>
        <v>447.26909410987105</v>
      </c>
      <c r="C1779" s="8"/>
      <c r="D1779" s="3">
        <f t="shared" si="174"/>
        <v>440.92924410698652</v>
      </c>
      <c r="F1779" s="3">
        <f t="shared" si="175"/>
        <v>-347.26909410987105</v>
      </c>
      <c r="G1779" s="3">
        <f t="shared" si="176"/>
        <v>6.3398500028845319</v>
      </c>
      <c r="H1779" s="3">
        <f t="shared" si="177"/>
        <v>440.92924410698652</v>
      </c>
      <c r="M1779" s="1">
        <f t="shared" si="172"/>
        <v>1028</v>
      </c>
      <c r="N1779" s="38">
        <f>+M1779*'Failure Data'!F$3</f>
        <v>26.556666666666665</v>
      </c>
    </row>
    <row r="1780" spans="1:14" x14ac:dyDescent="0.15">
      <c r="A1780" s="1">
        <v>1771</v>
      </c>
      <c r="B1780" s="3">
        <f t="shared" si="173"/>
        <v>447.51999759524307</v>
      </c>
      <c r="C1780" s="8"/>
      <c r="D1780" s="3">
        <f t="shared" si="174"/>
        <v>441.18014759235854</v>
      </c>
      <c r="F1780" s="3">
        <f t="shared" si="175"/>
        <v>-347.51999759524307</v>
      </c>
      <c r="G1780" s="3">
        <f t="shared" si="176"/>
        <v>6.3398500028845319</v>
      </c>
      <c r="H1780" s="3">
        <f t="shared" si="177"/>
        <v>441.18014759235854</v>
      </c>
      <c r="M1780" s="1">
        <f t="shared" si="172"/>
        <v>1029</v>
      </c>
      <c r="N1780" s="38">
        <f>+M1780*'Failure Data'!F$3</f>
        <v>26.5825</v>
      </c>
    </row>
    <row r="1781" spans="1:14" x14ac:dyDescent="0.15">
      <c r="A1781" s="1">
        <v>1772</v>
      </c>
      <c r="B1781" s="3">
        <f t="shared" si="173"/>
        <v>447.77090108061503</v>
      </c>
      <c r="C1781" s="8"/>
      <c r="D1781" s="3">
        <f t="shared" si="174"/>
        <v>441.4310510777305</v>
      </c>
      <c r="F1781" s="3">
        <f t="shared" si="175"/>
        <v>-347.77090108061503</v>
      </c>
      <c r="G1781" s="3">
        <f t="shared" si="176"/>
        <v>6.3398500028845319</v>
      </c>
      <c r="H1781" s="3">
        <f t="shared" si="177"/>
        <v>441.4310510777305</v>
      </c>
      <c r="M1781" s="1">
        <f t="shared" si="172"/>
        <v>1030</v>
      </c>
      <c r="N1781" s="38">
        <f>+M1781*'Failure Data'!F$3</f>
        <v>26.608333333333334</v>
      </c>
    </row>
    <row r="1782" spans="1:14" x14ac:dyDescent="0.15">
      <c r="A1782" s="1">
        <v>1773</v>
      </c>
      <c r="B1782" s="3">
        <f t="shared" si="173"/>
        <v>448.02180456598705</v>
      </c>
      <c r="C1782" s="8"/>
      <c r="D1782" s="3">
        <f t="shared" si="174"/>
        <v>441.68195456310252</v>
      </c>
      <c r="F1782" s="3">
        <f t="shared" si="175"/>
        <v>-348.02180456598705</v>
      </c>
      <c r="G1782" s="3">
        <f t="shared" si="176"/>
        <v>6.3398500028845319</v>
      </c>
      <c r="H1782" s="3">
        <f t="shared" si="177"/>
        <v>441.68195456310252</v>
      </c>
      <c r="M1782" s="1">
        <f t="shared" si="172"/>
        <v>1031</v>
      </c>
      <c r="N1782" s="38">
        <f>+M1782*'Failure Data'!F$3</f>
        <v>26.634166666666665</v>
      </c>
    </row>
    <row r="1783" spans="1:14" x14ac:dyDescent="0.15">
      <c r="A1783" s="1">
        <v>1774</v>
      </c>
      <c r="B1783" s="3">
        <f t="shared" si="173"/>
        <v>448.27270805135902</v>
      </c>
      <c r="C1783" s="8"/>
      <c r="D1783" s="3">
        <f t="shared" si="174"/>
        <v>441.93285804847449</v>
      </c>
      <c r="F1783" s="3">
        <f t="shared" si="175"/>
        <v>-348.27270805135902</v>
      </c>
      <c r="G1783" s="3">
        <f t="shared" si="176"/>
        <v>6.3398500028845319</v>
      </c>
      <c r="H1783" s="3">
        <f t="shared" si="177"/>
        <v>441.93285804847449</v>
      </c>
      <c r="M1783" s="1">
        <f t="shared" si="172"/>
        <v>1032</v>
      </c>
      <c r="N1783" s="38">
        <f>+M1783*'Failure Data'!F$3</f>
        <v>26.66</v>
      </c>
    </row>
    <row r="1784" spans="1:14" x14ac:dyDescent="0.15">
      <c r="A1784" s="1">
        <v>1775</v>
      </c>
      <c r="B1784" s="3">
        <f t="shared" si="173"/>
        <v>448.52361153673104</v>
      </c>
      <c r="C1784" s="8"/>
      <c r="D1784" s="3">
        <f t="shared" si="174"/>
        <v>442.18376153384651</v>
      </c>
      <c r="F1784" s="3">
        <f t="shared" si="175"/>
        <v>-348.52361153673104</v>
      </c>
      <c r="G1784" s="3">
        <f t="shared" si="176"/>
        <v>6.3398500028845319</v>
      </c>
      <c r="H1784" s="3">
        <f t="shared" si="177"/>
        <v>442.18376153384651</v>
      </c>
      <c r="M1784" s="1">
        <f t="shared" si="172"/>
        <v>1033</v>
      </c>
      <c r="N1784" s="38">
        <f>+M1784*'Failure Data'!F$3</f>
        <v>26.685833333333335</v>
      </c>
    </row>
    <row r="1785" spans="1:14" x14ac:dyDescent="0.15">
      <c r="A1785" s="1">
        <v>1776</v>
      </c>
      <c r="B1785" s="3">
        <f t="shared" si="173"/>
        <v>448.774515022103</v>
      </c>
      <c r="C1785" s="8"/>
      <c r="D1785" s="3">
        <f t="shared" si="174"/>
        <v>442.43466501921847</v>
      </c>
      <c r="F1785" s="3">
        <f t="shared" si="175"/>
        <v>-348.774515022103</v>
      </c>
      <c r="G1785" s="3">
        <f t="shared" si="176"/>
        <v>6.3398500028845319</v>
      </c>
      <c r="H1785" s="3">
        <f t="shared" si="177"/>
        <v>442.43466501921847</v>
      </c>
      <c r="M1785" s="1">
        <f t="shared" si="172"/>
        <v>1034</v>
      </c>
      <c r="N1785" s="38">
        <f>+M1785*'Failure Data'!F$3</f>
        <v>26.711666666666666</v>
      </c>
    </row>
    <row r="1786" spans="1:14" x14ac:dyDescent="0.15">
      <c r="A1786" s="1">
        <v>1777</v>
      </c>
      <c r="B1786" s="3">
        <f t="shared" si="173"/>
        <v>449.02541850747502</v>
      </c>
      <c r="C1786" s="8"/>
      <c r="D1786" s="3">
        <f t="shared" si="174"/>
        <v>442.68556850459049</v>
      </c>
      <c r="F1786" s="3">
        <f t="shared" si="175"/>
        <v>-349.02541850747502</v>
      </c>
      <c r="G1786" s="3">
        <f t="shared" si="176"/>
        <v>6.3398500028845319</v>
      </c>
      <c r="H1786" s="3">
        <f t="shared" si="177"/>
        <v>442.68556850459049</v>
      </c>
      <c r="M1786" s="1">
        <f t="shared" si="172"/>
        <v>1035</v>
      </c>
      <c r="N1786" s="38">
        <f>+M1786*'Failure Data'!F$3</f>
        <v>26.737500000000001</v>
      </c>
    </row>
    <row r="1787" spans="1:14" x14ac:dyDescent="0.15">
      <c r="A1787" s="1">
        <v>1778</v>
      </c>
      <c r="B1787" s="3">
        <f t="shared" si="173"/>
        <v>449.27632199284699</v>
      </c>
      <c r="C1787" s="8"/>
      <c r="D1787" s="3">
        <f t="shared" si="174"/>
        <v>442.93647198996246</v>
      </c>
      <c r="F1787" s="3">
        <f t="shared" si="175"/>
        <v>-349.27632199284699</v>
      </c>
      <c r="G1787" s="3">
        <f t="shared" si="176"/>
        <v>6.3398500028845319</v>
      </c>
      <c r="H1787" s="3">
        <f t="shared" si="177"/>
        <v>442.93647198996246</v>
      </c>
      <c r="M1787" s="1">
        <f t="shared" si="172"/>
        <v>1036</v>
      </c>
      <c r="N1787" s="38">
        <f>+M1787*'Failure Data'!F$3</f>
        <v>26.763333333333332</v>
      </c>
    </row>
    <row r="1788" spans="1:14" x14ac:dyDescent="0.15">
      <c r="A1788" s="1">
        <v>1779</v>
      </c>
      <c r="B1788" s="3">
        <f t="shared" si="173"/>
        <v>449.52722547821901</v>
      </c>
      <c r="C1788" s="8"/>
      <c r="D1788" s="3">
        <f t="shared" si="174"/>
        <v>443.18737547533448</v>
      </c>
      <c r="F1788" s="3">
        <f t="shared" si="175"/>
        <v>-349.52722547821901</v>
      </c>
      <c r="G1788" s="3">
        <f t="shared" si="176"/>
        <v>6.3398500028845319</v>
      </c>
      <c r="H1788" s="3">
        <f t="shared" si="177"/>
        <v>443.18737547533448</v>
      </c>
      <c r="M1788" s="1">
        <f t="shared" si="172"/>
        <v>1037</v>
      </c>
      <c r="N1788" s="38">
        <f>+M1788*'Failure Data'!F$3</f>
        <v>26.789166666666667</v>
      </c>
    </row>
    <row r="1789" spans="1:14" x14ac:dyDescent="0.15">
      <c r="A1789" s="1">
        <v>1780</v>
      </c>
      <c r="B1789" s="3">
        <f t="shared" si="173"/>
        <v>449.77812896359103</v>
      </c>
      <c r="C1789" s="8"/>
      <c r="D1789" s="3">
        <f t="shared" si="174"/>
        <v>443.43827896070644</v>
      </c>
      <c r="F1789" s="3">
        <f t="shared" si="175"/>
        <v>-349.77812896359103</v>
      </c>
      <c r="G1789" s="3">
        <f t="shared" si="176"/>
        <v>6.3398500028845888</v>
      </c>
      <c r="H1789" s="3">
        <f t="shared" si="177"/>
        <v>443.43827896070644</v>
      </c>
      <c r="M1789" s="1">
        <f t="shared" si="172"/>
        <v>1038</v>
      </c>
      <c r="N1789" s="38">
        <f>+M1789*'Failure Data'!F$3</f>
        <v>26.815000000000001</v>
      </c>
    </row>
    <row r="1790" spans="1:14" x14ac:dyDescent="0.15">
      <c r="A1790" s="1">
        <v>1781</v>
      </c>
      <c r="B1790" s="3">
        <f t="shared" si="173"/>
        <v>450.02903244896299</v>
      </c>
      <c r="C1790" s="8"/>
      <c r="D1790" s="3">
        <f t="shared" si="174"/>
        <v>443.68918244607846</v>
      </c>
      <c r="F1790" s="3">
        <f t="shared" si="175"/>
        <v>-350.02903244896299</v>
      </c>
      <c r="G1790" s="3">
        <f t="shared" si="176"/>
        <v>6.3398500028845319</v>
      </c>
      <c r="H1790" s="3">
        <f t="shared" si="177"/>
        <v>443.68918244607846</v>
      </c>
      <c r="M1790" s="1">
        <f t="shared" si="172"/>
        <v>1039</v>
      </c>
      <c r="N1790" s="38">
        <f>+M1790*'Failure Data'!F$3</f>
        <v>26.840833333333332</v>
      </c>
    </row>
    <row r="1791" spans="1:14" x14ac:dyDescent="0.15">
      <c r="A1791" s="1">
        <v>1782</v>
      </c>
      <c r="B1791" s="3">
        <f t="shared" si="173"/>
        <v>450.27993593433501</v>
      </c>
      <c r="C1791" s="8"/>
      <c r="D1791" s="3">
        <f t="shared" si="174"/>
        <v>443.94008593145043</v>
      </c>
      <c r="F1791" s="3">
        <f t="shared" si="175"/>
        <v>-350.27993593433501</v>
      </c>
      <c r="G1791" s="3">
        <f t="shared" si="176"/>
        <v>6.3398500028845888</v>
      </c>
      <c r="H1791" s="3">
        <f t="shared" si="177"/>
        <v>443.94008593145043</v>
      </c>
      <c r="M1791" s="1">
        <f t="shared" si="172"/>
        <v>1040</v>
      </c>
      <c r="N1791" s="38">
        <f>+M1791*'Failure Data'!F$3</f>
        <v>26.866666666666667</v>
      </c>
    </row>
    <row r="1792" spans="1:14" x14ac:dyDescent="0.15">
      <c r="A1792" s="1">
        <v>1783</v>
      </c>
      <c r="B1792" s="3">
        <f t="shared" si="173"/>
        <v>450.53083941970698</v>
      </c>
      <c r="C1792" s="8"/>
      <c r="D1792" s="3">
        <f t="shared" si="174"/>
        <v>444.19098941682245</v>
      </c>
      <c r="F1792" s="3">
        <f t="shared" si="175"/>
        <v>-350.53083941970698</v>
      </c>
      <c r="G1792" s="3">
        <f t="shared" si="176"/>
        <v>6.3398500028845319</v>
      </c>
      <c r="H1792" s="3">
        <f t="shared" si="177"/>
        <v>444.19098941682245</v>
      </c>
      <c r="M1792" s="1">
        <f t="shared" si="172"/>
        <v>1041</v>
      </c>
      <c r="N1792" s="38">
        <f>+M1792*'Failure Data'!F$3</f>
        <v>26.892499999999998</v>
      </c>
    </row>
    <row r="1793" spans="1:14" x14ac:dyDescent="0.15">
      <c r="A1793" s="1">
        <v>1784</v>
      </c>
      <c r="B1793" s="3">
        <f t="shared" si="173"/>
        <v>450.781742905079</v>
      </c>
      <c r="C1793" s="8"/>
      <c r="D1793" s="3">
        <f t="shared" si="174"/>
        <v>444.44189290219441</v>
      </c>
      <c r="F1793" s="3">
        <f t="shared" si="175"/>
        <v>-350.781742905079</v>
      </c>
      <c r="G1793" s="3">
        <f t="shared" si="176"/>
        <v>6.3398500028845888</v>
      </c>
      <c r="H1793" s="3">
        <f t="shared" si="177"/>
        <v>444.44189290219441</v>
      </c>
      <c r="M1793" s="1">
        <f t="shared" ref="M1793:M1856" si="178">M1792+1</f>
        <v>1042</v>
      </c>
      <c r="N1793" s="38">
        <f>+M1793*'Failure Data'!F$3</f>
        <v>26.918333333333333</v>
      </c>
    </row>
    <row r="1794" spans="1:14" x14ac:dyDescent="0.15">
      <c r="A1794" s="1">
        <v>1785</v>
      </c>
      <c r="B1794" s="3">
        <f t="shared" si="173"/>
        <v>451.03264639045096</v>
      </c>
      <c r="C1794" s="8"/>
      <c r="D1794" s="3">
        <f t="shared" si="174"/>
        <v>444.69279638756643</v>
      </c>
      <c r="F1794" s="3">
        <f t="shared" si="175"/>
        <v>-351.03264639045096</v>
      </c>
      <c r="G1794" s="3">
        <f t="shared" si="176"/>
        <v>6.3398500028845319</v>
      </c>
      <c r="H1794" s="3">
        <f t="shared" si="177"/>
        <v>444.69279638756643</v>
      </c>
      <c r="M1794" s="1">
        <f t="shared" si="178"/>
        <v>1043</v>
      </c>
      <c r="N1794" s="38">
        <f>+M1794*'Failure Data'!F$3</f>
        <v>26.944166666666668</v>
      </c>
    </row>
    <row r="1795" spans="1:14" x14ac:dyDescent="0.15">
      <c r="A1795" s="1">
        <v>1786</v>
      </c>
      <c r="B1795" s="3">
        <f t="shared" si="173"/>
        <v>451.28354987582298</v>
      </c>
      <c r="C1795" s="8"/>
      <c r="D1795" s="3">
        <f t="shared" si="174"/>
        <v>444.9436998729384</v>
      </c>
      <c r="F1795" s="3">
        <f t="shared" si="175"/>
        <v>-351.28354987582298</v>
      </c>
      <c r="G1795" s="3">
        <f t="shared" si="176"/>
        <v>6.3398500028845888</v>
      </c>
      <c r="H1795" s="3">
        <f t="shared" si="177"/>
        <v>444.9436998729384</v>
      </c>
      <c r="M1795" s="1">
        <f t="shared" si="178"/>
        <v>1044</v>
      </c>
      <c r="N1795" s="38">
        <f>+M1795*'Failure Data'!F$3</f>
        <v>26.97</v>
      </c>
    </row>
    <row r="1796" spans="1:14" x14ac:dyDescent="0.15">
      <c r="A1796" s="1">
        <v>1787</v>
      </c>
      <c r="B1796" s="3">
        <f t="shared" si="173"/>
        <v>451.53445336119495</v>
      </c>
      <c r="C1796" s="8"/>
      <c r="D1796" s="3">
        <f t="shared" si="174"/>
        <v>445.19460335831042</v>
      </c>
      <c r="F1796" s="3">
        <f t="shared" si="175"/>
        <v>-351.53445336119495</v>
      </c>
      <c r="G1796" s="3">
        <f t="shared" si="176"/>
        <v>6.3398500028845319</v>
      </c>
      <c r="H1796" s="3">
        <f t="shared" si="177"/>
        <v>445.19460335831042</v>
      </c>
      <c r="M1796" s="1">
        <f t="shared" si="178"/>
        <v>1045</v>
      </c>
      <c r="N1796" s="38">
        <f>+M1796*'Failure Data'!F$3</f>
        <v>26.995833333333334</v>
      </c>
    </row>
    <row r="1797" spans="1:14" x14ac:dyDescent="0.15">
      <c r="A1797" s="1">
        <v>1788</v>
      </c>
      <c r="B1797" s="3">
        <f t="shared" si="173"/>
        <v>451.78535684656697</v>
      </c>
      <c r="C1797" s="8"/>
      <c r="D1797" s="3">
        <f t="shared" si="174"/>
        <v>445.44550684368238</v>
      </c>
      <c r="F1797" s="3">
        <f t="shared" si="175"/>
        <v>-351.78535684656697</v>
      </c>
      <c r="G1797" s="3">
        <f t="shared" si="176"/>
        <v>6.3398500028845888</v>
      </c>
      <c r="H1797" s="3">
        <f t="shared" si="177"/>
        <v>445.44550684368238</v>
      </c>
      <c r="M1797" s="1">
        <f t="shared" si="178"/>
        <v>1046</v>
      </c>
      <c r="N1797" s="38">
        <f>+M1797*'Failure Data'!F$3</f>
        <v>27.021666666666665</v>
      </c>
    </row>
    <row r="1798" spans="1:14" x14ac:dyDescent="0.15">
      <c r="A1798" s="1">
        <v>1789</v>
      </c>
      <c r="B1798" s="3">
        <f t="shared" si="173"/>
        <v>452.03626033193893</v>
      </c>
      <c r="C1798" s="8"/>
      <c r="D1798" s="3">
        <f t="shared" si="174"/>
        <v>445.6964103290544</v>
      </c>
      <c r="F1798" s="3">
        <f t="shared" si="175"/>
        <v>-352.03626033193893</v>
      </c>
      <c r="G1798" s="3">
        <f t="shared" si="176"/>
        <v>6.3398500028845319</v>
      </c>
      <c r="H1798" s="3">
        <f t="shared" si="177"/>
        <v>445.6964103290544</v>
      </c>
      <c r="M1798" s="1">
        <f t="shared" si="178"/>
        <v>1047</v>
      </c>
      <c r="N1798" s="38">
        <f>+M1798*'Failure Data'!F$3</f>
        <v>27.047499999999999</v>
      </c>
    </row>
    <row r="1799" spans="1:14" x14ac:dyDescent="0.15">
      <c r="A1799" s="1">
        <v>1790</v>
      </c>
      <c r="B1799" s="3">
        <f t="shared" si="173"/>
        <v>452.28716381731095</v>
      </c>
      <c r="C1799" s="8"/>
      <c r="D1799" s="3">
        <f t="shared" si="174"/>
        <v>445.94731381442637</v>
      </c>
      <c r="F1799" s="3">
        <f t="shared" si="175"/>
        <v>-352.28716381731095</v>
      </c>
      <c r="G1799" s="3">
        <f t="shared" si="176"/>
        <v>6.3398500028845888</v>
      </c>
      <c r="H1799" s="3">
        <f t="shared" si="177"/>
        <v>445.94731381442637</v>
      </c>
      <c r="M1799" s="1">
        <f t="shared" si="178"/>
        <v>1048</v>
      </c>
      <c r="N1799" s="38">
        <f>+M1799*'Failure Data'!F$3</f>
        <v>27.073333333333334</v>
      </c>
    </row>
    <row r="1800" spans="1:14" x14ac:dyDescent="0.15">
      <c r="A1800" s="1">
        <v>1791</v>
      </c>
      <c r="B1800" s="3">
        <f t="shared" si="173"/>
        <v>452.53806730268292</v>
      </c>
      <c r="C1800" s="8"/>
      <c r="D1800" s="3">
        <f t="shared" si="174"/>
        <v>446.19821729979839</v>
      </c>
      <c r="F1800" s="3">
        <f t="shared" si="175"/>
        <v>-352.53806730268292</v>
      </c>
      <c r="G1800" s="3">
        <f t="shared" si="176"/>
        <v>6.3398500028845319</v>
      </c>
      <c r="H1800" s="3">
        <f t="shared" si="177"/>
        <v>446.19821729979839</v>
      </c>
      <c r="M1800" s="1">
        <f t="shared" si="178"/>
        <v>1049</v>
      </c>
      <c r="N1800" s="38">
        <f>+M1800*'Failure Data'!F$3</f>
        <v>27.099166666666665</v>
      </c>
    </row>
    <row r="1801" spans="1:14" x14ac:dyDescent="0.15">
      <c r="A1801" s="1">
        <v>1792</v>
      </c>
      <c r="B1801" s="3">
        <f t="shared" si="173"/>
        <v>452.78897078805494</v>
      </c>
      <c r="C1801" s="8"/>
      <c r="D1801" s="3">
        <f t="shared" si="174"/>
        <v>446.44912078517035</v>
      </c>
      <c r="F1801" s="3">
        <f t="shared" si="175"/>
        <v>-352.78897078805494</v>
      </c>
      <c r="G1801" s="3">
        <f t="shared" si="176"/>
        <v>6.3398500028845888</v>
      </c>
      <c r="H1801" s="3">
        <f t="shared" si="177"/>
        <v>446.44912078517035</v>
      </c>
      <c r="M1801" s="1">
        <f t="shared" si="178"/>
        <v>1050</v>
      </c>
      <c r="N1801" s="38">
        <f>+M1801*'Failure Data'!F$3</f>
        <v>27.125</v>
      </c>
    </row>
    <row r="1802" spans="1:14" x14ac:dyDescent="0.15">
      <c r="A1802" s="1">
        <v>1793</v>
      </c>
      <c r="B1802" s="3">
        <f t="shared" si="173"/>
        <v>453.0398742734269</v>
      </c>
      <c r="C1802" s="8"/>
      <c r="D1802" s="3">
        <f t="shared" si="174"/>
        <v>446.70002427054237</v>
      </c>
      <c r="F1802" s="3">
        <f t="shared" si="175"/>
        <v>-353.0398742734269</v>
      </c>
      <c r="G1802" s="3">
        <f t="shared" si="176"/>
        <v>6.3398500028845319</v>
      </c>
      <c r="H1802" s="3">
        <f t="shared" si="177"/>
        <v>446.70002427054237</v>
      </c>
      <c r="M1802" s="1">
        <f t="shared" si="178"/>
        <v>1051</v>
      </c>
      <c r="N1802" s="38">
        <f>+M1802*'Failure Data'!F$3</f>
        <v>27.150833333333335</v>
      </c>
    </row>
    <row r="1803" spans="1:14" x14ac:dyDescent="0.15">
      <c r="A1803" s="1">
        <v>1794</v>
      </c>
      <c r="B1803" s="3">
        <f t="shared" si="173"/>
        <v>453.29077775879892</v>
      </c>
      <c r="C1803" s="8"/>
      <c r="D1803" s="3">
        <f t="shared" si="174"/>
        <v>446.95092775591439</v>
      </c>
      <c r="F1803" s="3">
        <f t="shared" si="175"/>
        <v>-353.29077775879892</v>
      </c>
      <c r="G1803" s="3">
        <f t="shared" si="176"/>
        <v>6.3398500028845319</v>
      </c>
      <c r="H1803" s="3">
        <f t="shared" si="177"/>
        <v>446.95092775591439</v>
      </c>
      <c r="M1803" s="1">
        <f t="shared" si="178"/>
        <v>1052</v>
      </c>
      <c r="N1803" s="38">
        <f>+M1803*'Failure Data'!F$3</f>
        <v>27.176666666666666</v>
      </c>
    </row>
    <row r="1804" spans="1:14" x14ac:dyDescent="0.15">
      <c r="A1804" s="1">
        <v>1795</v>
      </c>
      <c r="B1804" s="3">
        <f t="shared" si="173"/>
        <v>453.54168124417089</v>
      </c>
      <c r="C1804" s="8"/>
      <c r="D1804" s="3">
        <f t="shared" si="174"/>
        <v>447.20183124128636</v>
      </c>
      <c r="F1804" s="3">
        <f t="shared" si="175"/>
        <v>-353.54168124417089</v>
      </c>
      <c r="G1804" s="3">
        <f t="shared" si="176"/>
        <v>6.3398500028845319</v>
      </c>
      <c r="H1804" s="3">
        <f t="shared" si="177"/>
        <v>447.20183124128636</v>
      </c>
      <c r="M1804" s="1">
        <f t="shared" si="178"/>
        <v>1053</v>
      </c>
      <c r="N1804" s="38">
        <f>+M1804*'Failure Data'!F$3</f>
        <v>27.202500000000001</v>
      </c>
    </row>
    <row r="1805" spans="1:14" x14ac:dyDescent="0.15">
      <c r="A1805" s="1">
        <v>1796</v>
      </c>
      <c r="B1805" s="3">
        <f t="shared" si="173"/>
        <v>453.79258472954291</v>
      </c>
      <c r="C1805" s="8"/>
      <c r="D1805" s="3">
        <f t="shared" si="174"/>
        <v>447.45273472665838</v>
      </c>
      <c r="F1805" s="3">
        <f t="shared" si="175"/>
        <v>-353.79258472954291</v>
      </c>
      <c r="G1805" s="3">
        <f t="shared" si="176"/>
        <v>6.3398500028845319</v>
      </c>
      <c r="H1805" s="3">
        <f t="shared" si="177"/>
        <v>447.45273472665838</v>
      </c>
      <c r="M1805" s="1">
        <f t="shared" si="178"/>
        <v>1054</v>
      </c>
      <c r="N1805" s="38">
        <f>+M1805*'Failure Data'!F$3</f>
        <v>27.228333333333332</v>
      </c>
    </row>
    <row r="1806" spans="1:14" x14ac:dyDescent="0.15">
      <c r="A1806" s="1">
        <v>1797</v>
      </c>
      <c r="B1806" s="3">
        <f t="shared" si="173"/>
        <v>454.04348821491487</v>
      </c>
      <c r="C1806" s="8"/>
      <c r="D1806" s="3">
        <f t="shared" si="174"/>
        <v>447.70363821203034</v>
      </c>
      <c r="F1806" s="3">
        <f t="shared" si="175"/>
        <v>-354.04348821491487</v>
      </c>
      <c r="G1806" s="3">
        <f t="shared" si="176"/>
        <v>6.3398500028845319</v>
      </c>
      <c r="H1806" s="3">
        <f t="shared" si="177"/>
        <v>447.70363821203034</v>
      </c>
      <c r="M1806" s="1">
        <f t="shared" si="178"/>
        <v>1055</v>
      </c>
      <c r="N1806" s="38">
        <f>+M1806*'Failure Data'!F$3</f>
        <v>27.254166666666666</v>
      </c>
    </row>
    <row r="1807" spans="1:14" x14ac:dyDescent="0.15">
      <c r="A1807" s="1">
        <v>1798</v>
      </c>
      <c r="B1807" s="3">
        <f t="shared" si="173"/>
        <v>454.29439170028689</v>
      </c>
      <c r="C1807" s="8"/>
      <c r="D1807" s="3">
        <f t="shared" si="174"/>
        <v>447.95454169740236</v>
      </c>
      <c r="F1807" s="3">
        <f t="shared" si="175"/>
        <v>-354.29439170028689</v>
      </c>
      <c r="G1807" s="3">
        <f t="shared" si="176"/>
        <v>6.3398500028845319</v>
      </c>
      <c r="H1807" s="3">
        <f t="shared" si="177"/>
        <v>447.95454169740236</v>
      </c>
      <c r="M1807" s="1">
        <f t="shared" si="178"/>
        <v>1056</v>
      </c>
      <c r="N1807" s="38">
        <f>+M1807*'Failure Data'!F$3</f>
        <v>27.28</v>
      </c>
    </row>
    <row r="1808" spans="1:14" x14ac:dyDescent="0.15">
      <c r="A1808" s="1">
        <v>1799</v>
      </c>
      <c r="B1808" s="3">
        <f t="shared" si="173"/>
        <v>454.54529518565886</v>
      </c>
      <c r="C1808" s="8"/>
      <c r="D1808" s="3">
        <f t="shared" si="174"/>
        <v>448.20544518277433</v>
      </c>
      <c r="F1808" s="3">
        <f t="shared" si="175"/>
        <v>-354.54529518565886</v>
      </c>
      <c r="G1808" s="3">
        <f t="shared" si="176"/>
        <v>6.3398500028845319</v>
      </c>
      <c r="H1808" s="3">
        <f t="shared" si="177"/>
        <v>448.20544518277433</v>
      </c>
      <c r="M1808" s="1">
        <f t="shared" si="178"/>
        <v>1057</v>
      </c>
      <c r="N1808" s="38">
        <f>+M1808*'Failure Data'!F$3</f>
        <v>27.305833333333332</v>
      </c>
    </row>
    <row r="1809" spans="1:14" x14ac:dyDescent="0.15">
      <c r="A1809" s="1">
        <v>1800</v>
      </c>
      <c r="B1809" s="3">
        <f t="shared" si="173"/>
        <v>454.79619867103088</v>
      </c>
      <c r="C1809" s="8"/>
      <c r="D1809" s="3">
        <f t="shared" si="174"/>
        <v>448.45634866814635</v>
      </c>
      <c r="F1809" s="3">
        <f t="shared" si="175"/>
        <v>-354.79619867103088</v>
      </c>
      <c r="G1809" s="3">
        <f t="shared" si="176"/>
        <v>6.3398500028845319</v>
      </c>
      <c r="H1809" s="3">
        <f t="shared" si="177"/>
        <v>448.45634866814635</v>
      </c>
      <c r="M1809" s="1">
        <f t="shared" si="178"/>
        <v>1058</v>
      </c>
      <c r="N1809" s="38">
        <f>+M1809*'Failure Data'!F$3</f>
        <v>27.331666666666667</v>
      </c>
    </row>
    <row r="1810" spans="1:14" x14ac:dyDescent="0.15">
      <c r="A1810" s="1">
        <v>1801</v>
      </c>
      <c r="B1810" s="3">
        <f t="shared" si="173"/>
        <v>455.04710215640284</v>
      </c>
      <c r="C1810" s="8"/>
      <c r="D1810" s="3">
        <f t="shared" si="174"/>
        <v>448.70725215351831</v>
      </c>
      <c r="F1810" s="3">
        <f t="shared" si="175"/>
        <v>-355.04710215640284</v>
      </c>
      <c r="G1810" s="3">
        <f t="shared" si="176"/>
        <v>6.3398500028845319</v>
      </c>
      <c r="H1810" s="3">
        <f t="shared" si="177"/>
        <v>448.70725215351831</v>
      </c>
      <c r="M1810" s="1">
        <f t="shared" si="178"/>
        <v>1059</v>
      </c>
      <c r="N1810" s="38">
        <f>+M1810*'Failure Data'!F$3</f>
        <v>27.357499999999998</v>
      </c>
    </row>
    <row r="1811" spans="1:14" x14ac:dyDescent="0.15">
      <c r="A1811" s="1">
        <v>1802</v>
      </c>
      <c r="B1811" s="3">
        <f t="shared" si="173"/>
        <v>455.29800564177486</v>
      </c>
      <c r="C1811" s="8"/>
      <c r="D1811" s="3">
        <f t="shared" si="174"/>
        <v>448.95815563889033</v>
      </c>
      <c r="F1811" s="3">
        <f t="shared" si="175"/>
        <v>-355.29800564177486</v>
      </c>
      <c r="G1811" s="3">
        <f t="shared" si="176"/>
        <v>6.3398500028845319</v>
      </c>
      <c r="H1811" s="3">
        <f t="shared" si="177"/>
        <v>448.95815563889033</v>
      </c>
      <c r="M1811" s="1">
        <f t="shared" si="178"/>
        <v>1060</v>
      </c>
      <c r="N1811" s="38">
        <f>+M1811*'Failure Data'!F$3</f>
        <v>27.383333333333333</v>
      </c>
    </row>
    <row r="1812" spans="1:14" x14ac:dyDescent="0.15">
      <c r="A1812" s="1">
        <v>1803</v>
      </c>
      <c r="B1812" s="3">
        <f t="shared" si="173"/>
        <v>455.54890912714683</v>
      </c>
      <c r="C1812" s="8"/>
      <c r="D1812" s="3">
        <f t="shared" si="174"/>
        <v>449.2090591242623</v>
      </c>
      <c r="F1812" s="3">
        <f t="shared" si="175"/>
        <v>-355.54890912714683</v>
      </c>
      <c r="G1812" s="3">
        <f t="shared" si="176"/>
        <v>6.3398500028845319</v>
      </c>
      <c r="H1812" s="3">
        <f t="shared" si="177"/>
        <v>449.2090591242623</v>
      </c>
      <c r="M1812" s="1">
        <f t="shared" si="178"/>
        <v>1061</v>
      </c>
      <c r="N1812" s="38">
        <f>+M1812*'Failure Data'!F$3</f>
        <v>27.409166666666668</v>
      </c>
    </row>
    <row r="1813" spans="1:14" x14ac:dyDescent="0.15">
      <c r="A1813" s="1">
        <v>1804</v>
      </c>
      <c r="B1813" s="3">
        <f t="shared" si="173"/>
        <v>455.79981261251885</v>
      </c>
      <c r="C1813" s="8"/>
      <c r="D1813" s="3">
        <f t="shared" si="174"/>
        <v>449.45996260963432</v>
      </c>
      <c r="F1813" s="3">
        <f t="shared" si="175"/>
        <v>-355.79981261251885</v>
      </c>
      <c r="G1813" s="3">
        <f t="shared" si="176"/>
        <v>6.3398500028845319</v>
      </c>
      <c r="H1813" s="3">
        <f t="shared" si="177"/>
        <v>449.45996260963432</v>
      </c>
      <c r="M1813" s="1">
        <f t="shared" si="178"/>
        <v>1062</v>
      </c>
      <c r="N1813" s="38">
        <f>+M1813*'Failure Data'!F$3</f>
        <v>27.434999999999999</v>
      </c>
    </row>
    <row r="1814" spans="1:14" x14ac:dyDescent="0.15">
      <c r="A1814" s="1">
        <v>1805</v>
      </c>
      <c r="B1814" s="3">
        <f t="shared" si="173"/>
        <v>456.05071609789087</v>
      </c>
      <c r="C1814" s="8"/>
      <c r="D1814" s="3">
        <f t="shared" si="174"/>
        <v>449.71086609500628</v>
      </c>
      <c r="F1814" s="3">
        <f t="shared" si="175"/>
        <v>-356.05071609789087</v>
      </c>
      <c r="G1814" s="3">
        <f t="shared" si="176"/>
        <v>6.3398500028845888</v>
      </c>
      <c r="H1814" s="3">
        <f t="shared" si="177"/>
        <v>449.71086609500628</v>
      </c>
      <c r="M1814" s="1">
        <f t="shared" si="178"/>
        <v>1063</v>
      </c>
      <c r="N1814" s="38">
        <f>+M1814*'Failure Data'!F$3</f>
        <v>27.460833333333333</v>
      </c>
    </row>
    <row r="1815" spans="1:14" x14ac:dyDescent="0.15">
      <c r="A1815" s="1">
        <v>1806</v>
      </c>
      <c r="B1815" s="3">
        <f t="shared" si="173"/>
        <v>456.30161958326283</v>
      </c>
      <c r="C1815" s="8"/>
      <c r="D1815" s="3">
        <f t="shared" si="174"/>
        <v>449.9617695803783</v>
      </c>
      <c r="F1815" s="3">
        <f t="shared" si="175"/>
        <v>-356.30161958326283</v>
      </c>
      <c r="G1815" s="3">
        <f t="shared" si="176"/>
        <v>6.3398500028845319</v>
      </c>
      <c r="H1815" s="3">
        <f t="shared" si="177"/>
        <v>449.9617695803783</v>
      </c>
      <c r="M1815" s="1">
        <f t="shared" si="178"/>
        <v>1064</v>
      </c>
      <c r="N1815" s="38">
        <f>+M1815*'Failure Data'!F$3</f>
        <v>27.486666666666668</v>
      </c>
    </row>
    <row r="1816" spans="1:14" x14ac:dyDescent="0.15">
      <c r="A1816" s="1">
        <v>1807</v>
      </c>
      <c r="B1816" s="3">
        <f t="shared" si="173"/>
        <v>456.55252306863486</v>
      </c>
      <c r="C1816" s="8"/>
      <c r="D1816" s="3">
        <f t="shared" si="174"/>
        <v>450.21267306575027</v>
      </c>
      <c r="F1816" s="3">
        <f t="shared" si="175"/>
        <v>-356.55252306863486</v>
      </c>
      <c r="G1816" s="3">
        <f t="shared" si="176"/>
        <v>6.3398500028845888</v>
      </c>
      <c r="H1816" s="3">
        <f t="shared" si="177"/>
        <v>450.21267306575027</v>
      </c>
      <c r="M1816" s="1">
        <f t="shared" si="178"/>
        <v>1065</v>
      </c>
      <c r="N1816" s="38">
        <f>+M1816*'Failure Data'!F$3</f>
        <v>27.512499999999999</v>
      </c>
    </row>
    <row r="1817" spans="1:14" x14ac:dyDescent="0.15">
      <c r="A1817" s="1">
        <v>1808</v>
      </c>
      <c r="B1817" s="3">
        <f t="shared" si="173"/>
        <v>456.80342655400682</v>
      </c>
      <c r="C1817" s="8"/>
      <c r="D1817" s="3">
        <f t="shared" si="174"/>
        <v>450.46357655112229</v>
      </c>
      <c r="F1817" s="3">
        <f t="shared" si="175"/>
        <v>-356.80342655400682</v>
      </c>
      <c r="G1817" s="3">
        <f t="shared" si="176"/>
        <v>6.3398500028845319</v>
      </c>
      <c r="H1817" s="3">
        <f t="shared" si="177"/>
        <v>450.46357655112229</v>
      </c>
      <c r="M1817" s="1">
        <f t="shared" si="178"/>
        <v>1066</v>
      </c>
      <c r="N1817" s="38">
        <f>+M1817*'Failure Data'!F$3</f>
        <v>27.538333333333334</v>
      </c>
    </row>
    <row r="1818" spans="1:14" x14ac:dyDescent="0.15">
      <c r="A1818" s="1">
        <v>1809</v>
      </c>
      <c r="B1818" s="3">
        <f t="shared" si="173"/>
        <v>457.05433003937884</v>
      </c>
      <c r="C1818" s="8"/>
      <c r="D1818" s="3">
        <f t="shared" si="174"/>
        <v>450.71448003649425</v>
      </c>
      <c r="F1818" s="3">
        <f t="shared" si="175"/>
        <v>-357.05433003937884</v>
      </c>
      <c r="G1818" s="3">
        <f t="shared" si="176"/>
        <v>6.3398500028845888</v>
      </c>
      <c r="H1818" s="3">
        <f t="shared" si="177"/>
        <v>450.71448003649425</v>
      </c>
      <c r="M1818" s="1">
        <f t="shared" si="178"/>
        <v>1067</v>
      </c>
      <c r="N1818" s="38">
        <f>+M1818*'Failure Data'!F$3</f>
        <v>27.564166666666665</v>
      </c>
    </row>
    <row r="1819" spans="1:14" x14ac:dyDescent="0.15">
      <c r="A1819" s="1">
        <v>1810</v>
      </c>
      <c r="B1819" s="3">
        <f t="shared" si="173"/>
        <v>457.3052335247508</v>
      </c>
      <c r="C1819" s="8"/>
      <c r="D1819" s="3">
        <f t="shared" si="174"/>
        <v>450.96538352186627</v>
      </c>
      <c r="F1819" s="3">
        <f t="shared" si="175"/>
        <v>-357.3052335247508</v>
      </c>
      <c r="G1819" s="3">
        <f t="shared" si="176"/>
        <v>6.3398500028845319</v>
      </c>
      <c r="H1819" s="3">
        <f t="shared" si="177"/>
        <v>450.96538352186627</v>
      </c>
      <c r="M1819" s="1">
        <f t="shared" si="178"/>
        <v>1068</v>
      </c>
      <c r="N1819" s="38">
        <f>+M1819*'Failure Data'!F$3</f>
        <v>27.59</v>
      </c>
    </row>
    <row r="1820" spans="1:14" x14ac:dyDescent="0.15">
      <c r="A1820" s="1">
        <v>1811</v>
      </c>
      <c r="B1820" s="3">
        <f t="shared" si="173"/>
        <v>457.55613701012282</v>
      </c>
      <c r="C1820" s="8"/>
      <c r="D1820" s="3">
        <f t="shared" si="174"/>
        <v>451.21628700723824</v>
      </c>
      <c r="F1820" s="3">
        <f t="shared" si="175"/>
        <v>-357.55613701012282</v>
      </c>
      <c r="G1820" s="3">
        <f t="shared" si="176"/>
        <v>6.3398500028845888</v>
      </c>
      <c r="H1820" s="3">
        <f t="shared" si="177"/>
        <v>451.21628700723824</v>
      </c>
      <c r="M1820" s="1">
        <f t="shared" si="178"/>
        <v>1069</v>
      </c>
      <c r="N1820" s="38">
        <f>+M1820*'Failure Data'!F$3</f>
        <v>27.615833333333335</v>
      </c>
    </row>
    <row r="1821" spans="1:14" x14ac:dyDescent="0.15">
      <c r="A1821" s="1">
        <v>1812</v>
      </c>
      <c r="B1821" s="3">
        <f t="shared" si="173"/>
        <v>457.80704049549479</v>
      </c>
      <c r="C1821" s="8"/>
      <c r="D1821" s="3">
        <f t="shared" si="174"/>
        <v>451.46719049261026</v>
      </c>
      <c r="F1821" s="3">
        <f t="shared" si="175"/>
        <v>-357.80704049549479</v>
      </c>
      <c r="G1821" s="3">
        <f t="shared" si="176"/>
        <v>6.3398500028845319</v>
      </c>
      <c r="H1821" s="3">
        <f t="shared" si="177"/>
        <v>451.46719049261026</v>
      </c>
      <c r="M1821" s="1">
        <f t="shared" si="178"/>
        <v>1070</v>
      </c>
      <c r="N1821" s="38">
        <f>+M1821*'Failure Data'!F$3</f>
        <v>27.641666666666666</v>
      </c>
    </row>
    <row r="1822" spans="1:14" x14ac:dyDescent="0.15">
      <c r="A1822" s="1">
        <v>1813</v>
      </c>
      <c r="B1822" s="3">
        <f t="shared" si="173"/>
        <v>458.05794398086681</v>
      </c>
      <c r="C1822" s="8"/>
      <c r="D1822" s="3">
        <f t="shared" si="174"/>
        <v>451.71809397798222</v>
      </c>
      <c r="F1822" s="3">
        <f t="shared" si="175"/>
        <v>-358.05794398086681</v>
      </c>
      <c r="G1822" s="3">
        <f t="shared" si="176"/>
        <v>6.3398500028845888</v>
      </c>
      <c r="H1822" s="3">
        <f t="shared" si="177"/>
        <v>451.71809397798222</v>
      </c>
      <c r="M1822" s="1">
        <f t="shared" si="178"/>
        <v>1071</v>
      </c>
      <c r="N1822" s="38">
        <f>+M1822*'Failure Data'!F$3</f>
        <v>27.6675</v>
      </c>
    </row>
    <row r="1823" spans="1:14" x14ac:dyDescent="0.15">
      <c r="A1823" s="1">
        <v>1814</v>
      </c>
      <c r="B1823" s="3">
        <f t="shared" ref="B1823:B1886" si="179">+(B$4*A1823)+B$5</f>
        <v>458.30884746623877</v>
      </c>
      <c r="C1823" s="8"/>
      <c r="D1823" s="3">
        <f t="shared" ref="D1823:D1886" si="180">+(D$4*A1823)+D$5</f>
        <v>451.96899746335424</v>
      </c>
      <c r="F1823" s="3">
        <f t="shared" ref="F1823:F1886" si="181">+xmax-B1823</f>
        <v>-358.30884746623877</v>
      </c>
      <c r="G1823" s="3">
        <f t="shared" ref="G1823:G1886" si="182">+B1823-D1823</f>
        <v>6.3398500028845319</v>
      </c>
      <c r="H1823" s="3">
        <f t="shared" ref="H1823:H1886" si="183">D1823</f>
        <v>451.96899746335424</v>
      </c>
      <c r="M1823" s="1">
        <f t="shared" si="178"/>
        <v>1072</v>
      </c>
      <c r="N1823" s="38">
        <f>+M1823*'Failure Data'!F$3</f>
        <v>27.693333333333332</v>
      </c>
    </row>
    <row r="1824" spans="1:14" x14ac:dyDescent="0.15">
      <c r="A1824" s="1">
        <v>1815</v>
      </c>
      <c r="B1824" s="3">
        <f t="shared" si="179"/>
        <v>458.55975095161079</v>
      </c>
      <c r="C1824" s="8"/>
      <c r="D1824" s="3">
        <f t="shared" si="180"/>
        <v>452.21990094872621</v>
      </c>
      <c r="F1824" s="3">
        <f t="shared" si="181"/>
        <v>-358.55975095161079</v>
      </c>
      <c r="G1824" s="3">
        <f t="shared" si="182"/>
        <v>6.3398500028845888</v>
      </c>
      <c r="H1824" s="3">
        <f t="shared" si="183"/>
        <v>452.21990094872621</v>
      </c>
      <c r="M1824" s="1">
        <f t="shared" si="178"/>
        <v>1073</v>
      </c>
      <c r="N1824" s="38">
        <f>+M1824*'Failure Data'!F$3</f>
        <v>27.719166666666666</v>
      </c>
    </row>
    <row r="1825" spans="1:14" x14ac:dyDescent="0.15">
      <c r="A1825" s="1">
        <v>1816</v>
      </c>
      <c r="B1825" s="3">
        <f t="shared" si="179"/>
        <v>458.81065443698276</v>
      </c>
      <c r="C1825" s="8"/>
      <c r="D1825" s="3">
        <f t="shared" si="180"/>
        <v>452.47080443409823</v>
      </c>
      <c r="F1825" s="3">
        <f t="shared" si="181"/>
        <v>-358.81065443698276</v>
      </c>
      <c r="G1825" s="3">
        <f t="shared" si="182"/>
        <v>6.3398500028845319</v>
      </c>
      <c r="H1825" s="3">
        <f t="shared" si="183"/>
        <v>452.47080443409823</v>
      </c>
      <c r="M1825" s="1">
        <f t="shared" si="178"/>
        <v>1074</v>
      </c>
      <c r="N1825" s="38">
        <f>+M1825*'Failure Data'!F$3</f>
        <v>27.745000000000001</v>
      </c>
    </row>
    <row r="1826" spans="1:14" x14ac:dyDescent="0.15">
      <c r="A1826" s="1">
        <v>1817</v>
      </c>
      <c r="B1826" s="3">
        <f t="shared" si="179"/>
        <v>459.06155792235478</v>
      </c>
      <c r="C1826" s="8"/>
      <c r="D1826" s="3">
        <f t="shared" si="180"/>
        <v>452.72170791947025</v>
      </c>
      <c r="F1826" s="3">
        <f t="shared" si="181"/>
        <v>-359.06155792235478</v>
      </c>
      <c r="G1826" s="3">
        <f t="shared" si="182"/>
        <v>6.3398500028845319</v>
      </c>
      <c r="H1826" s="3">
        <f t="shared" si="183"/>
        <v>452.72170791947025</v>
      </c>
      <c r="M1826" s="1">
        <f t="shared" si="178"/>
        <v>1075</v>
      </c>
      <c r="N1826" s="38">
        <f>+M1826*'Failure Data'!F$3</f>
        <v>27.770833333333332</v>
      </c>
    </row>
    <row r="1827" spans="1:14" x14ac:dyDescent="0.15">
      <c r="A1827" s="1">
        <v>1818</v>
      </c>
      <c r="B1827" s="3">
        <f t="shared" si="179"/>
        <v>459.31246140772674</v>
      </c>
      <c r="C1827" s="8"/>
      <c r="D1827" s="3">
        <f t="shared" si="180"/>
        <v>452.97261140484221</v>
      </c>
      <c r="F1827" s="3">
        <f t="shared" si="181"/>
        <v>-359.31246140772674</v>
      </c>
      <c r="G1827" s="3">
        <f t="shared" si="182"/>
        <v>6.3398500028845319</v>
      </c>
      <c r="H1827" s="3">
        <f t="shared" si="183"/>
        <v>452.97261140484221</v>
      </c>
      <c r="M1827" s="1">
        <f t="shared" si="178"/>
        <v>1076</v>
      </c>
      <c r="N1827" s="38">
        <f>+M1827*'Failure Data'!F$3</f>
        <v>27.796666666666667</v>
      </c>
    </row>
    <row r="1828" spans="1:14" x14ac:dyDescent="0.15">
      <c r="A1828" s="1">
        <v>1819</v>
      </c>
      <c r="B1828" s="3">
        <f t="shared" si="179"/>
        <v>459.56336489309876</v>
      </c>
      <c r="C1828" s="8"/>
      <c r="D1828" s="3">
        <f t="shared" si="180"/>
        <v>453.22351489021423</v>
      </c>
      <c r="F1828" s="3">
        <f t="shared" si="181"/>
        <v>-359.56336489309876</v>
      </c>
      <c r="G1828" s="3">
        <f t="shared" si="182"/>
        <v>6.3398500028845319</v>
      </c>
      <c r="H1828" s="3">
        <f t="shared" si="183"/>
        <v>453.22351489021423</v>
      </c>
      <c r="M1828" s="1">
        <f t="shared" si="178"/>
        <v>1077</v>
      </c>
      <c r="N1828" s="38">
        <f>+M1828*'Failure Data'!F$3</f>
        <v>27.822500000000002</v>
      </c>
    </row>
    <row r="1829" spans="1:14" x14ac:dyDescent="0.15">
      <c r="A1829" s="1">
        <v>1820</v>
      </c>
      <c r="B1829" s="3">
        <f t="shared" si="179"/>
        <v>459.81426837847073</v>
      </c>
      <c r="C1829" s="8"/>
      <c r="D1829" s="3">
        <f t="shared" si="180"/>
        <v>453.4744183755862</v>
      </c>
      <c r="F1829" s="3">
        <f t="shared" si="181"/>
        <v>-359.81426837847073</v>
      </c>
      <c r="G1829" s="3">
        <f t="shared" si="182"/>
        <v>6.3398500028845319</v>
      </c>
      <c r="H1829" s="3">
        <f t="shared" si="183"/>
        <v>453.4744183755862</v>
      </c>
      <c r="M1829" s="1">
        <f t="shared" si="178"/>
        <v>1078</v>
      </c>
      <c r="N1829" s="38">
        <f>+M1829*'Failure Data'!F$3</f>
        <v>27.848333333333333</v>
      </c>
    </row>
    <row r="1830" spans="1:14" x14ac:dyDescent="0.15">
      <c r="A1830" s="1">
        <v>1821</v>
      </c>
      <c r="B1830" s="3">
        <f t="shared" si="179"/>
        <v>460.06517186384275</v>
      </c>
      <c r="C1830" s="8"/>
      <c r="D1830" s="3">
        <f t="shared" si="180"/>
        <v>453.72532186095822</v>
      </c>
      <c r="F1830" s="3">
        <f t="shared" si="181"/>
        <v>-360.06517186384275</v>
      </c>
      <c r="G1830" s="3">
        <f t="shared" si="182"/>
        <v>6.3398500028845319</v>
      </c>
      <c r="H1830" s="3">
        <f t="shared" si="183"/>
        <v>453.72532186095822</v>
      </c>
      <c r="M1830" s="1">
        <f t="shared" si="178"/>
        <v>1079</v>
      </c>
      <c r="N1830" s="38">
        <f>+M1830*'Failure Data'!F$3</f>
        <v>27.874166666666667</v>
      </c>
    </row>
    <row r="1831" spans="1:14" x14ac:dyDescent="0.15">
      <c r="A1831" s="1">
        <v>1822</v>
      </c>
      <c r="B1831" s="3">
        <f t="shared" si="179"/>
        <v>460.31607534921471</v>
      </c>
      <c r="C1831" s="8"/>
      <c r="D1831" s="3">
        <f t="shared" si="180"/>
        <v>453.97622534633018</v>
      </c>
      <c r="F1831" s="3">
        <f t="shared" si="181"/>
        <v>-360.31607534921471</v>
      </c>
      <c r="G1831" s="3">
        <f t="shared" si="182"/>
        <v>6.3398500028845319</v>
      </c>
      <c r="H1831" s="3">
        <f t="shared" si="183"/>
        <v>453.97622534633018</v>
      </c>
      <c r="M1831" s="1">
        <f t="shared" si="178"/>
        <v>1080</v>
      </c>
      <c r="N1831" s="38">
        <f>+M1831*'Failure Data'!F$3</f>
        <v>27.9</v>
      </c>
    </row>
    <row r="1832" spans="1:14" x14ac:dyDescent="0.15">
      <c r="A1832" s="1">
        <v>1823</v>
      </c>
      <c r="B1832" s="3">
        <f t="shared" si="179"/>
        <v>460.56697883458673</v>
      </c>
      <c r="C1832" s="8"/>
      <c r="D1832" s="3">
        <f t="shared" si="180"/>
        <v>454.2271288317022</v>
      </c>
      <c r="F1832" s="3">
        <f t="shared" si="181"/>
        <v>-360.56697883458673</v>
      </c>
      <c r="G1832" s="3">
        <f t="shared" si="182"/>
        <v>6.3398500028845319</v>
      </c>
      <c r="H1832" s="3">
        <f t="shared" si="183"/>
        <v>454.2271288317022</v>
      </c>
      <c r="M1832" s="1">
        <f t="shared" si="178"/>
        <v>1081</v>
      </c>
      <c r="N1832" s="38">
        <f>+M1832*'Failure Data'!F$3</f>
        <v>27.925833333333333</v>
      </c>
    </row>
    <row r="1833" spans="1:14" x14ac:dyDescent="0.15">
      <c r="A1833" s="1">
        <v>1824</v>
      </c>
      <c r="B1833" s="3">
        <f t="shared" si="179"/>
        <v>460.8178823199587</v>
      </c>
      <c r="C1833" s="8"/>
      <c r="D1833" s="3">
        <f t="shared" si="180"/>
        <v>454.47803231707417</v>
      </c>
      <c r="F1833" s="3">
        <f t="shared" si="181"/>
        <v>-360.8178823199587</v>
      </c>
      <c r="G1833" s="3">
        <f t="shared" si="182"/>
        <v>6.3398500028845319</v>
      </c>
      <c r="H1833" s="3">
        <f t="shared" si="183"/>
        <v>454.47803231707417</v>
      </c>
      <c r="M1833" s="1">
        <f t="shared" si="178"/>
        <v>1082</v>
      </c>
      <c r="N1833" s="38">
        <f>+M1833*'Failure Data'!F$3</f>
        <v>27.951666666666668</v>
      </c>
    </row>
    <row r="1834" spans="1:14" x14ac:dyDescent="0.15">
      <c r="A1834" s="1">
        <v>1825</v>
      </c>
      <c r="B1834" s="3">
        <f t="shared" si="179"/>
        <v>461.06878580533072</v>
      </c>
      <c r="C1834" s="8"/>
      <c r="D1834" s="3">
        <f t="shared" si="180"/>
        <v>454.72893580244619</v>
      </c>
      <c r="F1834" s="3">
        <f t="shared" si="181"/>
        <v>-361.06878580533072</v>
      </c>
      <c r="G1834" s="3">
        <f t="shared" si="182"/>
        <v>6.3398500028845319</v>
      </c>
      <c r="H1834" s="3">
        <f t="shared" si="183"/>
        <v>454.72893580244619</v>
      </c>
      <c r="M1834" s="1">
        <f t="shared" si="178"/>
        <v>1083</v>
      </c>
      <c r="N1834" s="38">
        <f>+M1834*'Failure Data'!F$3</f>
        <v>27.977499999999999</v>
      </c>
    </row>
    <row r="1835" spans="1:14" x14ac:dyDescent="0.15">
      <c r="A1835" s="1">
        <v>1826</v>
      </c>
      <c r="B1835" s="3">
        <f t="shared" si="179"/>
        <v>461.31968929070268</v>
      </c>
      <c r="C1835" s="8"/>
      <c r="D1835" s="3">
        <f t="shared" si="180"/>
        <v>454.97983928781815</v>
      </c>
      <c r="F1835" s="3">
        <f t="shared" si="181"/>
        <v>-361.31968929070268</v>
      </c>
      <c r="G1835" s="3">
        <f t="shared" si="182"/>
        <v>6.3398500028845319</v>
      </c>
      <c r="H1835" s="3">
        <f t="shared" si="183"/>
        <v>454.97983928781815</v>
      </c>
      <c r="M1835" s="1">
        <f t="shared" si="178"/>
        <v>1084</v>
      </c>
      <c r="N1835" s="38">
        <f>+M1835*'Failure Data'!F$3</f>
        <v>28.003333333333334</v>
      </c>
    </row>
    <row r="1836" spans="1:14" x14ac:dyDescent="0.15">
      <c r="A1836" s="1">
        <v>1827</v>
      </c>
      <c r="B1836" s="3">
        <f t="shared" si="179"/>
        <v>461.5705927760747</v>
      </c>
      <c r="C1836" s="8"/>
      <c r="D1836" s="3">
        <f t="shared" si="180"/>
        <v>455.23074277319017</v>
      </c>
      <c r="F1836" s="3">
        <f t="shared" si="181"/>
        <v>-361.5705927760747</v>
      </c>
      <c r="G1836" s="3">
        <f t="shared" si="182"/>
        <v>6.3398500028845319</v>
      </c>
      <c r="H1836" s="3">
        <f t="shared" si="183"/>
        <v>455.23074277319017</v>
      </c>
      <c r="M1836" s="1">
        <f t="shared" si="178"/>
        <v>1085</v>
      </c>
      <c r="N1836" s="38">
        <f>+M1836*'Failure Data'!F$3</f>
        <v>28.029166666666665</v>
      </c>
    </row>
    <row r="1837" spans="1:14" x14ac:dyDescent="0.15">
      <c r="A1837" s="1">
        <v>1828</v>
      </c>
      <c r="B1837" s="3">
        <f t="shared" si="179"/>
        <v>461.82149626144667</v>
      </c>
      <c r="C1837" s="8"/>
      <c r="D1837" s="3">
        <f t="shared" si="180"/>
        <v>455.48164625856214</v>
      </c>
      <c r="F1837" s="3">
        <f t="shared" si="181"/>
        <v>-361.82149626144667</v>
      </c>
      <c r="G1837" s="3">
        <f t="shared" si="182"/>
        <v>6.3398500028845319</v>
      </c>
      <c r="H1837" s="3">
        <f t="shared" si="183"/>
        <v>455.48164625856214</v>
      </c>
      <c r="M1837" s="1">
        <f t="shared" si="178"/>
        <v>1086</v>
      </c>
      <c r="N1837" s="38">
        <f>+M1837*'Failure Data'!F$3</f>
        <v>28.055</v>
      </c>
    </row>
    <row r="1838" spans="1:14" x14ac:dyDescent="0.15">
      <c r="A1838" s="1">
        <v>1829</v>
      </c>
      <c r="B1838" s="3">
        <f t="shared" si="179"/>
        <v>462.07239974681869</v>
      </c>
      <c r="C1838" s="8"/>
      <c r="D1838" s="3">
        <f t="shared" si="180"/>
        <v>455.73254974393416</v>
      </c>
      <c r="F1838" s="3">
        <f t="shared" si="181"/>
        <v>-362.07239974681869</v>
      </c>
      <c r="G1838" s="3">
        <f t="shared" si="182"/>
        <v>6.3398500028845319</v>
      </c>
      <c r="H1838" s="3">
        <f t="shared" si="183"/>
        <v>455.73254974393416</v>
      </c>
      <c r="M1838" s="1">
        <f t="shared" si="178"/>
        <v>1087</v>
      </c>
      <c r="N1838" s="38">
        <f>+M1838*'Failure Data'!F$3</f>
        <v>28.080833333333334</v>
      </c>
    </row>
    <row r="1839" spans="1:14" x14ac:dyDescent="0.15">
      <c r="A1839" s="1">
        <v>1830</v>
      </c>
      <c r="B1839" s="3">
        <f t="shared" si="179"/>
        <v>462.32330323219071</v>
      </c>
      <c r="C1839" s="8"/>
      <c r="D1839" s="3">
        <f t="shared" si="180"/>
        <v>455.98345322930612</v>
      </c>
      <c r="F1839" s="3">
        <f t="shared" si="181"/>
        <v>-362.32330323219071</v>
      </c>
      <c r="G1839" s="3">
        <f t="shared" si="182"/>
        <v>6.3398500028845888</v>
      </c>
      <c r="H1839" s="3">
        <f t="shared" si="183"/>
        <v>455.98345322930612</v>
      </c>
      <c r="M1839" s="1">
        <f t="shared" si="178"/>
        <v>1088</v>
      </c>
      <c r="N1839" s="38">
        <f>+M1839*'Failure Data'!F$3</f>
        <v>28.106666666666666</v>
      </c>
    </row>
    <row r="1840" spans="1:14" x14ac:dyDescent="0.15">
      <c r="A1840" s="1">
        <v>1831</v>
      </c>
      <c r="B1840" s="3">
        <f t="shared" si="179"/>
        <v>462.57420671756267</v>
      </c>
      <c r="C1840" s="8"/>
      <c r="D1840" s="3">
        <f t="shared" si="180"/>
        <v>456.23435671467814</v>
      </c>
      <c r="F1840" s="3">
        <f t="shared" si="181"/>
        <v>-362.57420671756267</v>
      </c>
      <c r="G1840" s="3">
        <f t="shared" si="182"/>
        <v>6.3398500028845319</v>
      </c>
      <c r="H1840" s="3">
        <f t="shared" si="183"/>
        <v>456.23435671467814</v>
      </c>
      <c r="M1840" s="1">
        <f t="shared" si="178"/>
        <v>1089</v>
      </c>
      <c r="N1840" s="38">
        <f>+M1840*'Failure Data'!F$3</f>
        <v>28.1325</v>
      </c>
    </row>
    <row r="1841" spans="1:14" x14ac:dyDescent="0.15">
      <c r="A1841" s="1">
        <v>1832</v>
      </c>
      <c r="B1841" s="3">
        <f t="shared" si="179"/>
        <v>462.8251102029347</v>
      </c>
      <c r="C1841" s="8"/>
      <c r="D1841" s="3">
        <f t="shared" si="180"/>
        <v>456.48526020005011</v>
      </c>
      <c r="F1841" s="3">
        <f t="shared" si="181"/>
        <v>-362.8251102029347</v>
      </c>
      <c r="G1841" s="3">
        <f t="shared" si="182"/>
        <v>6.3398500028845888</v>
      </c>
      <c r="H1841" s="3">
        <f t="shared" si="183"/>
        <v>456.48526020005011</v>
      </c>
      <c r="M1841" s="1">
        <f t="shared" si="178"/>
        <v>1090</v>
      </c>
      <c r="N1841" s="38">
        <f>+M1841*'Failure Data'!F$3</f>
        <v>28.158333333333331</v>
      </c>
    </row>
    <row r="1842" spans="1:14" x14ac:dyDescent="0.15">
      <c r="A1842" s="1">
        <v>1833</v>
      </c>
      <c r="B1842" s="3">
        <f t="shared" si="179"/>
        <v>463.07601368830666</v>
      </c>
      <c r="C1842" s="8"/>
      <c r="D1842" s="3">
        <f t="shared" si="180"/>
        <v>456.73616368542213</v>
      </c>
      <c r="F1842" s="3">
        <f t="shared" si="181"/>
        <v>-363.07601368830666</v>
      </c>
      <c r="G1842" s="3">
        <f t="shared" si="182"/>
        <v>6.3398500028845319</v>
      </c>
      <c r="H1842" s="3">
        <f t="shared" si="183"/>
        <v>456.73616368542213</v>
      </c>
      <c r="M1842" s="1">
        <f t="shared" si="178"/>
        <v>1091</v>
      </c>
      <c r="N1842" s="38">
        <f>+M1842*'Failure Data'!F$3</f>
        <v>28.184166666666666</v>
      </c>
    </row>
    <row r="1843" spans="1:14" x14ac:dyDescent="0.15">
      <c r="A1843" s="1">
        <v>1834</v>
      </c>
      <c r="B1843" s="3">
        <f t="shared" si="179"/>
        <v>463.32691717367868</v>
      </c>
      <c r="C1843" s="8"/>
      <c r="D1843" s="3">
        <f t="shared" si="180"/>
        <v>456.98706717079409</v>
      </c>
      <c r="F1843" s="3">
        <f t="shared" si="181"/>
        <v>-363.32691717367868</v>
      </c>
      <c r="G1843" s="3">
        <f t="shared" si="182"/>
        <v>6.3398500028845888</v>
      </c>
      <c r="H1843" s="3">
        <f t="shared" si="183"/>
        <v>456.98706717079409</v>
      </c>
      <c r="M1843" s="1">
        <f t="shared" si="178"/>
        <v>1092</v>
      </c>
      <c r="N1843" s="38">
        <f>+M1843*'Failure Data'!F$3</f>
        <v>28.21</v>
      </c>
    </row>
    <row r="1844" spans="1:14" x14ac:dyDescent="0.15">
      <c r="A1844" s="1">
        <v>1835</v>
      </c>
      <c r="B1844" s="3">
        <f t="shared" si="179"/>
        <v>463.57782065905064</v>
      </c>
      <c r="C1844" s="8"/>
      <c r="D1844" s="3">
        <f t="shared" si="180"/>
        <v>457.23797065616611</v>
      </c>
      <c r="F1844" s="3">
        <f t="shared" si="181"/>
        <v>-363.57782065905064</v>
      </c>
      <c r="G1844" s="3">
        <f t="shared" si="182"/>
        <v>6.3398500028845319</v>
      </c>
      <c r="H1844" s="3">
        <f t="shared" si="183"/>
        <v>457.23797065616611</v>
      </c>
      <c r="M1844" s="1">
        <f t="shared" si="178"/>
        <v>1093</v>
      </c>
      <c r="N1844" s="38">
        <f>+M1844*'Failure Data'!F$3</f>
        <v>28.235833333333332</v>
      </c>
    </row>
    <row r="1845" spans="1:14" x14ac:dyDescent="0.15">
      <c r="A1845" s="1">
        <v>1836</v>
      </c>
      <c r="B1845" s="3">
        <f t="shared" si="179"/>
        <v>463.82872414442267</v>
      </c>
      <c r="C1845" s="8"/>
      <c r="D1845" s="3">
        <f t="shared" si="180"/>
        <v>457.48887414153808</v>
      </c>
      <c r="F1845" s="3">
        <f t="shared" si="181"/>
        <v>-363.82872414442267</v>
      </c>
      <c r="G1845" s="3">
        <f t="shared" si="182"/>
        <v>6.3398500028845888</v>
      </c>
      <c r="H1845" s="3">
        <f t="shared" si="183"/>
        <v>457.48887414153808</v>
      </c>
      <c r="M1845" s="1">
        <f t="shared" si="178"/>
        <v>1094</v>
      </c>
      <c r="N1845" s="38">
        <f>+M1845*'Failure Data'!F$3</f>
        <v>28.261666666666667</v>
      </c>
    </row>
    <row r="1846" spans="1:14" x14ac:dyDescent="0.15">
      <c r="A1846" s="1">
        <v>1837</v>
      </c>
      <c r="B1846" s="3">
        <f t="shared" si="179"/>
        <v>464.07962762979463</v>
      </c>
      <c r="C1846" s="8"/>
      <c r="D1846" s="3">
        <f t="shared" si="180"/>
        <v>457.7397776269101</v>
      </c>
      <c r="F1846" s="3">
        <f t="shared" si="181"/>
        <v>-364.07962762979463</v>
      </c>
      <c r="G1846" s="3">
        <f t="shared" si="182"/>
        <v>6.3398500028845319</v>
      </c>
      <c r="H1846" s="3">
        <f t="shared" si="183"/>
        <v>457.7397776269101</v>
      </c>
      <c r="M1846" s="1">
        <f t="shared" si="178"/>
        <v>1095</v>
      </c>
      <c r="N1846" s="38">
        <f>+M1846*'Failure Data'!F$3</f>
        <v>28.287500000000001</v>
      </c>
    </row>
    <row r="1847" spans="1:14" x14ac:dyDescent="0.15">
      <c r="A1847" s="1">
        <v>1838</v>
      </c>
      <c r="B1847" s="3">
        <f t="shared" si="179"/>
        <v>464.33053111516665</v>
      </c>
      <c r="C1847" s="8"/>
      <c r="D1847" s="3">
        <f t="shared" si="180"/>
        <v>457.99068111228206</v>
      </c>
      <c r="F1847" s="3">
        <f t="shared" si="181"/>
        <v>-364.33053111516665</v>
      </c>
      <c r="G1847" s="3">
        <f t="shared" si="182"/>
        <v>6.3398500028845888</v>
      </c>
      <c r="H1847" s="3">
        <f t="shared" si="183"/>
        <v>457.99068111228206</v>
      </c>
      <c r="M1847" s="1">
        <f t="shared" si="178"/>
        <v>1096</v>
      </c>
      <c r="N1847" s="38">
        <f>+M1847*'Failure Data'!F$3</f>
        <v>28.313333333333333</v>
      </c>
    </row>
    <row r="1848" spans="1:14" x14ac:dyDescent="0.15">
      <c r="A1848" s="1">
        <v>1839</v>
      </c>
      <c r="B1848" s="3">
        <f t="shared" si="179"/>
        <v>464.58143460053861</v>
      </c>
      <c r="C1848" s="8"/>
      <c r="D1848" s="3">
        <f t="shared" si="180"/>
        <v>458.24158459765408</v>
      </c>
      <c r="F1848" s="3">
        <f t="shared" si="181"/>
        <v>-364.58143460053861</v>
      </c>
      <c r="G1848" s="3">
        <f t="shared" si="182"/>
        <v>6.3398500028845319</v>
      </c>
      <c r="H1848" s="3">
        <f t="shared" si="183"/>
        <v>458.24158459765408</v>
      </c>
      <c r="M1848" s="1">
        <f t="shared" si="178"/>
        <v>1097</v>
      </c>
      <c r="N1848" s="38">
        <f>+M1848*'Failure Data'!F$3</f>
        <v>28.339166666666667</v>
      </c>
    </row>
    <row r="1849" spans="1:14" x14ac:dyDescent="0.15">
      <c r="A1849" s="1">
        <v>1840</v>
      </c>
      <c r="B1849" s="3">
        <f t="shared" si="179"/>
        <v>464.83233808591064</v>
      </c>
      <c r="C1849" s="8"/>
      <c r="D1849" s="3">
        <f t="shared" si="180"/>
        <v>458.4924880830261</v>
      </c>
      <c r="F1849" s="3">
        <f t="shared" si="181"/>
        <v>-364.83233808591064</v>
      </c>
      <c r="G1849" s="3">
        <f t="shared" si="182"/>
        <v>6.3398500028845319</v>
      </c>
      <c r="H1849" s="3">
        <f t="shared" si="183"/>
        <v>458.4924880830261</v>
      </c>
      <c r="M1849" s="1">
        <f t="shared" si="178"/>
        <v>1098</v>
      </c>
      <c r="N1849" s="38">
        <f>+M1849*'Failure Data'!F$3</f>
        <v>28.364999999999998</v>
      </c>
    </row>
    <row r="1850" spans="1:14" x14ac:dyDescent="0.15">
      <c r="A1850" s="1">
        <v>1841</v>
      </c>
      <c r="B1850" s="3">
        <f t="shared" si="179"/>
        <v>465.0832415712826</v>
      </c>
      <c r="C1850" s="8"/>
      <c r="D1850" s="3">
        <f t="shared" si="180"/>
        <v>458.74339156839807</v>
      </c>
      <c r="F1850" s="3">
        <f t="shared" si="181"/>
        <v>-365.0832415712826</v>
      </c>
      <c r="G1850" s="3">
        <f t="shared" si="182"/>
        <v>6.3398500028845319</v>
      </c>
      <c r="H1850" s="3">
        <f t="shared" si="183"/>
        <v>458.74339156839807</v>
      </c>
      <c r="M1850" s="1">
        <f t="shared" si="178"/>
        <v>1099</v>
      </c>
      <c r="N1850" s="38">
        <f>+M1850*'Failure Data'!F$3</f>
        <v>28.390833333333333</v>
      </c>
    </row>
    <row r="1851" spans="1:14" x14ac:dyDescent="0.15">
      <c r="A1851" s="1">
        <v>1842</v>
      </c>
      <c r="B1851" s="3">
        <f t="shared" si="179"/>
        <v>465.33414505665462</v>
      </c>
      <c r="C1851" s="8"/>
      <c r="D1851" s="3">
        <f t="shared" si="180"/>
        <v>458.99429505377009</v>
      </c>
      <c r="F1851" s="3">
        <f t="shared" si="181"/>
        <v>-365.33414505665462</v>
      </c>
      <c r="G1851" s="3">
        <f t="shared" si="182"/>
        <v>6.3398500028845319</v>
      </c>
      <c r="H1851" s="3">
        <f t="shared" si="183"/>
        <v>458.99429505377009</v>
      </c>
      <c r="M1851" s="1">
        <f t="shared" si="178"/>
        <v>1100</v>
      </c>
      <c r="N1851" s="38">
        <f>+M1851*'Failure Data'!F$3</f>
        <v>28.416666666666668</v>
      </c>
    </row>
    <row r="1852" spans="1:14" x14ac:dyDescent="0.15">
      <c r="A1852" s="1">
        <v>1843</v>
      </c>
      <c r="B1852" s="3">
        <f t="shared" si="179"/>
        <v>465.58504854202658</v>
      </c>
      <c r="C1852" s="8"/>
      <c r="D1852" s="3">
        <f t="shared" si="180"/>
        <v>459.24519853914205</v>
      </c>
      <c r="F1852" s="3">
        <f t="shared" si="181"/>
        <v>-365.58504854202658</v>
      </c>
      <c r="G1852" s="3">
        <f t="shared" si="182"/>
        <v>6.3398500028845319</v>
      </c>
      <c r="H1852" s="3">
        <f t="shared" si="183"/>
        <v>459.24519853914205</v>
      </c>
      <c r="M1852" s="1">
        <f t="shared" si="178"/>
        <v>1101</v>
      </c>
      <c r="N1852" s="38">
        <f>+M1852*'Failure Data'!F$3</f>
        <v>28.442499999999999</v>
      </c>
    </row>
    <row r="1853" spans="1:14" x14ac:dyDescent="0.15">
      <c r="A1853" s="1">
        <v>1844</v>
      </c>
      <c r="B1853" s="3">
        <f t="shared" si="179"/>
        <v>465.8359520273986</v>
      </c>
      <c r="C1853" s="8"/>
      <c r="D1853" s="3">
        <f t="shared" si="180"/>
        <v>459.49610202451407</v>
      </c>
      <c r="F1853" s="3">
        <f t="shared" si="181"/>
        <v>-365.8359520273986</v>
      </c>
      <c r="G1853" s="3">
        <f t="shared" si="182"/>
        <v>6.3398500028845319</v>
      </c>
      <c r="H1853" s="3">
        <f t="shared" si="183"/>
        <v>459.49610202451407</v>
      </c>
      <c r="M1853" s="1">
        <f t="shared" si="178"/>
        <v>1102</v>
      </c>
      <c r="N1853" s="38">
        <f>+M1853*'Failure Data'!F$3</f>
        <v>28.468333333333334</v>
      </c>
    </row>
    <row r="1854" spans="1:14" x14ac:dyDescent="0.15">
      <c r="A1854" s="1">
        <v>1845</v>
      </c>
      <c r="B1854" s="3">
        <f t="shared" si="179"/>
        <v>466.08685551277057</v>
      </c>
      <c r="C1854" s="8"/>
      <c r="D1854" s="3">
        <f t="shared" si="180"/>
        <v>459.74700550988604</v>
      </c>
      <c r="F1854" s="3">
        <f t="shared" si="181"/>
        <v>-366.08685551277057</v>
      </c>
      <c r="G1854" s="3">
        <f t="shared" si="182"/>
        <v>6.3398500028845319</v>
      </c>
      <c r="H1854" s="3">
        <f t="shared" si="183"/>
        <v>459.74700550988604</v>
      </c>
      <c r="M1854" s="1">
        <f t="shared" si="178"/>
        <v>1103</v>
      </c>
      <c r="N1854" s="38">
        <f>+M1854*'Failure Data'!F$3</f>
        <v>28.494166666666665</v>
      </c>
    </row>
    <row r="1855" spans="1:14" x14ac:dyDescent="0.15">
      <c r="A1855" s="1">
        <v>1846</v>
      </c>
      <c r="B1855" s="3">
        <f t="shared" si="179"/>
        <v>466.33775899814259</v>
      </c>
      <c r="C1855" s="8"/>
      <c r="D1855" s="3">
        <f t="shared" si="180"/>
        <v>459.99790899525806</v>
      </c>
      <c r="F1855" s="3">
        <f t="shared" si="181"/>
        <v>-366.33775899814259</v>
      </c>
      <c r="G1855" s="3">
        <f t="shared" si="182"/>
        <v>6.3398500028845319</v>
      </c>
      <c r="H1855" s="3">
        <f t="shared" si="183"/>
        <v>459.99790899525806</v>
      </c>
      <c r="M1855" s="1">
        <f t="shared" si="178"/>
        <v>1104</v>
      </c>
      <c r="N1855" s="38">
        <f>+M1855*'Failure Data'!F$3</f>
        <v>28.52</v>
      </c>
    </row>
    <row r="1856" spans="1:14" x14ac:dyDescent="0.15">
      <c r="A1856" s="1">
        <v>1847</v>
      </c>
      <c r="B1856" s="3">
        <f t="shared" si="179"/>
        <v>466.58866248351455</v>
      </c>
      <c r="C1856" s="8"/>
      <c r="D1856" s="3">
        <f t="shared" si="180"/>
        <v>460.24881248063002</v>
      </c>
      <c r="F1856" s="3">
        <f t="shared" si="181"/>
        <v>-366.58866248351455</v>
      </c>
      <c r="G1856" s="3">
        <f t="shared" si="182"/>
        <v>6.3398500028845319</v>
      </c>
      <c r="H1856" s="3">
        <f t="shared" si="183"/>
        <v>460.24881248063002</v>
      </c>
      <c r="M1856" s="1">
        <f t="shared" si="178"/>
        <v>1105</v>
      </c>
      <c r="N1856" s="38">
        <f>+M1856*'Failure Data'!F$3</f>
        <v>28.545833333333334</v>
      </c>
    </row>
    <row r="1857" spans="1:14" x14ac:dyDescent="0.15">
      <c r="A1857" s="1">
        <v>1848</v>
      </c>
      <c r="B1857" s="3">
        <f t="shared" si="179"/>
        <v>466.83956596888657</v>
      </c>
      <c r="C1857" s="8"/>
      <c r="D1857" s="3">
        <f t="shared" si="180"/>
        <v>460.49971596600204</v>
      </c>
      <c r="F1857" s="3">
        <f t="shared" si="181"/>
        <v>-366.83956596888657</v>
      </c>
      <c r="G1857" s="3">
        <f t="shared" si="182"/>
        <v>6.3398500028845319</v>
      </c>
      <c r="H1857" s="3">
        <f t="shared" si="183"/>
        <v>460.49971596600204</v>
      </c>
      <c r="M1857" s="1">
        <f t="shared" ref="M1857:M1920" si="184">M1856+1</f>
        <v>1106</v>
      </c>
      <c r="N1857" s="38">
        <f>+M1857*'Failure Data'!F$3</f>
        <v>28.571666666666665</v>
      </c>
    </row>
    <row r="1858" spans="1:14" x14ac:dyDescent="0.15">
      <c r="A1858" s="1">
        <v>1849</v>
      </c>
      <c r="B1858" s="3">
        <f t="shared" si="179"/>
        <v>467.09046945425854</v>
      </c>
      <c r="C1858" s="8"/>
      <c r="D1858" s="3">
        <f t="shared" si="180"/>
        <v>460.75061945137401</v>
      </c>
      <c r="F1858" s="3">
        <f t="shared" si="181"/>
        <v>-367.09046945425854</v>
      </c>
      <c r="G1858" s="3">
        <f t="shared" si="182"/>
        <v>6.3398500028845319</v>
      </c>
      <c r="H1858" s="3">
        <f t="shared" si="183"/>
        <v>460.75061945137401</v>
      </c>
      <c r="M1858" s="1">
        <f t="shared" si="184"/>
        <v>1107</v>
      </c>
      <c r="N1858" s="38">
        <f>+M1858*'Failure Data'!F$3</f>
        <v>28.5975</v>
      </c>
    </row>
    <row r="1859" spans="1:14" x14ac:dyDescent="0.15">
      <c r="A1859" s="1">
        <v>1850</v>
      </c>
      <c r="B1859" s="3">
        <f t="shared" si="179"/>
        <v>467.34137293963056</v>
      </c>
      <c r="C1859" s="8"/>
      <c r="D1859" s="3">
        <f t="shared" si="180"/>
        <v>461.00152293674603</v>
      </c>
      <c r="F1859" s="3">
        <f t="shared" si="181"/>
        <v>-367.34137293963056</v>
      </c>
      <c r="G1859" s="3">
        <f t="shared" si="182"/>
        <v>6.3398500028845319</v>
      </c>
      <c r="H1859" s="3">
        <f t="shared" si="183"/>
        <v>461.00152293674603</v>
      </c>
      <c r="M1859" s="1">
        <f t="shared" si="184"/>
        <v>1108</v>
      </c>
      <c r="N1859" s="38">
        <f>+M1859*'Failure Data'!F$3</f>
        <v>28.623333333333335</v>
      </c>
    </row>
    <row r="1860" spans="1:14" x14ac:dyDescent="0.15">
      <c r="A1860" s="1">
        <v>1851</v>
      </c>
      <c r="B1860" s="3">
        <f t="shared" si="179"/>
        <v>467.59227642500252</v>
      </c>
      <c r="C1860" s="8"/>
      <c r="D1860" s="3">
        <f t="shared" si="180"/>
        <v>461.25242642211799</v>
      </c>
      <c r="F1860" s="3">
        <f t="shared" si="181"/>
        <v>-367.59227642500252</v>
      </c>
      <c r="G1860" s="3">
        <f t="shared" si="182"/>
        <v>6.3398500028845319</v>
      </c>
      <c r="H1860" s="3">
        <f t="shared" si="183"/>
        <v>461.25242642211799</v>
      </c>
      <c r="M1860" s="1">
        <f t="shared" si="184"/>
        <v>1109</v>
      </c>
      <c r="N1860" s="38">
        <f>+M1860*'Failure Data'!F$3</f>
        <v>28.649166666666666</v>
      </c>
    </row>
    <row r="1861" spans="1:14" x14ac:dyDescent="0.15">
      <c r="A1861" s="1">
        <v>1852</v>
      </c>
      <c r="B1861" s="3">
        <f t="shared" si="179"/>
        <v>467.84317991037454</v>
      </c>
      <c r="C1861" s="8"/>
      <c r="D1861" s="3">
        <f t="shared" si="180"/>
        <v>461.50332990749001</v>
      </c>
      <c r="F1861" s="3">
        <f t="shared" si="181"/>
        <v>-367.84317991037454</v>
      </c>
      <c r="G1861" s="3">
        <f t="shared" si="182"/>
        <v>6.3398500028845319</v>
      </c>
      <c r="H1861" s="3">
        <f t="shared" si="183"/>
        <v>461.50332990749001</v>
      </c>
      <c r="M1861" s="1">
        <f t="shared" si="184"/>
        <v>1110</v>
      </c>
      <c r="N1861" s="38">
        <f>+M1861*'Failure Data'!F$3</f>
        <v>28.675000000000001</v>
      </c>
    </row>
    <row r="1862" spans="1:14" x14ac:dyDescent="0.15">
      <c r="A1862" s="1">
        <v>1853</v>
      </c>
      <c r="B1862" s="3">
        <f t="shared" si="179"/>
        <v>468.09408339574657</v>
      </c>
      <c r="C1862" s="8"/>
      <c r="D1862" s="3">
        <f t="shared" si="180"/>
        <v>461.75423339286198</v>
      </c>
      <c r="F1862" s="3">
        <f t="shared" si="181"/>
        <v>-368.09408339574657</v>
      </c>
      <c r="G1862" s="3">
        <f t="shared" si="182"/>
        <v>6.3398500028845888</v>
      </c>
      <c r="H1862" s="3">
        <f t="shared" si="183"/>
        <v>461.75423339286198</v>
      </c>
      <c r="M1862" s="1">
        <f t="shared" si="184"/>
        <v>1111</v>
      </c>
      <c r="N1862" s="38">
        <f>+M1862*'Failure Data'!F$3</f>
        <v>28.700833333333332</v>
      </c>
    </row>
    <row r="1863" spans="1:14" x14ac:dyDescent="0.15">
      <c r="A1863" s="1">
        <v>1854</v>
      </c>
      <c r="B1863" s="3">
        <f t="shared" si="179"/>
        <v>468.34498688111853</v>
      </c>
      <c r="C1863" s="8"/>
      <c r="D1863" s="3">
        <f t="shared" si="180"/>
        <v>462.005136878234</v>
      </c>
      <c r="F1863" s="3">
        <f t="shared" si="181"/>
        <v>-368.34498688111853</v>
      </c>
      <c r="G1863" s="3">
        <f t="shared" si="182"/>
        <v>6.3398500028845319</v>
      </c>
      <c r="H1863" s="3">
        <f t="shared" si="183"/>
        <v>462.005136878234</v>
      </c>
      <c r="M1863" s="1">
        <f t="shared" si="184"/>
        <v>1112</v>
      </c>
      <c r="N1863" s="38">
        <f>+M1863*'Failure Data'!F$3</f>
        <v>28.726666666666667</v>
      </c>
    </row>
    <row r="1864" spans="1:14" x14ac:dyDescent="0.15">
      <c r="A1864" s="1">
        <v>1855</v>
      </c>
      <c r="B1864" s="3">
        <f t="shared" si="179"/>
        <v>468.59589036649055</v>
      </c>
      <c r="C1864" s="8"/>
      <c r="D1864" s="3">
        <f t="shared" si="180"/>
        <v>462.25604036360596</v>
      </c>
      <c r="F1864" s="3">
        <f t="shared" si="181"/>
        <v>-368.59589036649055</v>
      </c>
      <c r="G1864" s="3">
        <f t="shared" si="182"/>
        <v>6.3398500028845888</v>
      </c>
      <c r="H1864" s="3">
        <f t="shared" si="183"/>
        <v>462.25604036360596</v>
      </c>
      <c r="M1864" s="1">
        <f t="shared" si="184"/>
        <v>1113</v>
      </c>
      <c r="N1864" s="38">
        <f>+M1864*'Failure Data'!F$3</f>
        <v>28.752500000000001</v>
      </c>
    </row>
    <row r="1865" spans="1:14" x14ac:dyDescent="0.15">
      <c r="A1865" s="1">
        <v>1856</v>
      </c>
      <c r="B1865" s="3">
        <f t="shared" si="179"/>
        <v>468.84679385186251</v>
      </c>
      <c r="C1865" s="8"/>
      <c r="D1865" s="3">
        <f t="shared" si="180"/>
        <v>462.50694384897798</v>
      </c>
      <c r="F1865" s="3">
        <f t="shared" si="181"/>
        <v>-368.84679385186251</v>
      </c>
      <c r="G1865" s="3">
        <f t="shared" si="182"/>
        <v>6.3398500028845319</v>
      </c>
      <c r="H1865" s="3">
        <f t="shared" si="183"/>
        <v>462.50694384897798</v>
      </c>
      <c r="M1865" s="1">
        <f t="shared" si="184"/>
        <v>1114</v>
      </c>
      <c r="N1865" s="38">
        <f>+M1865*'Failure Data'!F$3</f>
        <v>28.778333333333332</v>
      </c>
    </row>
    <row r="1866" spans="1:14" x14ac:dyDescent="0.15">
      <c r="A1866" s="1">
        <v>1857</v>
      </c>
      <c r="B1866" s="3">
        <f t="shared" si="179"/>
        <v>469.09769733723454</v>
      </c>
      <c r="C1866" s="8"/>
      <c r="D1866" s="3">
        <f t="shared" si="180"/>
        <v>462.75784733434995</v>
      </c>
      <c r="F1866" s="3">
        <f t="shared" si="181"/>
        <v>-369.09769733723454</v>
      </c>
      <c r="G1866" s="3">
        <f t="shared" si="182"/>
        <v>6.3398500028845888</v>
      </c>
      <c r="H1866" s="3">
        <f t="shared" si="183"/>
        <v>462.75784733434995</v>
      </c>
      <c r="M1866" s="1">
        <f t="shared" si="184"/>
        <v>1115</v>
      </c>
      <c r="N1866" s="38">
        <f>+M1866*'Failure Data'!F$3</f>
        <v>28.804166666666667</v>
      </c>
    </row>
    <row r="1867" spans="1:14" x14ac:dyDescent="0.15">
      <c r="A1867" s="1">
        <v>1858</v>
      </c>
      <c r="B1867" s="3">
        <f t="shared" si="179"/>
        <v>469.3486008226065</v>
      </c>
      <c r="C1867" s="8"/>
      <c r="D1867" s="3">
        <f t="shared" si="180"/>
        <v>463.00875081972197</v>
      </c>
      <c r="F1867" s="3">
        <f t="shared" si="181"/>
        <v>-369.3486008226065</v>
      </c>
      <c r="G1867" s="3">
        <f t="shared" si="182"/>
        <v>6.3398500028845319</v>
      </c>
      <c r="H1867" s="3">
        <f t="shared" si="183"/>
        <v>463.00875081972197</v>
      </c>
      <c r="M1867" s="1">
        <f t="shared" si="184"/>
        <v>1116</v>
      </c>
      <c r="N1867" s="38">
        <f>+M1867*'Failure Data'!F$3</f>
        <v>28.83</v>
      </c>
    </row>
    <row r="1868" spans="1:14" x14ac:dyDescent="0.15">
      <c r="A1868" s="1">
        <v>1859</v>
      </c>
      <c r="B1868" s="3">
        <f t="shared" si="179"/>
        <v>469.59950430797852</v>
      </c>
      <c r="C1868" s="8"/>
      <c r="D1868" s="3">
        <f t="shared" si="180"/>
        <v>463.25965430509393</v>
      </c>
      <c r="F1868" s="3">
        <f t="shared" si="181"/>
        <v>-369.59950430797852</v>
      </c>
      <c r="G1868" s="3">
        <f t="shared" si="182"/>
        <v>6.3398500028845888</v>
      </c>
      <c r="H1868" s="3">
        <f t="shared" si="183"/>
        <v>463.25965430509393</v>
      </c>
      <c r="M1868" s="1">
        <f t="shared" si="184"/>
        <v>1117</v>
      </c>
      <c r="N1868" s="38">
        <f>+M1868*'Failure Data'!F$3</f>
        <v>28.855833333333333</v>
      </c>
    </row>
    <row r="1869" spans="1:14" x14ac:dyDescent="0.15">
      <c r="A1869" s="1">
        <v>1860</v>
      </c>
      <c r="B1869" s="3">
        <f t="shared" si="179"/>
        <v>469.85040779335048</v>
      </c>
      <c r="C1869" s="8"/>
      <c r="D1869" s="3">
        <f t="shared" si="180"/>
        <v>463.51055779046595</v>
      </c>
      <c r="F1869" s="3">
        <f t="shared" si="181"/>
        <v>-369.85040779335048</v>
      </c>
      <c r="G1869" s="3">
        <f t="shared" si="182"/>
        <v>6.3398500028845319</v>
      </c>
      <c r="H1869" s="3">
        <f t="shared" si="183"/>
        <v>463.51055779046595</v>
      </c>
      <c r="M1869" s="1">
        <f t="shared" si="184"/>
        <v>1118</v>
      </c>
      <c r="N1869" s="38">
        <f>+M1869*'Failure Data'!F$3</f>
        <v>28.881666666666668</v>
      </c>
    </row>
    <row r="1870" spans="1:14" x14ac:dyDescent="0.15">
      <c r="A1870" s="1">
        <v>1861</v>
      </c>
      <c r="B1870" s="3">
        <f t="shared" si="179"/>
        <v>470.10131127872251</v>
      </c>
      <c r="C1870" s="8"/>
      <c r="D1870" s="3">
        <f t="shared" si="180"/>
        <v>463.76146127583792</v>
      </c>
      <c r="F1870" s="3">
        <f t="shared" si="181"/>
        <v>-370.10131127872251</v>
      </c>
      <c r="G1870" s="3">
        <f t="shared" si="182"/>
        <v>6.3398500028845888</v>
      </c>
      <c r="H1870" s="3">
        <f t="shared" si="183"/>
        <v>463.76146127583792</v>
      </c>
      <c r="M1870" s="1">
        <f t="shared" si="184"/>
        <v>1119</v>
      </c>
      <c r="N1870" s="38">
        <f>+M1870*'Failure Data'!F$3</f>
        <v>28.907499999999999</v>
      </c>
    </row>
    <row r="1871" spans="1:14" x14ac:dyDescent="0.15">
      <c r="A1871" s="1">
        <v>1862</v>
      </c>
      <c r="B1871" s="3">
        <f t="shared" si="179"/>
        <v>470.35221476409447</v>
      </c>
      <c r="C1871" s="8"/>
      <c r="D1871" s="3">
        <f t="shared" si="180"/>
        <v>464.01236476120994</v>
      </c>
      <c r="F1871" s="3">
        <f t="shared" si="181"/>
        <v>-370.35221476409447</v>
      </c>
      <c r="G1871" s="3">
        <f t="shared" si="182"/>
        <v>6.3398500028845319</v>
      </c>
      <c r="H1871" s="3">
        <f t="shared" si="183"/>
        <v>464.01236476120994</v>
      </c>
      <c r="M1871" s="1">
        <f t="shared" si="184"/>
        <v>1120</v>
      </c>
      <c r="N1871" s="38">
        <f>+M1871*'Failure Data'!F$3</f>
        <v>28.933333333333334</v>
      </c>
    </row>
    <row r="1872" spans="1:14" x14ac:dyDescent="0.15">
      <c r="A1872" s="1">
        <v>1863</v>
      </c>
      <c r="B1872" s="3">
        <f t="shared" si="179"/>
        <v>470.60311824946649</v>
      </c>
      <c r="C1872" s="8"/>
      <c r="D1872" s="3">
        <f t="shared" si="180"/>
        <v>464.26326824658196</v>
      </c>
      <c r="F1872" s="3">
        <f t="shared" si="181"/>
        <v>-370.60311824946649</v>
      </c>
      <c r="G1872" s="3">
        <f t="shared" si="182"/>
        <v>6.3398500028845319</v>
      </c>
      <c r="H1872" s="3">
        <f t="shared" si="183"/>
        <v>464.26326824658196</v>
      </c>
      <c r="M1872" s="1">
        <f t="shared" si="184"/>
        <v>1121</v>
      </c>
      <c r="N1872" s="38">
        <f>+M1872*'Failure Data'!F$3</f>
        <v>28.959166666666665</v>
      </c>
    </row>
    <row r="1873" spans="1:14" x14ac:dyDescent="0.15">
      <c r="A1873" s="1">
        <v>1864</v>
      </c>
      <c r="B1873" s="3">
        <f t="shared" si="179"/>
        <v>470.85402173483845</v>
      </c>
      <c r="C1873" s="8"/>
      <c r="D1873" s="3">
        <f t="shared" si="180"/>
        <v>464.51417173195392</v>
      </c>
      <c r="F1873" s="3">
        <f t="shared" si="181"/>
        <v>-370.85402173483845</v>
      </c>
      <c r="G1873" s="3">
        <f t="shared" si="182"/>
        <v>6.3398500028845319</v>
      </c>
      <c r="H1873" s="3">
        <f t="shared" si="183"/>
        <v>464.51417173195392</v>
      </c>
      <c r="M1873" s="1">
        <f t="shared" si="184"/>
        <v>1122</v>
      </c>
      <c r="N1873" s="38">
        <f>+M1873*'Failure Data'!F$3</f>
        <v>28.984999999999999</v>
      </c>
    </row>
    <row r="1874" spans="1:14" x14ac:dyDescent="0.15">
      <c r="A1874" s="1">
        <v>1865</v>
      </c>
      <c r="B1874" s="3">
        <f t="shared" si="179"/>
        <v>471.10492522021048</v>
      </c>
      <c r="C1874" s="8"/>
      <c r="D1874" s="3">
        <f t="shared" si="180"/>
        <v>464.76507521732594</v>
      </c>
      <c r="F1874" s="3">
        <f t="shared" si="181"/>
        <v>-371.10492522021048</v>
      </c>
      <c r="G1874" s="3">
        <f t="shared" si="182"/>
        <v>6.3398500028845319</v>
      </c>
      <c r="H1874" s="3">
        <f t="shared" si="183"/>
        <v>464.76507521732594</v>
      </c>
      <c r="M1874" s="1">
        <f t="shared" si="184"/>
        <v>1123</v>
      </c>
      <c r="N1874" s="38">
        <f>+M1874*'Failure Data'!F$3</f>
        <v>29.010833333333334</v>
      </c>
    </row>
    <row r="1875" spans="1:14" x14ac:dyDescent="0.15">
      <c r="A1875" s="1">
        <v>1866</v>
      </c>
      <c r="B1875" s="3">
        <f t="shared" si="179"/>
        <v>471.35582870558244</v>
      </c>
      <c r="C1875" s="8"/>
      <c r="D1875" s="3">
        <f t="shared" si="180"/>
        <v>465.01597870269791</v>
      </c>
      <c r="F1875" s="3">
        <f t="shared" si="181"/>
        <v>-371.35582870558244</v>
      </c>
      <c r="G1875" s="3">
        <f t="shared" si="182"/>
        <v>6.3398500028845319</v>
      </c>
      <c r="H1875" s="3">
        <f t="shared" si="183"/>
        <v>465.01597870269791</v>
      </c>
      <c r="M1875" s="1">
        <f t="shared" si="184"/>
        <v>1124</v>
      </c>
      <c r="N1875" s="38">
        <f>+M1875*'Failure Data'!F$3</f>
        <v>29.036666666666665</v>
      </c>
    </row>
    <row r="1876" spans="1:14" x14ac:dyDescent="0.15">
      <c r="A1876" s="1">
        <v>1867</v>
      </c>
      <c r="B1876" s="3">
        <f t="shared" si="179"/>
        <v>471.60673219095446</v>
      </c>
      <c r="C1876" s="8"/>
      <c r="D1876" s="3">
        <f t="shared" si="180"/>
        <v>465.26688218806993</v>
      </c>
      <c r="F1876" s="3">
        <f t="shared" si="181"/>
        <v>-371.60673219095446</v>
      </c>
      <c r="G1876" s="3">
        <f t="shared" si="182"/>
        <v>6.3398500028845319</v>
      </c>
      <c r="H1876" s="3">
        <f t="shared" si="183"/>
        <v>465.26688218806993</v>
      </c>
      <c r="M1876" s="1">
        <f t="shared" si="184"/>
        <v>1125</v>
      </c>
      <c r="N1876" s="38">
        <f>+M1876*'Failure Data'!F$3</f>
        <v>29.0625</v>
      </c>
    </row>
    <row r="1877" spans="1:14" x14ac:dyDescent="0.15">
      <c r="A1877" s="1">
        <v>1868</v>
      </c>
      <c r="B1877" s="3">
        <f t="shared" si="179"/>
        <v>471.85763567632642</v>
      </c>
      <c r="C1877" s="8"/>
      <c r="D1877" s="3">
        <f t="shared" si="180"/>
        <v>465.51778567344189</v>
      </c>
      <c r="F1877" s="3">
        <f t="shared" si="181"/>
        <v>-371.85763567632642</v>
      </c>
      <c r="G1877" s="3">
        <f t="shared" si="182"/>
        <v>6.3398500028845319</v>
      </c>
      <c r="H1877" s="3">
        <f t="shared" si="183"/>
        <v>465.51778567344189</v>
      </c>
      <c r="M1877" s="1">
        <f t="shared" si="184"/>
        <v>1126</v>
      </c>
      <c r="N1877" s="38">
        <f>+M1877*'Failure Data'!F$3</f>
        <v>29.088333333333335</v>
      </c>
    </row>
    <row r="1878" spans="1:14" x14ac:dyDescent="0.15">
      <c r="A1878" s="1">
        <v>1869</v>
      </c>
      <c r="B1878" s="3">
        <f t="shared" si="179"/>
        <v>472.10853916169845</v>
      </c>
      <c r="C1878" s="8"/>
      <c r="D1878" s="3">
        <f t="shared" si="180"/>
        <v>465.76868915881391</v>
      </c>
      <c r="F1878" s="3">
        <f t="shared" si="181"/>
        <v>-372.10853916169845</v>
      </c>
      <c r="G1878" s="3">
        <f t="shared" si="182"/>
        <v>6.3398500028845319</v>
      </c>
      <c r="H1878" s="3">
        <f t="shared" si="183"/>
        <v>465.76868915881391</v>
      </c>
      <c r="M1878" s="1">
        <f t="shared" si="184"/>
        <v>1127</v>
      </c>
      <c r="N1878" s="38">
        <f>+M1878*'Failure Data'!F$3</f>
        <v>29.114166666666666</v>
      </c>
    </row>
    <row r="1879" spans="1:14" x14ac:dyDescent="0.15">
      <c r="A1879" s="1">
        <v>1870</v>
      </c>
      <c r="B1879" s="3">
        <f t="shared" si="179"/>
        <v>472.35944264707041</v>
      </c>
      <c r="C1879" s="8"/>
      <c r="D1879" s="3">
        <f t="shared" si="180"/>
        <v>466.01959264418588</v>
      </c>
      <c r="F1879" s="3">
        <f t="shared" si="181"/>
        <v>-372.35944264707041</v>
      </c>
      <c r="G1879" s="3">
        <f t="shared" si="182"/>
        <v>6.3398500028845319</v>
      </c>
      <c r="H1879" s="3">
        <f t="shared" si="183"/>
        <v>466.01959264418588</v>
      </c>
      <c r="M1879" s="1">
        <f t="shared" si="184"/>
        <v>1128</v>
      </c>
      <c r="N1879" s="38">
        <f>+M1879*'Failure Data'!F$3</f>
        <v>29.14</v>
      </c>
    </row>
    <row r="1880" spans="1:14" x14ac:dyDescent="0.15">
      <c r="A1880" s="1">
        <v>1871</v>
      </c>
      <c r="B1880" s="3">
        <f t="shared" si="179"/>
        <v>472.61034613244243</v>
      </c>
      <c r="C1880" s="8"/>
      <c r="D1880" s="3">
        <f t="shared" si="180"/>
        <v>466.2704961295579</v>
      </c>
      <c r="F1880" s="3">
        <f t="shared" si="181"/>
        <v>-372.61034613244243</v>
      </c>
      <c r="G1880" s="3">
        <f t="shared" si="182"/>
        <v>6.3398500028845319</v>
      </c>
      <c r="H1880" s="3">
        <f t="shared" si="183"/>
        <v>466.2704961295579</v>
      </c>
      <c r="M1880" s="1">
        <f t="shared" si="184"/>
        <v>1129</v>
      </c>
      <c r="N1880" s="38">
        <f>+M1880*'Failure Data'!F$3</f>
        <v>29.165833333333332</v>
      </c>
    </row>
    <row r="1881" spans="1:14" x14ac:dyDescent="0.15">
      <c r="A1881" s="1">
        <v>1872</v>
      </c>
      <c r="B1881" s="3">
        <f t="shared" si="179"/>
        <v>472.86124961781439</v>
      </c>
      <c r="C1881" s="8"/>
      <c r="D1881" s="3">
        <f t="shared" si="180"/>
        <v>466.52139961492986</v>
      </c>
      <c r="F1881" s="3">
        <f t="shared" si="181"/>
        <v>-372.86124961781439</v>
      </c>
      <c r="G1881" s="3">
        <f t="shared" si="182"/>
        <v>6.3398500028845319</v>
      </c>
      <c r="H1881" s="3">
        <f t="shared" si="183"/>
        <v>466.52139961492986</v>
      </c>
      <c r="M1881" s="1">
        <f t="shared" si="184"/>
        <v>1130</v>
      </c>
      <c r="N1881" s="38">
        <f>+M1881*'Failure Data'!F$3</f>
        <v>29.191666666666666</v>
      </c>
    </row>
    <row r="1882" spans="1:14" x14ac:dyDescent="0.15">
      <c r="A1882" s="1">
        <v>1873</v>
      </c>
      <c r="B1882" s="3">
        <f t="shared" si="179"/>
        <v>473.11215310318642</v>
      </c>
      <c r="C1882" s="8"/>
      <c r="D1882" s="3">
        <f t="shared" si="180"/>
        <v>466.77230310030188</v>
      </c>
      <c r="F1882" s="3">
        <f t="shared" si="181"/>
        <v>-373.11215310318642</v>
      </c>
      <c r="G1882" s="3">
        <f t="shared" si="182"/>
        <v>6.3398500028845319</v>
      </c>
      <c r="H1882" s="3">
        <f t="shared" si="183"/>
        <v>466.77230310030188</v>
      </c>
      <c r="M1882" s="1">
        <f t="shared" si="184"/>
        <v>1131</v>
      </c>
      <c r="N1882" s="38">
        <f>+M1882*'Failure Data'!F$3</f>
        <v>29.217500000000001</v>
      </c>
    </row>
    <row r="1883" spans="1:14" x14ac:dyDescent="0.15">
      <c r="A1883" s="1">
        <v>1874</v>
      </c>
      <c r="B1883" s="3">
        <f t="shared" si="179"/>
        <v>473.36305658855838</v>
      </c>
      <c r="C1883" s="8"/>
      <c r="D1883" s="3">
        <f t="shared" si="180"/>
        <v>467.02320658567385</v>
      </c>
      <c r="F1883" s="3">
        <f t="shared" si="181"/>
        <v>-373.36305658855838</v>
      </c>
      <c r="G1883" s="3">
        <f t="shared" si="182"/>
        <v>6.3398500028845319</v>
      </c>
      <c r="H1883" s="3">
        <f t="shared" si="183"/>
        <v>467.02320658567385</v>
      </c>
      <c r="M1883" s="1">
        <f t="shared" si="184"/>
        <v>1132</v>
      </c>
      <c r="N1883" s="38">
        <f>+M1883*'Failure Data'!F$3</f>
        <v>29.243333333333332</v>
      </c>
    </row>
    <row r="1884" spans="1:14" x14ac:dyDescent="0.15">
      <c r="A1884" s="1">
        <v>1875</v>
      </c>
      <c r="B1884" s="3">
        <f t="shared" si="179"/>
        <v>473.6139600739304</v>
      </c>
      <c r="C1884" s="8"/>
      <c r="D1884" s="3">
        <f t="shared" si="180"/>
        <v>467.27411007104587</v>
      </c>
      <c r="F1884" s="3">
        <f t="shared" si="181"/>
        <v>-373.6139600739304</v>
      </c>
      <c r="G1884" s="3">
        <f t="shared" si="182"/>
        <v>6.3398500028845319</v>
      </c>
      <c r="H1884" s="3">
        <f t="shared" si="183"/>
        <v>467.27411007104587</v>
      </c>
      <c r="M1884" s="1">
        <f t="shared" si="184"/>
        <v>1133</v>
      </c>
      <c r="N1884" s="38">
        <f>+M1884*'Failure Data'!F$3</f>
        <v>29.269166666666667</v>
      </c>
    </row>
    <row r="1885" spans="1:14" x14ac:dyDescent="0.15">
      <c r="A1885" s="1">
        <v>1876</v>
      </c>
      <c r="B1885" s="3">
        <f t="shared" si="179"/>
        <v>473.86486355930236</v>
      </c>
      <c r="C1885" s="8"/>
      <c r="D1885" s="3">
        <f t="shared" si="180"/>
        <v>467.52501355641783</v>
      </c>
      <c r="F1885" s="3">
        <f t="shared" si="181"/>
        <v>-373.86486355930236</v>
      </c>
      <c r="G1885" s="3">
        <f t="shared" si="182"/>
        <v>6.3398500028845319</v>
      </c>
      <c r="H1885" s="3">
        <f t="shared" si="183"/>
        <v>467.52501355641783</v>
      </c>
      <c r="M1885" s="1">
        <f t="shared" si="184"/>
        <v>1134</v>
      </c>
      <c r="N1885" s="38">
        <f>+M1885*'Failure Data'!F$3</f>
        <v>29.294999999999998</v>
      </c>
    </row>
    <row r="1886" spans="1:14" x14ac:dyDescent="0.15">
      <c r="A1886" s="1">
        <v>1877</v>
      </c>
      <c r="B1886" s="3">
        <f t="shared" si="179"/>
        <v>474.11576704467439</v>
      </c>
      <c r="C1886" s="8"/>
      <c r="D1886" s="3">
        <f t="shared" si="180"/>
        <v>467.77591704178985</v>
      </c>
      <c r="F1886" s="3">
        <f t="shared" si="181"/>
        <v>-374.11576704467439</v>
      </c>
      <c r="G1886" s="3">
        <f t="shared" si="182"/>
        <v>6.3398500028845319</v>
      </c>
      <c r="H1886" s="3">
        <f t="shared" si="183"/>
        <v>467.77591704178985</v>
      </c>
      <c r="M1886" s="1">
        <f t="shared" si="184"/>
        <v>1135</v>
      </c>
      <c r="N1886" s="38">
        <f>+M1886*'Failure Data'!F$3</f>
        <v>29.320833333333333</v>
      </c>
    </row>
    <row r="1887" spans="1:14" x14ac:dyDescent="0.15">
      <c r="A1887" s="1">
        <v>1878</v>
      </c>
      <c r="B1887" s="3">
        <f t="shared" ref="B1887:B1950" si="185">+(B$4*A1887)+B$5</f>
        <v>474.36667053004641</v>
      </c>
      <c r="C1887" s="8"/>
      <c r="D1887" s="3">
        <f t="shared" ref="D1887:D1950" si="186">+(D$4*A1887)+D$5</f>
        <v>468.02682052716182</v>
      </c>
      <c r="F1887" s="3">
        <f t="shared" ref="F1887:F1950" si="187">+xmax-B1887</f>
        <v>-374.36667053004641</v>
      </c>
      <c r="G1887" s="3">
        <f t="shared" ref="G1887:G1950" si="188">+B1887-D1887</f>
        <v>6.3398500028845888</v>
      </c>
      <c r="H1887" s="3">
        <f t="shared" ref="H1887:H1950" si="189">D1887</f>
        <v>468.02682052716182</v>
      </c>
      <c r="M1887" s="1">
        <f t="shared" si="184"/>
        <v>1136</v>
      </c>
      <c r="N1887" s="38">
        <f>+M1887*'Failure Data'!F$3</f>
        <v>29.346666666666668</v>
      </c>
    </row>
    <row r="1888" spans="1:14" x14ac:dyDescent="0.15">
      <c r="A1888" s="1">
        <v>1879</v>
      </c>
      <c r="B1888" s="3">
        <f t="shared" si="185"/>
        <v>474.61757401541837</v>
      </c>
      <c r="C1888" s="8"/>
      <c r="D1888" s="3">
        <f t="shared" si="186"/>
        <v>468.27772401253384</v>
      </c>
      <c r="F1888" s="3">
        <f t="shared" si="187"/>
        <v>-374.61757401541837</v>
      </c>
      <c r="G1888" s="3">
        <f t="shared" si="188"/>
        <v>6.3398500028845319</v>
      </c>
      <c r="H1888" s="3">
        <f t="shared" si="189"/>
        <v>468.27772401253384</v>
      </c>
      <c r="M1888" s="1">
        <f t="shared" si="184"/>
        <v>1137</v>
      </c>
      <c r="N1888" s="38">
        <f>+M1888*'Failure Data'!F$3</f>
        <v>29.372499999999999</v>
      </c>
    </row>
    <row r="1889" spans="1:14" x14ac:dyDescent="0.15">
      <c r="A1889" s="1">
        <v>1880</v>
      </c>
      <c r="B1889" s="3">
        <f t="shared" si="185"/>
        <v>474.86847750079039</v>
      </c>
      <c r="C1889" s="8"/>
      <c r="D1889" s="3">
        <f t="shared" si="186"/>
        <v>468.5286274979058</v>
      </c>
      <c r="F1889" s="3">
        <f t="shared" si="187"/>
        <v>-374.86847750079039</v>
      </c>
      <c r="G1889" s="3">
        <f t="shared" si="188"/>
        <v>6.3398500028845888</v>
      </c>
      <c r="H1889" s="3">
        <f t="shared" si="189"/>
        <v>468.5286274979058</v>
      </c>
      <c r="M1889" s="1">
        <f t="shared" si="184"/>
        <v>1138</v>
      </c>
      <c r="N1889" s="38">
        <f>+M1889*'Failure Data'!F$3</f>
        <v>29.398333333333333</v>
      </c>
    </row>
    <row r="1890" spans="1:14" x14ac:dyDescent="0.15">
      <c r="A1890" s="1">
        <v>1881</v>
      </c>
      <c r="B1890" s="3">
        <f t="shared" si="185"/>
        <v>475.11938098616235</v>
      </c>
      <c r="C1890" s="8"/>
      <c r="D1890" s="3">
        <f t="shared" si="186"/>
        <v>468.77953098327782</v>
      </c>
      <c r="F1890" s="3">
        <f t="shared" si="187"/>
        <v>-375.11938098616235</v>
      </c>
      <c r="G1890" s="3">
        <f t="shared" si="188"/>
        <v>6.3398500028845319</v>
      </c>
      <c r="H1890" s="3">
        <f t="shared" si="189"/>
        <v>468.77953098327782</v>
      </c>
      <c r="M1890" s="1">
        <f t="shared" si="184"/>
        <v>1139</v>
      </c>
      <c r="N1890" s="38">
        <f>+M1890*'Failure Data'!F$3</f>
        <v>29.424166666666668</v>
      </c>
    </row>
    <row r="1891" spans="1:14" x14ac:dyDescent="0.15">
      <c r="A1891" s="1">
        <v>1882</v>
      </c>
      <c r="B1891" s="3">
        <f t="shared" si="185"/>
        <v>475.37028447153438</v>
      </c>
      <c r="C1891" s="8"/>
      <c r="D1891" s="3">
        <f t="shared" si="186"/>
        <v>469.03043446864979</v>
      </c>
      <c r="F1891" s="3">
        <f t="shared" si="187"/>
        <v>-375.37028447153438</v>
      </c>
      <c r="G1891" s="3">
        <f t="shared" si="188"/>
        <v>6.3398500028845888</v>
      </c>
      <c r="H1891" s="3">
        <f t="shared" si="189"/>
        <v>469.03043446864979</v>
      </c>
      <c r="M1891" s="1">
        <f t="shared" si="184"/>
        <v>1140</v>
      </c>
      <c r="N1891" s="38">
        <f>+M1891*'Failure Data'!F$3</f>
        <v>29.45</v>
      </c>
    </row>
    <row r="1892" spans="1:14" x14ac:dyDescent="0.15">
      <c r="A1892" s="1">
        <v>1883</v>
      </c>
      <c r="B1892" s="3">
        <f t="shared" si="185"/>
        <v>475.62118795690634</v>
      </c>
      <c r="C1892" s="8"/>
      <c r="D1892" s="3">
        <f t="shared" si="186"/>
        <v>469.28133795402181</v>
      </c>
      <c r="F1892" s="3">
        <f t="shared" si="187"/>
        <v>-375.62118795690634</v>
      </c>
      <c r="G1892" s="3">
        <f t="shared" si="188"/>
        <v>6.3398500028845319</v>
      </c>
      <c r="H1892" s="3">
        <f t="shared" si="189"/>
        <v>469.28133795402181</v>
      </c>
      <c r="M1892" s="1">
        <f t="shared" si="184"/>
        <v>1141</v>
      </c>
      <c r="N1892" s="38">
        <f>+M1892*'Failure Data'!F$3</f>
        <v>29.475833333333334</v>
      </c>
    </row>
    <row r="1893" spans="1:14" x14ac:dyDescent="0.15">
      <c r="A1893" s="1">
        <v>1884</v>
      </c>
      <c r="B1893" s="3">
        <f t="shared" si="185"/>
        <v>475.87209144227836</v>
      </c>
      <c r="C1893" s="8"/>
      <c r="D1893" s="3">
        <f t="shared" si="186"/>
        <v>469.53224143939377</v>
      </c>
      <c r="F1893" s="3">
        <f t="shared" si="187"/>
        <v>-375.87209144227836</v>
      </c>
      <c r="G1893" s="3">
        <f t="shared" si="188"/>
        <v>6.3398500028845888</v>
      </c>
      <c r="H1893" s="3">
        <f t="shared" si="189"/>
        <v>469.53224143939377</v>
      </c>
      <c r="M1893" s="1">
        <f t="shared" si="184"/>
        <v>1142</v>
      </c>
      <c r="N1893" s="38">
        <f>+M1893*'Failure Data'!F$3</f>
        <v>29.501666666666665</v>
      </c>
    </row>
    <row r="1894" spans="1:14" x14ac:dyDescent="0.15">
      <c r="A1894" s="1">
        <v>1885</v>
      </c>
      <c r="B1894" s="3">
        <f t="shared" si="185"/>
        <v>476.12299492765032</v>
      </c>
      <c r="C1894" s="8"/>
      <c r="D1894" s="3">
        <f t="shared" si="186"/>
        <v>469.78314492476579</v>
      </c>
      <c r="F1894" s="3">
        <f t="shared" si="187"/>
        <v>-376.12299492765032</v>
      </c>
      <c r="G1894" s="3">
        <f t="shared" si="188"/>
        <v>6.3398500028845319</v>
      </c>
      <c r="H1894" s="3">
        <f t="shared" si="189"/>
        <v>469.78314492476579</v>
      </c>
      <c r="M1894" s="1">
        <f t="shared" si="184"/>
        <v>1143</v>
      </c>
      <c r="N1894" s="38">
        <f>+M1894*'Failure Data'!F$3</f>
        <v>29.5275</v>
      </c>
    </row>
    <row r="1895" spans="1:14" x14ac:dyDescent="0.15">
      <c r="A1895" s="1">
        <v>1886</v>
      </c>
      <c r="B1895" s="3">
        <f t="shared" si="185"/>
        <v>476.37389841302235</v>
      </c>
      <c r="C1895" s="8"/>
      <c r="D1895" s="3">
        <f t="shared" si="186"/>
        <v>470.03404841013781</v>
      </c>
      <c r="F1895" s="3">
        <f t="shared" si="187"/>
        <v>-376.37389841302235</v>
      </c>
      <c r="G1895" s="3">
        <f t="shared" si="188"/>
        <v>6.3398500028845319</v>
      </c>
      <c r="H1895" s="3">
        <f t="shared" si="189"/>
        <v>470.03404841013781</v>
      </c>
      <c r="M1895" s="1">
        <f t="shared" si="184"/>
        <v>1144</v>
      </c>
      <c r="N1895" s="38">
        <f>+M1895*'Failure Data'!F$3</f>
        <v>29.553333333333335</v>
      </c>
    </row>
    <row r="1896" spans="1:14" x14ac:dyDescent="0.15">
      <c r="A1896" s="1">
        <v>1887</v>
      </c>
      <c r="B1896" s="3">
        <f t="shared" si="185"/>
        <v>476.62480189839431</v>
      </c>
      <c r="C1896" s="8"/>
      <c r="D1896" s="3">
        <f t="shared" si="186"/>
        <v>470.28495189550978</v>
      </c>
      <c r="F1896" s="3">
        <f t="shared" si="187"/>
        <v>-376.62480189839431</v>
      </c>
      <c r="G1896" s="3">
        <f t="shared" si="188"/>
        <v>6.3398500028845319</v>
      </c>
      <c r="H1896" s="3">
        <f t="shared" si="189"/>
        <v>470.28495189550978</v>
      </c>
      <c r="M1896" s="1">
        <f t="shared" si="184"/>
        <v>1145</v>
      </c>
      <c r="N1896" s="38">
        <f>+M1896*'Failure Data'!F$3</f>
        <v>29.579166666666666</v>
      </c>
    </row>
    <row r="1897" spans="1:14" x14ac:dyDescent="0.15">
      <c r="A1897" s="1">
        <v>1888</v>
      </c>
      <c r="B1897" s="3">
        <f t="shared" si="185"/>
        <v>476.87570538376633</v>
      </c>
      <c r="C1897" s="8"/>
      <c r="D1897" s="3">
        <f t="shared" si="186"/>
        <v>470.5358553808818</v>
      </c>
      <c r="F1897" s="3">
        <f t="shared" si="187"/>
        <v>-376.87570538376633</v>
      </c>
      <c r="G1897" s="3">
        <f t="shared" si="188"/>
        <v>6.3398500028845319</v>
      </c>
      <c r="H1897" s="3">
        <f t="shared" si="189"/>
        <v>470.5358553808818</v>
      </c>
      <c r="M1897" s="1">
        <f t="shared" si="184"/>
        <v>1146</v>
      </c>
      <c r="N1897" s="38">
        <f>+M1897*'Failure Data'!F$3</f>
        <v>29.605</v>
      </c>
    </row>
    <row r="1898" spans="1:14" x14ac:dyDescent="0.15">
      <c r="A1898" s="1">
        <v>1889</v>
      </c>
      <c r="B1898" s="3">
        <f t="shared" si="185"/>
        <v>477.12660886913829</v>
      </c>
      <c r="C1898" s="8"/>
      <c r="D1898" s="3">
        <f t="shared" si="186"/>
        <v>470.78675886625376</v>
      </c>
      <c r="F1898" s="3">
        <f t="shared" si="187"/>
        <v>-377.12660886913829</v>
      </c>
      <c r="G1898" s="3">
        <f t="shared" si="188"/>
        <v>6.3398500028845319</v>
      </c>
      <c r="H1898" s="3">
        <f t="shared" si="189"/>
        <v>470.78675886625376</v>
      </c>
      <c r="M1898" s="1">
        <f t="shared" si="184"/>
        <v>1147</v>
      </c>
      <c r="N1898" s="38">
        <f>+M1898*'Failure Data'!F$3</f>
        <v>29.630833333333332</v>
      </c>
    </row>
    <row r="1899" spans="1:14" x14ac:dyDescent="0.15">
      <c r="A1899" s="1">
        <v>1890</v>
      </c>
      <c r="B1899" s="3">
        <f t="shared" si="185"/>
        <v>477.37751235451032</v>
      </c>
      <c r="C1899" s="8"/>
      <c r="D1899" s="3">
        <f t="shared" si="186"/>
        <v>471.03766235162578</v>
      </c>
      <c r="F1899" s="3">
        <f t="shared" si="187"/>
        <v>-377.37751235451032</v>
      </c>
      <c r="G1899" s="3">
        <f t="shared" si="188"/>
        <v>6.3398500028845319</v>
      </c>
      <c r="H1899" s="3">
        <f t="shared" si="189"/>
        <v>471.03766235162578</v>
      </c>
      <c r="M1899" s="1">
        <f t="shared" si="184"/>
        <v>1148</v>
      </c>
      <c r="N1899" s="38">
        <f>+M1899*'Failure Data'!F$3</f>
        <v>29.656666666666666</v>
      </c>
    </row>
    <row r="1900" spans="1:14" x14ac:dyDescent="0.15">
      <c r="A1900" s="1">
        <v>1891</v>
      </c>
      <c r="B1900" s="3">
        <f t="shared" si="185"/>
        <v>477.62841583988228</v>
      </c>
      <c r="C1900" s="8"/>
      <c r="D1900" s="3">
        <f t="shared" si="186"/>
        <v>471.28856583699775</v>
      </c>
      <c r="F1900" s="3">
        <f t="shared" si="187"/>
        <v>-377.62841583988228</v>
      </c>
      <c r="G1900" s="3">
        <f t="shared" si="188"/>
        <v>6.3398500028845319</v>
      </c>
      <c r="H1900" s="3">
        <f t="shared" si="189"/>
        <v>471.28856583699775</v>
      </c>
      <c r="M1900" s="1">
        <f t="shared" si="184"/>
        <v>1149</v>
      </c>
      <c r="N1900" s="38">
        <f>+M1900*'Failure Data'!F$3</f>
        <v>29.682500000000001</v>
      </c>
    </row>
    <row r="1901" spans="1:14" x14ac:dyDescent="0.15">
      <c r="A1901" s="1">
        <v>1892</v>
      </c>
      <c r="B1901" s="3">
        <f t="shared" si="185"/>
        <v>477.8793193252543</v>
      </c>
      <c r="C1901" s="8"/>
      <c r="D1901" s="3">
        <f t="shared" si="186"/>
        <v>471.53946932236977</v>
      </c>
      <c r="F1901" s="3">
        <f t="shared" si="187"/>
        <v>-377.8793193252543</v>
      </c>
      <c r="G1901" s="3">
        <f t="shared" si="188"/>
        <v>6.3398500028845319</v>
      </c>
      <c r="H1901" s="3">
        <f t="shared" si="189"/>
        <v>471.53946932236977</v>
      </c>
      <c r="M1901" s="1">
        <f t="shared" si="184"/>
        <v>1150</v>
      </c>
      <c r="N1901" s="38">
        <f>+M1901*'Failure Data'!F$3</f>
        <v>29.708333333333332</v>
      </c>
    </row>
    <row r="1902" spans="1:14" x14ac:dyDescent="0.15">
      <c r="A1902" s="1">
        <v>1893</v>
      </c>
      <c r="B1902" s="3">
        <f t="shared" si="185"/>
        <v>478.13022281062626</v>
      </c>
      <c r="C1902" s="8"/>
      <c r="D1902" s="3">
        <f t="shared" si="186"/>
        <v>471.79037280774173</v>
      </c>
      <c r="F1902" s="3">
        <f t="shared" si="187"/>
        <v>-378.13022281062626</v>
      </c>
      <c r="G1902" s="3">
        <f t="shared" si="188"/>
        <v>6.3398500028845319</v>
      </c>
      <c r="H1902" s="3">
        <f t="shared" si="189"/>
        <v>471.79037280774173</v>
      </c>
      <c r="M1902" s="1">
        <f t="shared" si="184"/>
        <v>1151</v>
      </c>
      <c r="N1902" s="38">
        <f>+M1902*'Failure Data'!F$3</f>
        <v>29.734166666666667</v>
      </c>
    </row>
    <row r="1903" spans="1:14" x14ac:dyDescent="0.15">
      <c r="A1903" s="1">
        <v>1894</v>
      </c>
      <c r="B1903" s="3">
        <f t="shared" si="185"/>
        <v>478.38112629599829</v>
      </c>
      <c r="C1903" s="8"/>
      <c r="D1903" s="3">
        <f t="shared" si="186"/>
        <v>472.04127629311375</v>
      </c>
      <c r="F1903" s="3">
        <f t="shared" si="187"/>
        <v>-378.38112629599829</v>
      </c>
      <c r="G1903" s="3">
        <f t="shared" si="188"/>
        <v>6.3398500028845319</v>
      </c>
      <c r="H1903" s="3">
        <f t="shared" si="189"/>
        <v>472.04127629311375</v>
      </c>
      <c r="M1903" s="1">
        <f t="shared" si="184"/>
        <v>1152</v>
      </c>
      <c r="N1903" s="38">
        <f>+M1903*'Failure Data'!F$3</f>
        <v>29.759999999999998</v>
      </c>
    </row>
    <row r="1904" spans="1:14" x14ac:dyDescent="0.15">
      <c r="A1904" s="1">
        <v>1895</v>
      </c>
      <c r="B1904" s="3">
        <f t="shared" si="185"/>
        <v>478.63202978137025</v>
      </c>
      <c r="C1904" s="8"/>
      <c r="D1904" s="3">
        <f t="shared" si="186"/>
        <v>472.29217977848572</v>
      </c>
      <c r="F1904" s="3">
        <f t="shared" si="187"/>
        <v>-378.63202978137025</v>
      </c>
      <c r="G1904" s="3">
        <f t="shared" si="188"/>
        <v>6.3398500028845319</v>
      </c>
      <c r="H1904" s="3">
        <f t="shared" si="189"/>
        <v>472.29217977848572</v>
      </c>
      <c r="M1904" s="1">
        <f t="shared" si="184"/>
        <v>1153</v>
      </c>
      <c r="N1904" s="38">
        <f>+M1904*'Failure Data'!F$3</f>
        <v>29.785833333333333</v>
      </c>
    </row>
    <row r="1905" spans="1:14" x14ac:dyDescent="0.15">
      <c r="A1905" s="1">
        <v>1896</v>
      </c>
      <c r="B1905" s="3">
        <f t="shared" si="185"/>
        <v>478.88293326674227</v>
      </c>
      <c r="C1905" s="8"/>
      <c r="D1905" s="3">
        <f t="shared" si="186"/>
        <v>472.54308326385774</v>
      </c>
      <c r="F1905" s="3">
        <f t="shared" si="187"/>
        <v>-378.88293326674227</v>
      </c>
      <c r="G1905" s="3">
        <f t="shared" si="188"/>
        <v>6.3398500028845319</v>
      </c>
      <c r="H1905" s="3">
        <f t="shared" si="189"/>
        <v>472.54308326385774</v>
      </c>
      <c r="M1905" s="1">
        <f t="shared" si="184"/>
        <v>1154</v>
      </c>
      <c r="N1905" s="38">
        <f>+M1905*'Failure Data'!F$3</f>
        <v>29.811666666666667</v>
      </c>
    </row>
    <row r="1906" spans="1:14" x14ac:dyDescent="0.15">
      <c r="A1906" s="1">
        <v>1897</v>
      </c>
      <c r="B1906" s="3">
        <f t="shared" si="185"/>
        <v>479.13383675211423</v>
      </c>
      <c r="C1906" s="8"/>
      <c r="D1906" s="3">
        <f t="shared" si="186"/>
        <v>472.7939867492297</v>
      </c>
      <c r="F1906" s="3">
        <f t="shared" si="187"/>
        <v>-379.13383675211423</v>
      </c>
      <c r="G1906" s="3">
        <f t="shared" si="188"/>
        <v>6.3398500028845319</v>
      </c>
      <c r="H1906" s="3">
        <f t="shared" si="189"/>
        <v>472.7939867492297</v>
      </c>
      <c r="M1906" s="1">
        <f t="shared" si="184"/>
        <v>1155</v>
      </c>
      <c r="N1906" s="38">
        <f>+M1906*'Failure Data'!F$3</f>
        <v>29.837499999999999</v>
      </c>
    </row>
    <row r="1907" spans="1:14" x14ac:dyDescent="0.15">
      <c r="A1907" s="1">
        <v>1898</v>
      </c>
      <c r="B1907" s="3">
        <f t="shared" si="185"/>
        <v>479.38474023748626</v>
      </c>
      <c r="C1907" s="8"/>
      <c r="D1907" s="3">
        <f t="shared" si="186"/>
        <v>473.04489023460172</v>
      </c>
      <c r="F1907" s="3">
        <f t="shared" si="187"/>
        <v>-379.38474023748626</v>
      </c>
      <c r="G1907" s="3">
        <f t="shared" si="188"/>
        <v>6.3398500028845319</v>
      </c>
      <c r="H1907" s="3">
        <f t="shared" si="189"/>
        <v>473.04489023460172</v>
      </c>
      <c r="M1907" s="1">
        <f t="shared" si="184"/>
        <v>1156</v>
      </c>
      <c r="N1907" s="38">
        <f>+M1907*'Failure Data'!F$3</f>
        <v>29.863333333333333</v>
      </c>
    </row>
    <row r="1908" spans="1:14" x14ac:dyDescent="0.15">
      <c r="A1908" s="1">
        <v>1899</v>
      </c>
      <c r="B1908" s="3">
        <f t="shared" si="185"/>
        <v>479.63564372285822</v>
      </c>
      <c r="C1908" s="8"/>
      <c r="D1908" s="3">
        <f t="shared" si="186"/>
        <v>473.29579371997369</v>
      </c>
      <c r="F1908" s="3">
        <f t="shared" si="187"/>
        <v>-379.63564372285822</v>
      </c>
      <c r="G1908" s="3">
        <f t="shared" si="188"/>
        <v>6.3398500028845319</v>
      </c>
      <c r="H1908" s="3">
        <f t="shared" si="189"/>
        <v>473.29579371997369</v>
      </c>
      <c r="M1908" s="1">
        <f t="shared" si="184"/>
        <v>1157</v>
      </c>
      <c r="N1908" s="38">
        <f>+M1908*'Failure Data'!F$3</f>
        <v>29.889166666666668</v>
      </c>
    </row>
    <row r="1909" spans="1:14" x14ac:dyDescent="0.15">
      <c r="A1909" s="1">
        <v>1900</v>
      </c>
      <c r="B1909" s="3">
        <f t="shared" si="185"/>
        <v>479.88654720823024</v>
      </c>
      <c r="C1909" s="8"/>
      <c r="D1909" s="3">
        <f t="shared" si="186"/>
        <v>473.54669720534571</v>
      </c>
      <c r="F1909" s="3">
        <f t="shared" si="187"/>
        <v>-379.88654720823024</v>
      </c>
      <c r="G1909" s="3">
        <f t="shared" si="188"/>
        <v>6.3398500028845319</v>
      </c>
      <c r="H1909" s="3">
        <f t="shared" si="189"/>
        <v>473.54669720534571</v>
      </c>
      <c r="M1909" s="1">
        <f t="shared" si="184"/>
        <v>1158</v>
      </c>
      <c r="N1909" s="38">
        <f>+M1909*'Failure Data'!F$3</f>
        <v>29.914999999999999</v>
      </c>
    </row>
    <row r="1910" spans="1:14" x14ac:dyDescent="0.15">
      <c r="A1910" s="1">
        <v>1901</v>
      </c>
      <c r="B1910" s="3">
        <f t="shared" si="185"/>
        <v>480.1374506936022</v>
      </c>
      <c r="C1910" s="8"/>
      <c r="D1910" s="3">
        <f t="shared" si="186"/>
        <v>473.79760069071767</v>
      </c>
      <c r="F1910" s="3">
        <f t="shared" si="187"/>
        <v>-380.1374506936022</v>
      </c>
      <c r="G1910" s="3">
        <f t="shared" si="188"/>
        <v>6.3398500028845319</v>
      </c>
      <c r="H1910" s="3">
        <f t="shared" si="189"/>
        <v>473.79760069071767</v>
      </c>
      <c r="M1910" s="1">
        <f t="shared" si="184"/>
        <v>1159</v>
      </c>
      <c r="N1910" s="38">
        <f>+M1910*'Failure Data'!F$3</f>
        <v>29.940833333333334</v>
      </c>
    </row>
    <row r="1911" spans="1:14" x14ac:dyDescent="0.15">
      <c r="A1911" s="1">
        <v>1902</v>
      </c>
      <c r="B1911" s="3">
        <f t="shared" si="185"/>
        <v>480.38835417897423</v>
      </c>
      <c r="C1911" s="8"/>
      <c r="D1911" s="3">
        <f t="shared" si="186"/>
        <v>474.04850417608969</v>
      </c>
      <c r="F1911" s="3">
        <f t="shared" si="187"/>
        <v>-380.38835417897423</v>
      </c>
      <c r="G1911" s="3">
        <f t="shared" si="188"/>
        <v>6.3398500028845319</v>
      </c>
      <c r="H1911" s="3">
        <f t="shared" si="189"/>
        <v>474.04850417608969</v>
      </c>
      <c r="M1911" s="1">
        <f t="shared" si="184"/>
        <v>1160</v>
      </c>
      <c r="N1911" s="38">
        <f>+M1911*'Failure Data'!F$3</f>
        <v>29.966666666666665</v>
      </c>
    </row>
    <row r="1912" spans="1:14" x14ac:dyDescent="0.15">
      <c r="A1912" s="1">
        <v>1903</v>
      </c>
      <c r="B1912" s="3">
        <f t="shared" si="185"/>
        <v>480.63925766434625</v>
      </c>
      <c r="C1912" s="8"/>
      <c r="D1912" s="3">
        <f t="shared" si="186"/>
        <v>474.29940766146166</v>
      </c>
      <c r="F1912" s="3">
        <f t="shared" si="187"/>
        <v>-380.63925766434625</v>
      </c>
      <c r="G1912" s="3">
        <f t="shared" si="188"/>
        <v>6.3398500028845888</v>
      </c>
      <c r="H1912" s="3">
        <f t="shared" si="189"/>
        <v>474.29940766146166</v>
      </c>
      <c r="M1912" s="1">
        <f t="shared" si="184"/>
        <v>1161</v>
      </c>
      <c r="N1912" s="38">
        <f>+M1912*'Failure Data'!F$3</f>
        <v>29.9925</v>
      </c>
    </row>
    <row r="1913" spans="1:14" x14ac:dyDescent="0.15">
      <c r="A1913" s="1">
        <v>1904</v>
      </c>
      <c r="B1913" s="3">
        <f t="shared" si="185"/>
        <v>480.89016114971821</v>
      </c>
      <c r="C1913" s="8"/>
      <c r="D1913" s="3">
        <f t="shared" si="186"/>
        <v>474.55031114683368</v>
      </c>
      <c r="F1913" s="3">
        <f t="shared" si="187"/>
        <v>-380.89016114971821</v>
      </c>
      <c r="G1913" s="3">
        <f t="shared" si="188"/>
        <v>6.3398500028845319</v>
      </c>
      <c r="H1913" s="3">
        <f t="shared" si="189"/>
        <v>474.55031114683368</v>
      </c>
      <c r="M1913" s="1">
        <f t="shared" si="184"/>
        <v>1162</v>
      </c>
      <c r="N1913" s="38">
        <f>+M1913*'Failure Data'!F$3</f>
        <v>30.018333333333334</v>
      </c>
    </row>
    <row r="1914" spans="1:14" x14ac:dyDescent="0.15">
      <c r="A1914" s="1">
        <v>1905</v>
      </c>
      <c r="B1914" s="3">
        <f t="shared" si="185"/>
        <v>481.14106463509023</v>
      </c>
      <c r="C1914" s="8"/>
      <c r="D1914" s="3">
        <f t="shared" si="186"/>
        <v>474.80121463220564</v>
      </c>
      <c r="F1914" s="3">
        <f t="shared" si="187"/>
        <v>-381.14106463509023</v>
      </c>
      <c r="G1914" s="3">
        <f t="shared" si="188"/>
        <v>6.3398500028845888</v>
      </c>
      <c r="H1914" s="3">
        <f t="shared" si="189"/>
        <v>474.80121463220564</v>
      </c>
      <c r="M1914" s="1">
        <f t="shared" si="184"/>
        <v>1163</v>
      </c>
      <c r="N1914" s="38">
        <f>+M1914*'Failure Data'!F$3</f>
        <v>30.044166666666666</v>
      </c>
    </row>
    <row r="1915" spans="1:14" x14ac:dyDescent="0.15">
      <c r="A1915" s="1">
        <v>1906</v>
      </c>
      <c r="B1915" s="3">
        <f t="shared" si="185"/>
        <v>481.3919681204622</v>
      </c>
      <c r="C1915" s="8"/>
      <c r="D1915" s="3">
        <f t="shared" si="186"/>
        <v>475.05211811757766</v>
      </c>
      <c r="F1915" s="3">
        <f t="shared" si="187"/>
        <v>-381.3919681204622</v>
      </c>
      <c r="G1915" s="3">
        <f t="shared" si="188"/>
        <v>6.3398500028845319</v>
      </c>
      <c r="H1915" s="3">
        <f t="shared" si="189"/>
        <v>475.05211811757766</v>
      </c>
      <c r="M1915" s="1">
        <f t="shared" si="184"/>
        <v>1164</v>
      </c>
      <c r="N1915" s="38">
        <f>+M1915*'Failure Data'!F$3</f>
        <v>30.07</v>
      </c>
    </row>
    <row r="1916" spans="1:14" x14ac:dyDescent="0.15">
      <c r="A1916" s="1">
        <v>1907</v>
      </c>
      <c r="B1916" s="3">
        <f t="shared" si="185"/>
        <v>481.64287160583422</v>
      </c>
      <c r="C1916" s="8"/>
      <c r="D1916" s="3">
        <f t="shared" si="186"/>
        <v>475.30302160294963</v>
      </c>
      <c r="F1916" s="3">
        <f t="shared" si="187"/>
        <v>-381.64287160583422</v>
      </c>
      <c r="G1916" s="3">
        <f t="shared" si="188"/>
        <v>6.3398500028845888</v>
      </c>
      <c r="H1916" s="3">
        <f t="shared" si="189"/>
        <v>475.30302160294963</v>
      </c>
      <c r="M1916" s="1">
        <f t="shared" si="184"/>
        <v>1165</v>
      </c>
      <c r="N1916" s="38">
        <f>+M1916*'Failure Data'!F$3</f>
        <v>30.095833333333331</v>
      </c>
    </row>
    <row r="1917" spans="1:14" x14ac:dyDescent="0.15">
      <c r="A1917" s="1">
        <v>1908</v>
      </c>
      <c r="B1917" s="3">
        <f t="shared" si="185"/>
        <v>481.89377509120618</v>
      </c>
      <c r="C1917" s="8"/>
      <c r="D1917" s="3">
        <f t="shared" si="186"/>
        <v>475.55392508832165</v>
      </c>
      <c r="F1917" s="3">
        <f t="shared" si="187"/>
        <v>-381.89377509120618</v>
      </c>
      <c r="G1917" s="3">
        <f t="shared" si="188"/>
        <v>6.3398500028845319</v>
      </c>
      <c r="H1917" s="3">
        <f t="shared" si="189"/>
        <v>475.55392508832165</v>
      </c>
      <c r="M1917" s="1">
        <f t="shared" si="184"/>
        <v>1166</v>
      </c>
      <c r="N1917" s="38">
        <f>+M1917*'Failure Data'!F$3</f>
        <v>30.121666666666666</v>
      </c>
    </row>
    <row r="1918" spans="1:14" x14ac:dyDescent="0.15">
      <c r="A1918" s="1">
        <v>1909</v>
      </c>
      <c r="B1918" s="3">
        <f t="shared" si="185"/>
        <v>482.1446785765782</v>
      </c>
      <c r="C1918" s="8"/>
      <c r="D1918" s="3">
        <f t="shared" si="186"/>
        <v>475.80482857369367</v>
      </c>
      <c r="F1918" s="3">
        <f t="shared" si="187"/>
        <v>-382.1446785765782</v>
      </c>
      <c r="G1918" s="3">
        <f t="shared" si="188"/>
        <v>6.3398500028845319</v>
      </c>
      <c r="H1918" s="3">
        <f t="shared" si="189"/>
        <v>475.80482857369367</v>
      </c>
      <c r="M1918" s="1">
        <f t="shared" si="184"/>
        <v>1167</v>
      </c>
      <c r="N1918" s="38">
        <f>+M1918*'Failure Data'!F$3</f>
        <v>30.147500000000001</v>
      </c>
    </row>
    <row r="1919" spans="1:14" x14ac:dyDescent="0.15">
      <c r="A1919" s="1">
        <v>1910</v>
      </c>
      <c r="B1919" s="3">
        <f t="shared" si="185"/>
        <v>482.39558206195017</v>
      </c>
      <c r="C1919" s="8"/>
      <c r="D1919" s="3">
        <f t="shared" si="186"/>
        <v>476.05573205906563</v>
      </c>
      <c r="F1919" s="3">
        <f t="shared" si="187"/>
        <v>-382.39558206195017</v>
      </c>
      <c r="G1919" s="3">
        <f t="shared" si="188"/>
        <v>6.3398500028845319</v>
      </c>
      <c r="H1919" s="3">
        <f t="shared" si="189"/>
        <v>476.05573205906563</v>
      </c>
      <c r="M1919" s="1">
        <f t="shared" si="184"/>
        <v>1168</v>
      </c>
      <c r="N1919" s="38">
        <f>+M1919*'Failure Data'!F$3</f>
        <v>30.173333333333332</v>
      </c>
    </row>
    <row r="1920" spans="1:14" x14ac:dyDescent="0.15">
      <c r="A1920" s="1">
        <v>1911</v>
      </c>
      <c r="B1920" s="3">
        <f t="shared" si="185"/>
        <v>482.64648554732219</v>
      </c>
      <c r="C1920" s="8"/>
      <c r="D1920" s="3">
        <f t="shared" si="186"/>
        <v>476.30663554443765</v>
      </c>
      <c r="F1920" s="3">
        <f t="shared" si="187"/>
        <v>-382.64648554732219</v>
      </c>
      <c r="G1920" s="3">
        <f t="shared" si="188"/>
        <v>6.3398500028845319</v>
      </c>
      <c r="H1920" s="3">
        <f t="shared" si="189"/>
        <v>476.30663554443765</v>
      </c>
      <c r="M1920" s="1">
        <f t="shared" si="184"/>
        <v>1169</v>
      </c>
      <c r="N1920" s="38">
        <f>+M1920*'Failure Data'!F$3</f>
        <v>30.199166666666667</v>
      </c>
    </row>
    <row r="1921" spans="1:14" x14ac:dyDescent="0.15">
      <c r="A1921" s="1">
        <v>1912</v>
      </c>
      <c r="B1921" s="3">
        <f t="shared" si="185"/>
        <v>482.89738903269415</v>
      </c>
      <c r="C1921" s="8"/>
      <c r="D1921" s="3">
        <f t="shared" si="186"/>
        <v>476.55753902980962</v>
      </c>
      <c r="F1921" s="3">
        <f t="shared" si="187"/>
        <v>-382.89738903269415</v>
      </c>
      <c r="G1921" s="3">
        <f t="shared" si="188"/>
        <v>6.3398500028845319</v>
      </c>
      <c r="H1921" s="3">
        <f t="shared" si="189"/>
        <v>476.55753902980962</v>
      </c>
      <c r="M1921" s="1">
        <f t="shared" ref="M1921:M1984" si="190">M1920+1</f>
        <v>1170</v>
      </c>
      <c r="N1921" s="38">
        <f>+M1921*'Failure Data'!F$3</f>
        <v>30.225000000000001</v>
      </c>
    </row>
    <row r="1922" spans="1:14" x14ac:dyDescent="0.15">
      <c r="A1922" s="1">
        <v>1913</v>
      </c>
      <c r="B1922" s="3">
        <f t="shared" si="185"/>
        <v>483.14829251806617</v>
      </c>
      <c r="C1922" s="8"/>
      <c r="D1922" s="3">
        <f t="shared" si="186"/>
        <v>476.80844251518164</v>
      </c>
      <c r="F1922" s="3">
        <f t="shared" si="187"/>
        <v>-383.14829251806617</v>
      </c>
      <c r="G1922" s="3">
        <f t="shared" si="188"/>
        <v>6.3398500028845319</v>
      </c>
      <c r="H1922" s="3">
        <f t="shared" si="189"/>
        <v>476.80844251518164</v>
      </c>
      <c r="M1922" s="1">
        <f t="shared" si="190"/>
        <v>1171</v>
      </c>
      <c r="N1922" s="38">
        <f>+M1922*'Failure Data'!F$3</f>
        <v>30.250833333333333</v>
      </c>
    </row>
    <row r="1923" spans="1:14" x14ac:dyDescent="0.15">
      <c r="A1923" s="1">
        <v>1914</v>
      </c>
      <c r="B1923" s="3">
        <f t="shared" si="185"/>
        <v>483.39919600343813</v>
      </c>
      <c r="C1923" s="8"/>
      <c r="D1923" s="3">
        <f t="shared" si="186"/>
        <v>477.0593460005536</v>
      </c>
      <c r="F1923" s="3">
        <f t="shared" si="187"/>
        <v>-383.39919600343813</v>
      </c>
      <c r="G1923" s="3">
        <f t="shared" si="188"/>
        <v>6.3398500028845319</v>
      </c>
      <c r="H1923" s="3">
        <f t="shared" si="189"/>
        <v>477.0593460005536</v>
      </c>
      <c r="M1923" s="1">
        <f t="shared" si="190"/>
        <v>1172</v>
      </c>
      <c r="N1923" s="38">
        <f>+M1923*'Failure Data'!F$3</f>
        <v>30.276666666666667</v>
      </c>
    </row>
    <row r="1924" spans="1:14" x14ac:dyDescent="0.15">
      <c r="A1924" s="1">
        <v>1915</v>
      </c>
      <c r="B1924" s="3">
        <f t="shared" si="185"/>
        <v>483.65009948881016</v>
      </c>
      <c r="C1924" s="8"/>
      <c r="D1924" s="3">
        <f t="shared" si="186"/>
        <v>477.31024948592562</v>
      </c>
      <c r="F1924" s="3">
        <f t="shared" si="187"/>
        <v>-383.65009948881016</v>
      </c>
      <c r="G1924" s="3">
        <f t="shared" si="188"/>
        <v>6.3398500028845319</v>
      </c>
      <c r="H1924" s="3">
        <f t="shared" si="189"/>
        <v>477.31024948592562</v>
      </c>
      <c r="M1924" s="1">
        <f t="shared" si="190"/>
        <v>1173</v>
      </c>
      <c r="N1924" s="38">
        <f>+M1924*'Failure Data'!F$3</f>
        <v>30.302499999999998</v>
      </c>
    </row>
    <row r="1925" spans="1:14" x14ac:dyDescent="0.15">
      <c r="A1925" s="1">
        <v>1916</v>
      </c>
      <c r="B1925" s="3">
        <f t="shared" si="185"/>
        <v>483.90100297418212</v>
      </c>
      <c r="C1925" s="8"/>
      <c r="D1925" s="3">
        <f t="shared" si="186"/>
        <v>477.56115297129759</v>
      </c>
      <c r="F1925" s="3">
        <f t="shared" si="187"/>
        <v>-383.90100297418212</v>
      </c>
      <c r="G1925" s="3">
        <f t="shared" si="188"/>
        <v>6.3398500028845319</v>
      </c>
      <c r="H1925" s="3">
        <f t="shared" si="189"/>
        <v>477.56115297129759</v>
      </c>
      <c r="M1925" s="1">
        <f t="shared" si="190"/>
        <v>1174</v>
      </c>
      <c r="N1925" s="38">
        <f>+M1925*'Failure Data'!F$3</f>
        <v>30.328333333333333</v>
      </c>
    </row>
    <row r="1926" spans="1:14" x14ac:dyDescent="0.15">
      <c r="A1926" s="1">
        <v>1917</v>
      </c>
      <c r="B1926" s="3">
        <f t="shared" si="185"/>
        <v>484.15190645955414</v>
      </c>
      <c r="C1926" s="8"/>
      <c r="D1926" s="3">
        <f t="shared" si="186"/>
        <v>477.81205645666961</v>
      </c>
      <c r="F1926" s="3">
        <f t="shared" si="187"/>
        <v>-384.15190645955414</v>
      </c>
      <c r="G1926" s="3">
        <f t="shared" si="188"/>
        <v>6.3398500028845319</v>
      </c>
      <c r="H1926" s="3">
        <f t="shared" si="189"/>
        <v>477.81205645666961</v>
      </c>
      <c r="M1926" s="1">
        <f t="shared" si="190"/>
        <v>1175</v>
      </c>
      <c r="N1926" s="38">
        <f>+M1926*'Failure Data'!F$3</f>
        <v>30.354166666666668</v>
      </c>
    </row>
    <row r="1927" spans="1:14" x14ac:dyDescent="0.15">
      <c r="A1927" s="1">
        <v>1918</v>
      </c>
      <c r="B1927" s="3">
        <f t="shared" si="185"/>
        <v>484.4028099449261</v>
      </c>
      <c r="C1927" s="8"/>
      <c r="D1927" s="3">
        <f t="shared" si="186"/>
        <v>478.06295994204157</v>
      </c>
      <c r="F1927" s="3">
        <f t="shared" si="187"/>
        <v>-384.4028099449261</v>
      </c>
      <c r="G1927" s="3">
        <f t="shared" si="188"/>
        <v>6.3398500028845319</v>
      </c>
      <c r="H1927" s="3">
        <f t="shared" si="189"/>
        <v>478.06295994204157</v>
      </c>
      <c r="M1927" s="1">
        <f t="shared" si="190"/>
        <v>1176</v>
      </c>
      <c r="N1927" s="38">
        <f>+M1927*'Failure Data'!F$3</f>
        <v>30.38</v>
      </c>
    </row>
    <row r="1928" spans="1:14" x14ac:dyDescent="0.15">
      <c r="A1928" s="1">
        <v>1919</v>
      </c>
      <c r="B1928" s="3">
        <f t="shared" si="185"/>
        <v>484.65371343029813</v>
      </c>
      <c r="C1928" s="8"/>
      <c r="D1928" s="3">
        <f t="shared" si="186"/>
        <v>478.31386342741359</v>
      </c>
      <c r="F1928" s="3">
        <f t="shared" si="187"/>
        <v>-384.65371343029813</v>
      </c>
      <c r="G1928" s="3">
        <f t="shared" si="188"/>
        <v>6.3398500028845319</v>
      </c>
      <c r="H1928" s="3">
        <f t="shared" si="189"/>
        <v>478.31386342741359</v>
      </c>
      <c r="M1928" s="1">
        <f t="shared" si="190"/>
        <v>1177</v>
      </c>
      <c r="N1928" s="38">
        <f>+M1928*'Failure Data'!F$3</f>
        <v>30.405833333333334</v>
      </c>
    </row>
    <row r="1929" spans="1:14" x14ac:dyDescent="0.15">
      <c r="A1929" s="1">
        <v>1920</v>
      </c>
      <c r="B1929" s="3">
        <f t="shared" si="185"/>
        <v>484.90461691567009</v>
      </c>
      <c r="C1929" s="8"/>
      <c r="D1929" s="3">
        <f t="shared" si="186"/>
        <v>478.56476691278556</v>
      </c>
      <c r="F1929" s="3">
        <f t="shared" si="187"/>
        <v>-384.90461691567009</v>
      </c>
      <c r="G1929" s="3">
        <f t="shared" si="188"/>
        <v>6.3398500028845319</v>
      </c>
      <c r="H1929" s="3">
        <f t="shared" si="189"/>
        <v>478.56476691278556</v>
      </c>
      <c r="M1929" s="1">
        <f t="shared" si="190"/>
        <v>1178</v>
      </c>
      <c r="N1929" s="38">
        <f>+M1929*'Failure Data'!F$3</f>
        <v>30.431666666666665</v>
      </c>
    </row>
    <row r="1930" spans="1:14" x14ac:dyDescent="0.15">
      <c r="A1930" s="1">
        <v>1921</v>
      </c>
      <c r="B1930" s="3">
        <f t="shared" si="185"/>
        <v>485.15552040104211</v>
      </c>
      <c r="C1930" s="8"/>
      <c r="D1930" s="3">
        <f t="shared" si="186"/>
        <v>478.81567039815758</v>
      </c>
      <c r="F1930" s="3">
        <f t="shared" si="187"/>
        <v>-385.15552040104211</v>
      </c>
      <c r="G1930" s="3">
        <f t="shared" si="188"/>
        <v>6.3398500028845319</v>
      </c>
      <c r="H1930" s="3">
        <f t="shared" si="189"/>
        <v>478.81567039815758</v>
      </c>
      <c r="M1930" s="1">
        <f t="shared" si="190"/>
        <v>1179</v>
      </c>
      <c r="N1930" s="38">
        <f>+M1930*'Failure Data'!F$3</f>
        <v>30.4575</v>
      </c>
    </row>
    <row r="1931" spans="1:14" x14ac:dyDescent="0.15">
      <c r="A1931" s="1">
        <v>1922</v>
      </c>
      <c r="B1931" s="3">
        <f t="shared" si="185"/>
        <v>485.40642388641407</v>
      </c>
      <c r="C1931" s="8"/>
      <c r="D1931" s="3">
        <f t="shared" si="186"/>
        <v>479.06657388352954</v>
      </c>
      <c r="F1931" s="3">
        <f t="shared" si="187"/>
        <v>-385.40642388641407</v>
      </c>
      <c r="G1931" s="3">
        <f t="shared" si="188"/>
        <v>6.3398500028845319</v>
      </c>
      <c r="H1931" s="3">
        <f t="shared" si="189"/>
        <v>479.06657388352954</v>
      </c>
      <c r="M1931" s="1">
        <f t="shared" si="190"/>
        <v>1180</v>
      </c>
      <c r="N1931" s="38">
        <f>+M1931*'Failure Data'!F$3</f>
        <v>30.483333333333334</v>
      </c>
    </row>
    <row r="1932" spans="1:14" x14ac:dyDescent="0.15">
      <c r="A1932" s="1">
        <v>1923</v>
      </c>
      <c r="B1932" s="3">
        <f t="shared" si="185"/>
        <v>485.6573273717861</v>
      </c>
      <c r="C1932" s="8"/>
      <c r="D1932" s="3">
        <f t="shared" si="186"/>
        <v>479.31747736890156</v>
      </c>
      <c r="F1932" s="3">
        <f t="shared" si="187"/>
        <v>-385.6573273717861</v>
      </c>
      <c r="G1932" s="3">
        <f t="shared" si="188"/>
        <v>6.3398500028845319</v>
      </c>
      <c r="H1932" s="3">
        <f t="shared" si="189"/>
        <v>479.31747736890156</v>
      </c>
      <c r="M1932" s="1">
        <f t="shared" si="190"/>
        <v>1181</v>
      </c>
      <c r="N1932" s="38">
        <f>+M1932*'Failure Data'!F$3</f>
        <v>30.509166666666665</v>
      </c>
    </row>
    <row r="1933" spans="1:14" x14ac:dyDescent="0.15">
      <c r="A1933" s="1">
        <v>1924</v>
      </c>
      <c r="B1933" s="3">
        <f t="shared" si="185"/>
        <v>485.90823085715806</v>
      </c>
      <c r="C1933" s="8"/>
      <c r="D1933" s="3">
        <f t="shared" si="186"/>
        <v>479.56838085427353</v>
      </c>
      <c r="F1933" s="3">
        <f t="shared" si="187"/>
        <v>-385.90823085715806</v>
      </c>
      <c r="G1933" s="3">
        <f t="shared" si="188"/>
        <v>6.3398500028845319</v>
      </c>
      <c r="H1933" s="3">
        <f t="shared" si="189"/>
        <v>479.56838085427353</v>
      </c>
      <c r="M1933" s="1">
        <f t="shared" si="190"/>
        <v>1182</v>
      </c>
      <c r="N1933" s="38">
        <f>+M1933*'Failure Data'!F$3</f>
        <v>30.535</v>
      </c>
    </row>
    <row r="1934" spans="1:14" x14ac:dyDescent="0.15">
      <c r="A1934" s="1">
        <v>1925</v>
      </c>
      <c r="B1934" s="3">
        <f t="shared" si="185"/>
        <v>486.15913434253008</v>
      </c>
      <c r="C1934" s="8"/>
      <c r="D1934" s="3">
        <f t="shared" si="186"/>
        <v>479.81928433964555</v>
      </c>
      <c r="F1934" s="3">
        <f t="shared" si="187"/>
        <v>-386.15913434253008</v>
      </c>
      <c r="G1934" s="3">
        <f t="shared" si="188"/>
        <v>6.3398500028845319</v>
      </c>
      <c r="H1934" s="3">
        <f t="shared" si="189"/>
        <v>479.81928433964555</v>
      </c>
      <c r="M1934" s="1">
        <f t="shared" si="190"/>
        <v>1183</v>
      </c>
      <c r="N1934" s="38">
        <f>+M1934*'Failure Data'!F$3</f>
        <v>30.560833333333335</v>
      </c>
    </row>
    <row r="1935" spans="1:14" x14ac:dyDescent="0.15">
      <c r="A1935" s="1">
        <v>1926</v>
      </c>
      <c r="B1935" s="3">
        <f t="shared" si="185"/>
        <v>486.41003782790204</v>
      </c>
      <c r="C1935" s="8"/>
      <c r="D1935" s="3">
        <f t="shared" si="186"/>
        <v>480.07018782501751</v>
      </c>
      <c r="F1935" s="3">
        <f t="shared" si="187"/>
        <v>-386.41003782790204</v>
      </c>
      <c r="G1935" s="3">
        <f t="shared" si="188"/>
        <v>6.3398500028845319</v>
      </c>
      <c r="H1935" s="3">
        <f t="shared" si="189"/>
        <v>480.07018782501751</v>
      </c>
      <c r="M1935" s="1">
        <f t="shared" si="190"/>
        <v>1184</v>
      </c>
      <c r="N1935" s="38">
        <f>+M1935*'Failure Data'!F$3</f>
        <v>30.586666666666666</v>
      </c>
    </row>
    <row r="1936" spans="1:14" x14ac:dyDescent="0.15">
      <c r="A1936" s="1">
        <v>1927</v>
      </c>
      <c r="B1936" s="3">
        <f t="shared" si="185"/>
        <v>486.66094131327407</v>
      </c>
      <c r="C1936" s="8"/>
      <c r="D1936" s="3">
        <f t="shared" si="186"/>
        <v>480.32109131038953</v>
      </c>
      <c r="F1936" s="3">
        <f t="shared" si="187"/>
        <v>-386.66094131327407</v>
      </c>
      <c r="G1936" s="3">
        <f t="shared" si="188"/>
        <v>6.3398500028845319</v>
      </c>
      <c r="H1936" s="3">
        <f t="shared" si="189"/>
        <v>480.32109131038953</v>
      </c>
      <c r="M1936" s="1">
        <f t="shared" si="190"/>
        <v>1185</v>
      </c>
      <c r="N1936" s="38">
        <f>+M1936*'Failure Data'!F$3</f>
        <v>30.612500000000001</v>
      </c>
    </row>
    <row r="1937" spans="1:14" x14ac:dyDescent="0.15">
      <c r="A1937" s="1">
        <v>1928</v>
      </c>
      <c r="B1937" s="3">
        <f t="shared" si="185"/>
        <v>486.91184479864609</v>
      </c>
      <c r="C1937" s="8"/>
      <c r="D1937" s="3">
        <f t="shared" si="186"/>
        <v>480.5719947957615</v>
      </c>
      <c r="F1937" s="3">
        <f t="shared" si="187"/>
        <v>-386.91184479864609</v>
      </c>
      <c r="G1937" s="3">
        <f t="shared" si="188"/>
        <v>6.3398500028845888</v>
      </c>
      <c r="H1937" s="3">
        <f t="shared" si="189"/>
        <v>480.5719947957615</v>
      </c>
      <c r="M1937" s="1">
        <f t="shared" si="190"/>
        <v>1186</v>
      </c>
      <c r="N1937" s="38">
        <f>+M1937*'Failure Data'!F$3</f>
        <v>30.638333333333332</v>
      </c>
    </row>
    <row r="1938" spans="1:14" x14ac:dyDescent="0.15">
      <c r="A1938" s="1">
        <v>1929</v>
      </c>
      <c r="B1938" s="3">
        <f t="shared" si="185"/>
        <v>487.16274828401805</v>
      </c>
      <c r="C1938" s="8"/>
      <c r="D1938" s="3">
        <f t="shared" si="186"/>
        <v>480.82289828113352</v>
      </c>
      <c r="F1938" s="3">
        <f t="shared" si="187"/>
        <v>-387.16274828401805</v>
      </c>
      <c r="G1938" s="3">
        <f t="shared" si="188"/>
        <v>6.3398500028845319</v>
      </c>
      <c r="H1938" s="3">
        <f t="shared" si="189"/>
        <v>480.82289828113352</v>
      </c>
      <c r="M1938" s="1">
        <f t="shared" si="190"/>
        <v>1187</v>
      </c>
      <c r="N1938" s="38">
        <f>+M1938*'Failure Data'!F$3</f>
        <v>30.664166666666667</v>
      </c>
    </row>
    <row r="1939" spans="1:14" x14ac:dyDescent="0.15">
      <c r="A1939" s="1">
        <v>1930</v>
      </c>
      <c r="B1939" s="3">
        <f t="shared" si="185"/>
        <v>487.41365176939007</v>
      </c>
      <c r="C1939" s="8"/>
      <c r="D1939" s="3">
        <f t="shared" si="186"/>
        <v>481.07380176650548</v>
      </c>
      <c r="F1939" s="3">
        <f t="shared" si="187"/>
        <v>-387.41365176939007</v>
      </c>
      <c r="G1939" s="3">
        <f t="shared" si="188"/>
        <v>6.3398500028845888</v>
      </c>
      <c r="H1939" s="3">
        <f t="shared" si="189"/>
        <v>481.07380176650548</v>
      </c>
      <c r="M1939" s="1">
        <f t="shared" si="190"/>
        <v>1188</v>
      </c>
      <c r="N1939" s="38">
        <f>+M1939*'Failure Data'!F$3</f>
        <v>30.69</v>
      </c>
    </row>
    <row r="1940" spans="1:14" x14ac:dyDescent="0.15">
      <c r="A1940" s="1">
        <v>1931</v>
      </c>
      <c r="B1940" s="3">
        <f t="shared" si="185"/>
        <v>487.66455525476204</v>
      </c>
      <c r="C1940" s="8"/>
      <c r="D1940" s="3">
        <f t="shared" si="186"/>
        <v>481.3247052518775</v>
      </c>
      <c r="F1940" s="3">
        <f t="shared" si="187"/>
        <v>-387.66455525476204</v>
      </c>
      <c r="G1940" s="3">
        <f t="shared" si="188"/>
        <v>6.3398500028845319</v>
      </c>
      <c r="H1940" s="3">
        <f t="shared" si="189"/>
        <v>481.3247052518775</v>
      </c>
      <c r="M1940" s="1">
        <f t="shared" si="190"/>
        <v>1189</v>
      </c>
      <c r="N1940" s="38">
        <f>+M1940*'Failure Data'!F$3</f>
        <v>30.715833333333332</v>
      </c>
    </row>
    <row r="1941" spans="1:14" x14ac:dyDescent="0.15">
      <c r="A1941" s="1">
        <v>1932</v>
      </c>
      <c r="B1941" s="3">
        <f t="shared" si="185"/>
        <v>487.91545874013406</v>
      </c>
      <c r="C1941" s="8"/>
      <c r="D1941" s="3">
        <f t="shared" si="186"/>
        <v>481.57560873724952</v>
      </c>
      <c r="F1941" s="3">
        <f t="shared" si="187"/>
        <v>-387.91545874013406</v>
      </c>
      <c r="G1941" s="3">
        <f t="shared" si="188"/>
        <v>6.3398500028845319</v>
      </c>
      <c r="H1941" s="3">
        <f t="shared" si="189"/>
        <v>481.57560873724952</v>
      </c>
      <c r="M1941" s="1">
        <f t="shared" si="190"/>
        <v>1190</v>
      </c>
      <c r="N1941" s="38">
        <f>+M1941*'Failure Data'!F$3</f>
        <v>30.741666666666667</v>
      </c>
    </row>
    <row r="1942" spans="1:14" x14ac:dyDescent="0.15">
      <c r="A1942" s="1">
        <v>1933</v>
      </c>
      <c r="B1942" s="3">
        <f t="shared" si="185"/>
        <v>488.16636222550602</v>
      </c>
      <c r="C1942" s="8"/>
      <c r="D1942" s="3">
        <f t="shared" si="186"/>
        <v>481.82651222262149</v>
      </c>
      <c r="F1942" s="3">
        <f t="shared" si="187"/>
        <v>-388.16636222550602</v>
      </c>
      <c r="G1942" s="3">
        <f t="shared" si="188"/>
        <v>6.3398500028845319</v>
      </c>
      <c r="H1942" s="3">
        <f t="shared" si="189"/>
        <v>481.82651222262149</v>
      </c>
      <c r="M1942" s="1">
        <f t="shared" si="190"/>
        <v>1191</v>
      </c>
      <c r="N1942" s="38">
        <f>+M1942*'Failure Data'!F$3</f>
        <v>30.767499999999998</v>
      </c>
    </row>
    <row r="1943" spans="1:14" x14ac:dyDescent="0.15">
      <c r="A1943" s="1">
        <v>1934</v>
      </c>
      <c r="B1943" s="3">
        <f t="shared" si="185"/>
        <v>488.41726571087804</v>
      </c>
      <c r="C1943" s="8"/>
      <c r="D1943" s="3">
        <f t="shared" si="186"/>
        <v>482.07741570799351</v>
      </c>
      <c r="F1943" s="3">
        <f t="shared" si="187"/>
        <v>-388.41726571087804</v>
      </c>
      <c r="G1943" s="3">
        <f t="shared" si="188"/>
        <v>6.3398500028845319</v>
      </c>
      <c r="H1943" s="3">
        <f t="shared" si="189"/>
        <v>482.07741570799351</v>
      </c>
      <c r="M1943" s="1">
        <f t="shared" si="190"/>
        <v>1192</v>
      </c>
      <c r="N1943" s="38">
        <f>+M1943*'Failure Data'!F$3</f>
        <v>30.793333333333333</v>
      </c>
    </row>
    <row r="1944" spans="1:14" x14ac:dyDescent="0.15">
      <c r="A1944" s="1">
        <v>1935</v>
      </c>
      <c r="B1944" s="3">
        <f t="shared" si="185"/>
        <v>488.66816919625001</v>
      </c>
      <c r="C1944" s="8"/>
      <c r="D1944" s="3">
        <f t="shared" si="186"/>
        <v>482.32831919336547</v>
      </c>
      <c r="F1944" s="3">
        <f t="shared" si="187"/>
        <v>-388.66816919625001</v>
      </c>
      <c r="G1944" s="3">
        <f t="shared" si="188"/>
        <v>6.3398500028845319</v>
      </c>
      <c r="H1944" s="3">
        <f t="shared" si="189"/>
        <v>482.32831919336547</v>
      </c>
      <c r="M1944" s="1">
        <f t="shared" si="190"/>
        <v>1193</v>
      </c>
      <c r="N1944" s="38">
        <f>+M1944*'Failure Data'!F$3</f>
        <v>30.819166666666668</v>
      </c>
    </row>
    <row r="1945" spans="1:14" x14ac:dyDescent="0.15">
      <c r="A1945" s="1">
        <v>1936</v>
      </c>
      <c r="B1945" s="3">
        <f t="shared" si="185"/>
        <v>488.91907268162203</v>
      </c>
      <c r="C1945" s="8"/>
      <c r="D1945" s="3">
        <f t="shared" si="186"/>
        <v>482.57922267873749</v>
      </c>
      <c r="F1945" s="3">
        <f t="shared" si="187"/>
        <v>-388.91907268162203</v>
      </c>
      <c r="G1945" s="3">
        <f t="shared" si="188"/>
        <v>6.3398500028845319</v>
      </c>
      <c r="H1945" s="3">
        <f t="shared" si="189"/>
        <v>482.57922267873749</v>
      </c>
      <c r="M1945" s="1">
        <f t="shared" si="190"/>
        <v>1194</v>
      </c>
      <c r="N1945" s="38">
        <f>+M1945*'Failure Data'!F$3</f>
        <v>30.844999999999999</v>
      </c>
    </row>
    <row r="1946" spans="1:14" x14ac:dyDescent="0.15">
      <c r="A1946" s="1">
        <v>1937</v>
      </c>
      <c r="B1946" s="3">
        <f t="shared" si="185"/>
        <v>489.16997616699399</v>
      </c>
      <c r="C1946" s="8"/>
      <c r="D1946" s="3">
        <f t="shared" si="186"/>
        <v>482.83012616410946</v>
      </c>
      <c r="F1946" s="3">
        <f t="shared" si="187"/>
        <v>-389.16997616699399</v>
      </c>
      <c r="G1946" s="3">
        <f t="shared" si="188"/>
        <v>6.3398500028845319</v>
      </c>
      <c r="H1946" s="3">
        <f t="shared" si="189"/>
        <v>482.83012616410946</v>
      </c>
      <c r="M1946" s="1">
        <f t="shared" si="190"/>
        <v>1195</v>
      </c>
      <c r="N1946" s="38">
        <f>+M1946*'Failure Data'!F$3</f>
        <v>30.870833333333334</v>
      </c>
    </row>
    <row r="1947" spans="1:14" x14ac:dyDescent="0.15">
      <c r="A1947" s="1">
        <v>1938</v>
      </c>
      <c r="B1947" s="3">
        <f t="shared" si="185"/>
        <v>489.42087965236601</v>
      </c>
      <c r="C1947" s="8"/>
      <c r="D1947" s="3">
        <f t="shared" si="186"/>
        <v>483.08102964948148</v>
      </c>
      <c r="F1947" s="3">
        <f t="shared" si="187"/>
        <v>-389.42087965236601</v>
      </c>
      <c r="G1947" s="3">
        <f t="shared" si="188"/>
        <v>6.3398500028845319</v>
      </c>
      <c r="H1947" s="3">
        <f t="shared" si="189"/>
        <v>483.08102964948148</v>
      </c>
      <c r="M1947" s="1">
        <f t="shared" si="190"/>
        <v>1196</v>
      </c>
      <c r="N1947" s="38">
        <f>+M1947*'Failure Data'!F$3</f>
        <v>30.896666666666665</v>
      </c>
    </row>
    <row r="1948" spans="1:14" x14ac:dyDescent="0.15">
      <c r="A1948" s="1">
        <v>1939</v>
      </c>
      <c r="B1948" s="3">
        <f t="shared" si="185"/>
        <v>489.67178313773798</v>
      </c>
      <c r="C1948" s="8"/>
      <c r="D1948" s="3">
        <f t="shared" si="186"/>
        <v>483.33193313485344</v>
      </c>
      <c r="F1948" s="3">
        <f t="shared" si="187"/>
        <v>-389.67178313773798</v>
      </c>
      <c r="G1948" s="3">
        <f t="shared" si="188"/>
        <v>6.3398500028845319</v>
      </c>
      <c r="H1948" s="3">
        <f t="shared" si="189"/>
        <v>483.33193313485344</v>
      </c>
      <c r="M1948" s="1">
        <f t="shared" si="190"/>
        <v>1197</v>
      </c>
      <c r="N1948" s="38">
        <f>+M1948*'Failure Data'!F$3</f>
        <v>30.922499999999999</v>
      </c>
    </row>
    <row r="1949" spans="1:14" x14ac:dyDescent="0.15">
      <c r="A1949" s="1">
        <v>1940</v>
      </c>
      <c r="B1949" s="3">
        <f t="shared" si="185"/>
        <v>489.92268662311</v>
      </c>
      <c r="C1949" s="8"/>
      <c r="D1949" s="3">
        <f t="shared" si="186"/>
        <v>483.58283662022546</v>
      </c>
      <c r="F1949" s="3">
        <f t="shared" si="187"/>
        <v>-389.92268662311</v>
      </c>
      <c r="G1949" s="3">
        <f t="shared" si="188"/>
        <v>6.3398500028845319</v>
      </c>
      <c r="H1949" s="3">
        <f t="shared" si="189"/>
        <v>483.58283662022546</v>
      </c>
      <c r="M1949" s="1">
        <f t="shared" si="190"/>
        <v>1198</v>
      </c>
      <c r="N1949" s="38">
        <f>+M1949*'Failure Data'!F$3</f>
        <v>30.948333333333334</v>
      </c>
    </row>
    <row r="1950" spans="1:14" x14ac:dyDescent="0.15">
      <c r="A1950" s="1">
        <v>1941</v>
      </c>
      <c r="B1950" s="3">
        <f t="shared" si="185"/>
        <v>490.17359010848196</v>
      </c>
      <c r="C1950" s="8"/>
      <c r="D1950" s="3">
        <f t="shared" si="186"/>
        <v>483.83374010559743</v>
      </c>
      <c r="F1950" s="3">
        <f t="shared" si="187"/>
        <v>-390.17359010848196</v>
      </c>
      <c r="G1950" s="3">
        <f t="shared" si="188"/>
        <v>6.3398500028845319</v>
      </c>
      <c r="H1950" s="3">
        <f t="shared" si="189"/>
        <v>483.83374010559743</v>
      </c>
      <c r="M1950" s="1">
        <f t="shared" si="190"/>
        <v>1199</v>
      </c>
      <c r="N1950" s="38">
        <f>+M1950*'Failure Data'!F$3</f>
        <v>30.974166666666665</v>
      </c>
    </row>
    <row r="1951" spans="1:14" x14ac:dyDescent="0.15">
      <c r="A1951" s="1">
        <v>1942</v>
      </c>
      <c r="B1951" s="3">
        <f t="shared" ref="B1951:B2014" si="191">+(B$4*A1951)+B$5</f>
        <v>490.42449359385398</v>
      </c>
      <c r="C1951" s="8"/>
      <c r="D1951" s="3">
        <f t="shared" ref="D1951:D2014" si="192">+(D$4*A1951)+D$5</f>
        <v>484.08464359096945</v>
      </c>
      <c r="F1951" s="3">
        <f t="shared" ref="F1951:F2014" si="193">+xmax-B1951</f>
        <v>-390.42449359385398</v>
      </c>
      <c r="G1951" s="3">
        <f t="shared" ref="G1951:G2014" si="194">+B1951-D1951</f>
        <v>6.3398500028845319</v>
      </c>
      <c r="H1951" s="3">
        <f t="shared" ref="H1951:H2014" si="195">D1951</f>
        <v>484.08464359096945</v>
      </c>
      <c r="M1951" s="1">
        <f t="shared" si="190"/>
        <v>1200</v>
      </c>
      <c r="N1951" s="38">
        <f>+M1951*'Failure Data'!F$3</f>
        <v>31</v>
      </c>
    </row>
    <row r="1952" spans="1:14" x14ac:dyDescent="0.15">
      <c r="A1952" s="1">
        <v>1943</v>
      </c>
      <c r="B1952" s="3">
        <f t="shared" si="191"/>
        <v>490.67539707922595</v>
      </c>
      <c r="C1952" s="8"/>
      <c r="D1952" s="3">
        <f t="shared" si="192"/>
        <v>484.33554707634141</v>
      </c>
      <c r="F1952" s="3">
        <f t="shared" si="193"/>
        <v>-390.67539707922595</v>
      </c>
      <c r="G1952" s="3">
        <f t="shared" si="194"/>
        <v>6.3398500028845319</v>
      </c>
      <c r="H1952" s="3">
        <f t="shared" si="195"/>
        <v>484.33554707634141</v>
      </c>
      <c r="M1952" s="1">
        <f t="shared" si="190"/>
        <v>1201</v>
      </c>
      <c r="N1952" s="38">
        <f>+M1952*'Failure Data'!F$3</f>
        <v>31.025833333333335</v>
      </c>
    </row>
    <row r="1953" spans="1:14" x14ac:dyDescent="0.15">
      <c r="A1953" s="1">
        <v>1944</v>
      </c>
      <c r="B1953" s="3">
        <f t="shared" si="191"/>
        <v>490.92630056459797</v>
      </c>
      <c r="C1953" s="8"/>
      <c r="D1953" s="3">
        <f t="shared" si="192"/>
        <v>484.58645056171343</v>
      </c>
      <c r="F1953" s="3">
        <f t="shared" si="193"/>
        <v>-390.92630056459797</v>
      </c>
      <c r="G1953" s="3">
        <f t="shared" si="194"/>
        <v>6.3398500028845319</v>
      </c>
      <c r="H1953" s="3">
        <f t="shared" si="195"/>
        <v>484.58645056171343</v>
      </c>
      <c r="M1953" s="1">
        <f t="shared" si="190"/>
        <v>1202</v>
      </c>
      <c r="N1953" s="38">
        <f>+M1953*'Failure Data'!F$3</f>
        <v>31.051666666666666</v>
      </c>
    </row>
    <row r="1954" spans="1:14" x14ac:dyDescent="0.15">
      <c r="A1954" s="1">
        <v>1945</v>
      </c>
      <c r="B1954" s="3">
        <f t="shared" si="191"/>
        <v>491.17720404996993</v>
      </c>
      <c r="C1954" s="8"/>
      <c r="D1954" s="3">
        <f t="shared" si="192"/>
        <v>484.8373540470854</v>
      </c>
      <c r="F1954" s="3">
        <f t="shared" si="193"/>
        <v>-391.17720404996993</v>
      </c>
      <c r="G1954" s="3">
        <f t="shared" si="194"/>
        <v>6.3398500028845319</v>
      </c>
      <c r="H1954" s="3">
        <f t="shared" si="195"/>
        <v>484.8373540470854</v>
      </c>
      <c r="M1954" s="1">
        <f t="shared" si="190"/>
        <v>1203</v>
      </c>
      <c r="N1954" s="38">
        <f>+M1954*'Failure Data'!F$3</f>
        <v>31.077500000000001</v>
      </c>
    </row>
    <row r="1955" spans="1:14" x14ac:dyDescent="0.15">
      <c r="A1955" s="1">
        <v>1946</v>
      </c>
      <c r="B1955" s="3">
        <f t="shared" si="191"/>
        <v>491.42810753534195</v>
      </c>
      <c r="C1955" s="8"/>
      <c r="D1955" s="3">
        <f t="shared" si="192"/>
        <v>485.08825753245742</v>
      </c>
      <c r="F1955" s="3">
        <f t="shared" si="193"/>
        <v>-391.42810753534195</v>
      </c>
      <c r="G1955" s="3">
        <f t="shared" si="194"/>
        <v>6.3398500028845319</v>
      </c>
      <c r="H1955" s="3">
        <f t="shared" si="195"/>
        <v>485.08825753245742</v>
      </c>
      <c r="M1955" s="1">
        <f t="shared" si="190"/>
        <v>1204</v>
      </c>
      <c r="N1955" s="38">
        <f>+M1955*'Failure Data'!F$3</f>
        <v>31.103333333333332</v>
      </c>
    </row>
    <row r="1956" spans="1:14" x14ac:dyDescent="0.15">
      <c r="A1956" s="1">
        <v>1947</v>
      </c>
      <c r="B1956" s="3">
        <f t="shared" si="191"/>
        <v>491.67901102071392</v>
      </c>
      <c r="C1956" s="8"/>
      <c r="D1956" s="3">
        <f t="shared" si="192"/>
        <v>485.33916101782938</v>
      </c>
      <c r="F1956" s="3">
        <f t="shared" si="193"/>
        <v>-391.67901102071392</v>
      </c>
      <c r="G1956" s="3">
        <f t="shared" si="194"/>
        <v>6.3398500028845319</v>
      </c>
      <c r="H1956" s="3">
        <f t="shared" si="195"/>
        <v>485.33916101782938</v>
      </c>
      <c r="M1956" s="1">
        <f t="shared" si="190"/>
        <v>1205</v>
      </c>
      <c r="N1956" s="38">
        <f>+M1956*'Failure Data'!F$3</f>
        <v>31.129166666666666</v>
      </c>
    </row>
    <row r="1957" spans="1:14" x14ac:dyDescent="0.15">
      <c r="A1957" s="1">
        <v>1948</v>
      </c>
      <c r="B1957" s="3">
        <f t="shared" si="191"/>
        <v>491.92991450608594</v>
      </c>
      <c r="C1957" s="8"/>
      <c r="D1957" s="3">
        <f t="shared" si="192"/>
        <v>485.5900645032014</v>
      </c>
      <c r="F1957" s="3">
        <f t="shared" si="193"/>
        <v>-391.92991450608594</v>
      </c>
      <c r="G1957" s="3">
        <f t="shared" si="194"/>
        <v>6.3398500028845319</v>
      </c>
      <c r="H1957" s="3">
        <f t="shared" si="195"/>
        <v>485.5900645032014</v>
      </c>
      <c r="M1957" s="1">
        <f t="shared" si="190"/>
        <v>1206</v>
      </c>
      <c r="N1957" s="38">
        <f>+M1957*'Failure Data'!F$3</f>
        <v>31.155000000000001</v>
      </c>
    </row>
    <row r="1958" spans="1:14" x14ac:dyDescent="0.15">
      <c r="A1958" s="1">
        <v>1949</v>
      </c>
      <c r="B1958" s="3">
        <f t="shared" si="191"/>
        <v>492.1808179914579</v>
      </c>
      <c r="C1958" s="8"/>
      <c r="D1958" s="3">
        <f t="shared" si="192"/>
        <v>485.84096798857337</v>
      </c>
      <c r="F1958" s="3">
        <f t="shared" si="193"/>
        <v>-392.1808179914579</v>
      </c>
      <c r="G1958" s="3">
        <f t="shared" si="194"/>
        <v>6.3398500028845319</v>
      </c>
      <c r="H1958" s="3">
        <f t="shared" si="195"/>
        <v>485.84096798857337</v>
      </c>
      <c r="M1958" s="1">
        <f t="shared" si="190"/>
        <v>1207</v>
      </c>
      <c r="N1958" s="38">
        <f>+M1958*'Failure Data'!F$3</f>
        <v>31.180833333333332</v>
      </c>
    </row>
    <row r="1959" spans="1:14" x14ac:dyDescent="0.15">
      <c r="A1959" s="1">
        <v>1950</v>
      </c>
      <c r="B1959" s="3">
        <f t="shared" si="191"/>
        <v>492.43172147682992</v>
      </c>
      <c r="C1959" s="8"/>
      <c r="D1959" s="3">
        <f t="shared" si="192"/>
        <v>486.09187147394539</v>
      </c>
      <c r="F1959" s="3">
        <f t="shared" si="193"/>
        <v>-392.43172147682992</v>
      </c>
      <c r="G1959" s="3">
        <f t="shared" si="194"/>
        <v>6.3398500028845319</v>
      </c>
      <c r="H1959" s="3">
        <f t="shared" si="195"/>
        <v>486.09187147394539</v>
      </c>
      <c r="M1959" s="1">
        <f t="shared" si="190"/>
        <v>1208</v>
      </c>
      <c r="N1959" s="38">
        <f>+M1959*'Failure Data'!F$3</f>
        <v>31.206666666666667</v>
      </c>
    </row>
    <row r="1960" spans="1:14" x14ac:dyDescent="0.15">
      <c r="A1960" s="1">
        <v>1951</v>
      </c>
      <c r="B1960" s="3">
        <f t="shared" si="191"/>
        <v>492.68262496220194</v>
      </c>
      <c r="C1960" s="8"/>
      <c r="D1960" s="3">
        <f t="shared" si="192"/>
        <v>486.34277495931735</v>
      </c>
      <c r="F1960" s="3">
        <f t="shared" si="193"/>
        <v>-392.68262496220194</v>
      </c>
      <c r="G1960" s="3">
        <f t="shared" si="194"/>
        <v>6.3398500028845888</v>
      </c>
      <c r="H1960" s="3">
        <f t="shared" si="195"/>
        <v>486.34277495931735</v>
      </c>
      <c r="M1960" s="1">
        <f t="shared" si="190"/>
        <v>1209</v>
      </c>
      <c r="N1960" s="38">
        <f>+M1960*'Failure Data'!F$3</f>
        <v>31.232499999999998</v>
      </c>
    </row>
    <row r="1961" spans="1:14" x14ac:dyDescent="0.15">
      <c r="A1961" s="1">
        <v>1952</v>
      </c>
      <c r="B1961" s="3">
        <f t="shared" si="191"/>
        <v>492.93352844757391</v>
      </c>
      <c r="C1961" s="8"/>
      <c r="D1961" s="3">
        <f t="shared" si="192"/>
        <v>486.59367844468937</v>
      </c>
      <c r="F1961" s="3">
        <f t="shared" si="193"/>
        <v>-392.93352844757391</v>
      </c>
      <c r="G1961" s="3">
        <f t="shared" si="194"/>
        <v>6.3398500028845319</v>
      </c>
      <c r="H1961" s="3">
        <f t="shared" si="195"/>
        <v>486.59367844468937</v>
      </c>
      <c r="M1961" s="1">
        <f t="shared" si="190"/>
        <v>1210</v>
      </c>
      <c r="N1961" s="38">
        <f>+M1961*'Failure Data'!F$3</f>
        <v>31.258333333333333</v>
      </c>
    </row>
    <row r="1962" spans="1:14" x14ac:dyDescent="0.15">
      <c r="A1962" s="1">
        <v>1953</v>
      </c>
      <c r="B1962" s="3">
        <f t="shared" si="191"/>
        <v>493.18443193294593</v>
      </c>
      <c r="C1962" s="8"/>
      <c r="D1962" s="3">
        <f t="shared" si="192"/>
        <v>486.84458193006134</v>
      </c>
      <c r="F1962" s="3">
        <f t="shared" si="193"/>
        <v>-393.18443193294593</v>
      </c>
      <c r="G1962" s="3">
        <f t="shared" si="194"/>
        <v>6.3398500028845888</v>
      </c>
      <c r="H1962" s="3">
        <f t="shared" si="195"/>
        <v>486.84458193006134</v>
      </c>
      <c r="M1962" s="1">
        <f t="shared" si="190"/>
        <v>1211</v>
      </c>
      <c r="N1962" s="38">
        <f>+M1962*'Failure Data'!F$3</f>
        <v>31.284166666666668</v>
      </c>
    </row>
    <row r="1963" spans="1:14" x14ac:dyDescent="0.15">
      <c r="A1963" s="1">
        <v>1954</v>
      </c>
      <c r="B1963" s="3">
        <f t="shared" si="191"/>
        <v>493.43533541831789</v>
      </c>
      <c r="C1963" s="8"/>
      <c r="D1963" s="3">
        <f t="shared" si="192"/>
        <v>487.09548541543336</v>
      </c>
      <c r="F1963" s="3">
        <f t="shared" si="193"/>
        <v>-393.43533541831789</v>
      </c>
      <c r="G1963" s="3">
        <f t="shared" si="194"/>
        <v>6.3398500028845319</v>
      </c>
      <c r="H1963" s="3">
        <f t="shared" si="195"/>
        <v>487.09548541543336</v>
      </c>
      <c r="M1963" s="1">
        <f t="shared" si="190"/>
        <v>1212</v>
      </c>
      <c r="N1963" s="38">
        <f>+M1963*'Failure Data'!F$3</f>
        <v>31.31</v>
      </c>
    </row>
    <row r="1964" spans="1:14" x14ac:dyDescent="0.15">
      <c r="A1964" s="1">
        <v>1955</v>
      </c>
      <c r="B1964" s="3">
        <f t="shared" si="191"/>
        <v>493.68623890368991</v>
      </c>
      <c r="C1964" s="8"/>
      <c r="D1964" s="3">
        <f t="shared" si="192"/>
        <v>487.34638890080538</v>
      </c>
      <c r="F1964" s="3">
        <f t="shared" si="193"/>
        <v>-393.68623890368991</v>
      </c>
      <c r="G1964" s="3">
        <f t="shared" si="194"/>
        <v>6.3398500028845319</v>
      </c>
      <c r="H1964" s="3">
        <f t="shared" si="195"/>
        <v>487.34638890080538</v>
      </c>
      <c r="M1964" s="1">
        <f t="shared" si="190"/>
        <v>1213</v>
      </c>
      <c r="N1964" s="38">
        <f>+M1964*'Failure Data'!F$3</f>
        <v>31.335833333333333</v>
      </c>
    </row>
    <row r="1965" spans="1:14" x14ac:dyDescent="0.15">
      <c r="A1965" s="1">
        <v>1956</v>
      </c>
      <c r="B1965" s="3">
        <f t="shared" si="191"/>
        <v>493.93714238906188</v>
      </c>
      <c r="C1965" s="8"/>
      <c r="D1965" s="3">
        <f t="shared" si="192"/>
        <v>487.59729238617734</v>
      </c>
      <c r="F1965" s="3">
        <f t="shared" si="193"/>
        <v>-393.93714238906188</v>
      </c>
      <c r="G1965" s="3">
        <f t="shared" si="194"/>
        <v>6.3398500028845319</v>
      </c>
      <c r="H1965" s="3">
        <f t="shared" si="195"/>
        <v>487.59729238617734</v>
      </c>
      <c r="M1965" s="1">
        <f t="shared" si="190"/>
        <v>1214</v>
      </c>
      <c r="N1965" s="38">
        <f>+M1965*'Failure Data'!F$3</f>
        <v>31.361666666666668</v>
      </c>
    </row>
    <row r="1966" spans="1:14" x14ac:dyDescent="0.15">
      <c r="A1966" s="1">
        <v>1957</v>
      </c>
      <c r="B1966" s="3">
        <f t="shared" si="191"/>
        <v>494.1880458744339</v>
      </c>
      <c r="C1966" s="8"/>
      <c r="D1966" s="3">
        <f t="shared" si="192"/>
        <v>487.84819587154936</v>
      </c>
      <c r="F1966" s="3">
        <f t="shared" si="193"/>
        <v>-394.1880458744339</v>
      </c>
      <c r="G1966" s="3">
        <f t="shared" si="194"/>
        <v>6.3398500028845319</v>
      </c>
      <c r="H1966" s="3">
        <f t="shared" si="195"/>
        <v>487.84819587154936</v>
      </c>
      <c r="M1966" s="1">
        <f t="shared" si="190"/>
        <v>1215</v>
      </c>
      <c r="N1966" s="38">
        <f>+M1966*'Failure Data'!F$3</f>
        <v>31.387499999999999</v>
      </c>
    </row>
    <row r="1967" spans="1:14" x14ac:dyDescent="0.15">
      <c r="A1967" s="1">
        <v>1958</v>
      </c>
      <c r="B1967" s="3">
        <f t="shared" si="191"/>
        <v>494.43894935980586</v>
      </c>
      <c r="C1967" s="8"/>
      <c r="D1967" s="3">
        <f t="shared" si="192"/>
        <v>488.09909935692133</v>
      </c>
      <c r="F1967" s="3">
        <f t="shared" si="193"/>
        <v>-394.43894935980586</v>
      </c>
      <c r="G1967" s="3">
        <f t="shared" si="194"/>
        <v>6.3398500028845319</v>
      </c>
      <c r="H1967" s="3">
        <f t="shared" si="195"/>
        <v>488.09909935692133</v>
      </c>
      <c r="M1967" s="1">
        <f t="shared" si="190"/>
        <v>1216</v>
      </c>
      <c r="N1967" s="38">
        <f>+M1967*'Failure Data'!F$3</f>
        <v>31.413333333333334</v>
      </c>
    </row>
    <row r="1968" spans="1:14" x14ac:dyDescent="0.15">
      <c r="A1968" s="1">
        <v>1959</v>
      </c>
      <c r="B1968" s="3">
        <f t="shared" si="191"/>
        <v>494.68985284517788</v>
      </c>
      <c r="C1968" s="8"/>
      <c r="D1968" s="3">
        <f t="shared" si="192"/>
        <v>488.35000284229335</v>
      </c>
      <c r="F1968" s="3">
        <f t="shared" si="193"/>
        <v>-394.68985284517788</v>
      </c>
      <c r="G1968" s="3">
        <f t="shared" si="194"/>
        <v>6.3398500028845319</v>
      </c>
      <c r="H1968" s="3">
        <f t="shared" si="195"/>
        <v>488.35000284229335</v>
      </c>
      <c r="M1968" s="1">
        <f t="shared" si="190"/>
        <v>1217</v>
      </c>
      <c r="N1968" s="38">
        <f>+M1968*'Failure Data'!F$3</f>
        <v>31.439166666666665</v>
      </c>
    </row>
    <row r="1969" spans="1:14" x14ac:dyDescent="0.15">
      <c r="A1969" s="1">
        <v>1960</v>
      </c>
      <c r="B1969" s="3">
        <f t="shared" si="191"/>
        <v>494.94075633054985</v>
      </c>
      <c r="C1969" s="8"/>
      <c r="D1969" s="3">
        <f t="shared" si="192"/>
        <v>488.60090632766531</v>
      </c>
      <c r="F1969" s="3">
        <f t="shared" si="193"/>
        <v>-394.94075633054985</v>
      </c>
      <c r="G1969" s="3">
        <f t="shared" si="194"/>
        <v>6.3398500028845319</v>
      </c>
      <c r="H1969" s="3">
        <f t="shared" si="195"/>
        <v>488.60090632766531</v>
      </c>
      <c r="M1969" s="1">
        <f t="shared" si="190"/>
        <v>1218</v>
      </c>
      <c r="N1969" s="38">
        <f>+M1969*'Failure Data'!F$3</f>
        <v>31.465</v>
      </c>
    </row>
    <row r="1970" spans="1:14" x14ac:dyDescent="0.15">
      <c r="A1970" s="1">
        <v>1961</v>
      </c>
      <c r="B1970" s="3">
        <f t="shared" si="191"/>
        <v>495.19165981592187</v>
      </c>
      <c r="C1970" s="8"/>
      <c r="D1970" s="3">
        <f t="shared" si="192"/>
        <v>488.85180981303733</v>
      </c>
      <c r="F1970" s="3">
        <f t="shared" si="193"/>
        <v>-395.19165981592187</v>
      </c>
      <c r="G1970" s="3">
        <f t="shared" si="194"/>
        <v>6.3398500028845319</v>
      </c>
      <c r="H1970" s="3">
        <f t="shared" si="195"/>
        <v>488.85180981303733</v>
      </c>
      <c r="M1970" s="1">
        <f t="shared" si="190"/>
        <v>1219</v>
      </c>
      <c r="N1970" s="38">
        <f>+M1970*'Failure Data'!F$3</f>
        <v>31.490833333333335</v>
      </c>
    </row>
    <row r="1971" spans="1:14" x14ac:dyDescent="0.15">
      <c r="A1971" s="1">
        <v>1962</v>
      </c>
      <c r="B1971" s="3">
        <f t="shared" si="191"/>
        <v>495.44256330129383</v>
      </c>
      <c r="C1971" s="8"/>
      <c r="D1971" s="3">
        <f t="shared" si="192"/>
        <v>489.1027132984093</v>
      </c>
      <c r="F1971" s="3">
        <f t="shared" si="193"/>
        <v>-395.44256330129383</v>
      </c>
      <c r="G1971" s="3">
        <f t="shared" si="194"/>
        <v>6.3398500028845319</v>
      </c>
      <c r="H1971" s="3">
        <f t="shared" si="195"/>
        <v>489.1027132984093</v>
      </c>
      <c r="M1971" s="1">
        <f t="shared" si="190"/>
        <v>1220</v>
      </c>
      <c r="N1971" s="38">
        <f>+M1971*'Failure Data'!F$3</f>
        <v>31.516666666666666</v>
      </c>
    </row>
    <row r="1972" spans="1:14" x14ac:dyDescent="0.15">
      <c r="A1972" s="1">
        <v>1963</v>
      </c>
      <c r="B1972" s="3">
        <f t="shared" si="191"/>
        <v>495.69346678666585</v>
      </c>
      <c r="C1972" s="8"/>
      <c r="D1972" s="3">
        <f t="shared" si="192"/>
        <v>489.35361678378132</v>
      </c>
      <c r="F1972" s="3">
        <f t="shared" si="193"/>
        <v>-395.69346678666585</v>
      </c>
      <c r="G1972" s="3">
        <f t="shared" si="194"/>
        <v>6.3398500028845319</v>
      </c>
      <c r="H1972" s="3">
        <f t="shared" si="195"/>
        <v>489.35361678378132</v>
      </c>
      <c r="M1972" s="1">
        <f t="shared" si="190"/>
        <v>1221</v>
      </c>
      <c r="N1972" s="38">
        <f>+M1972*'Failure Data'!F$3</f>
        <v>31.5425</v>
      </c>
    </row>
    <row r="1973" spans="1:14" x14ac:dyDescent="0.15">
      <c r="A1973" s="1">
        <v>1964</v>
      </c>
      <c r="B1973" s="3">
        <f t="shared" si="191"/>
        <v>495.94437027203782</v>
      </c>
      <c r="C1973" s="8"/>
      <c r="D1973" s="3">
        <f t="shared" si="192"/>
        <v>489.60452026915328</v>
      </c>
      <c r="F1973" s="3">
        <f t="shared" si="193"/>
        <v>-395.94437027203782</v>
      </c>
      <c r="G1973" s="3">
        <f t="shared" si="194"/>
        <v>6.3398500028845319</v>
      </c>
      <c r="H1973" s="3">
        <f t="shared" si="195"/>
        <v>489.60452026915328</v>
      </c>
      <c r="M1973" s="1">
        <f t="shared" si="190"/>
        <v>1222</v>
      </c>
      <c r="N1973" s="38">
        <f>+M1973*'Failure Data'!F$3</f>
        <v>31.568333333333332</v>
      </c>
    </row>
    <row r="1974" spans="1:14" x14ac:dyDescent="0.15">
      <c r="A1974" s="1">
        <v>1965</v>
      </c>
      <c r="B1974" s="3">
        <f t="shared" si="191"/>
        <v>496.19527375740984</v>
      </c>
      <c r="C1974" s="8"/>
      <c r="D1974" s="3">
        <f t="shared" si="192"/>
        <v>489.8554237545253</v>
      </c>
      <c r="F1974" s="3">
        <f t="shared" si="193"/>
        <v>-396.19527375740984</v>
      </c>
      <c r="G1974" s="3">
        <f t="shared" si="194"/>
        <v>6.3398500028845319</v>
      </c>
      <c r="H1974" s="3">
        <f t="shared" si="195"/>
        <v>489.8554237545253</v>
      </c>
      <c r="M1974" s="1">
        <f t="shared" si="190"/>
        <v>1223</v>
      </c>
      <c r="N1974" s="38">
        <f>+M1974*'Failure Data'!F$3</f>
        <v>31.594166666666666</v>
      </c>
    </row>
    <row r="1975" spans="1:14" x14ac:dyDescent="0.15">
      <c r="A1975" s="1">
        <v>1966</v>
      </c>
      <c r="B1975" s="3">
        <f t="shared" si="191"/>
        <v>496.4461772427818</v>
      </c>
      <c r="C1975" s="8"/>
      <c r="D1975" s="3">
        <f t="shared" si="192"/>
        <v>490.10632723989727</v>
      </c>
      <c r="F1975" s="3">
        <f t="shared" si="193"/>
        <v>-396.4461772427818</v>
      </c>
      <c r="G1975" s="3">
        <f t="shared" si="194"/>
        <v>6.3398500028845319</v>
      </c>
      <c r="H1975" s="3">
        <f t="shared" si="195"/>
        <v>490.10632723989727</v>
      </c>
      <c r="M1975" s="1">
        <f t="shared" si="190"/>
        <v>1224</v>
      </c>
      <c r="N1975" s="38">
        <f>+M1975*'Failure Data'!F$3</f>
        <v>31.62</v>
      </c>
    </row>
    <row r="1976" spans="1:14" x14ac:dyDescent="0.15">
      <c r="A1976" s="1">
        <v>1967</v>
      </c>
      <c r="B1976" s="3">
        <f t="shared" si="191"/>
        <v>496.69708072815382</v>
      </c>
      <c r="C1976" s="8"/>
      <c r="D1976" s="3">
        <f t="shared" si="192"/>
        <v>490.35723072526929</v>
      </c>
      <c r="F1976" s="3">
        <f t="shared" si="193"/>
        <v>-396.69708072815382</v>
      </c>
      <c r="G1976" s="3">
        <f t="shared" si="194"/>
        <v>6.3398500028845319</v>
      </c>
      <c r="H1976" s="3">
        <f t="shared" si="195"/>
        <v>490.35723072526929</v>
      </c>
      <c r="M1976" s="1">
        <f t="shared" si="190"/>
        <v>1225</v>
      </c>
      <c r="N1976" s="38">
        <f>+M1976*'Failure Data'!F$3</f>
        <v>31.645833333333332</v>
      </c>
    </row>
    <row r="1977" spans="1:14" x14ac:dyDescent="0.15">
      <c r="A1977" s="1">
        <v>1968</v>
      </c>
      <c r="B1977" s="3">
        <f t="shared" si="191"/>
        <v>496.94798421352579</v>
      </c>
      <c r="C1977" s="8"/>
      <c r="D1977" s="3">
        <f t="shared" si="192"/>
        <v>490.60813421064125</v>
      </c>
      <c r="F1977" s="3">
        <f t="shared" si="193"/>
        <v>-396.94798421352579</v>
      </c>
      <c r="G1977" s="3">
        <f t="shared" si="194"/>
        <v>6.3398500028845319</v>
      </c>
      <c r="H1977" s="3">
        <f t="shared" si="195"/>
        <v>490.60813421064125</v>
      </c>
      <c r="M1977" s="1">
        <f t="shared" si="190"/>
        <v>1226</v>
      </c>
      <c r="N1977" s="38">
        <f>+M1977*'Failure Data'!F$3</f>
        <v>31.671666666666667</v>
      </c>
    </row>
    <row r="1978" spans="1:14" x14ac:dyDescent="0.15">
      <c r="A1978" s="1">
        <v>1969</v>
      </c>
      <c r="B1978" s="3">
        <f t="shared" si="191"/>
        <v>497.19888769889781</v>
      </c>
      <c r="C1978" s="8"/>
      <c r="D1978" s="3">
        <f t="shared" si="192"/>
        <v>490.85903769601327</v>
      </c>
      <c r="F1978" s="3">
        <f t="shared" si="193"/>
        <v>-397.19888769889781</v>
      </c>
      <c r="G1978" s="3">
        <f t="shared" si="194"/>
        <v>6.3398500028845319</v>
      </c>
      <c r="H1978" s="3">
        <f t="shared" si="195"/>
        <v>490.85903769601327</v>
      </c>
      <c r="M1978" s="1">
        <f t="shared" si="190"/>
        <v>1227</v>
      </c>
      <c r="N1978" s="38">
        <f>+M1978*'Failure Data'!F$3</f>
        <v>31.697499999999998</v>
      </c>
    </row>
    <row r="1979" spans="1:14" x14ac:dyDescent="0.15">
      <c r="A1979" s="1">
        <v>1970</v>
      </c>
      <c r="B1979" s="3">
        <f t="shared" si="191"/>
        <v>497.44979118426977</v>
      </c>
      <c r="C1979" s="8"/>
      <c r="D1979" s="3">
        <f t="shared" si="192"/>
        <v>491.10994118138524</v>
      </c>
      <c r="F1979" s="3">
        <f t="shared" si="193"/>
        <v>-397.44979118426977</v>
      </c>
      <c r="G1979" s="3">
        <f t="shared" si="194"/>
        <v>6.3398500028845319</v>
      </c>
      <c r="H1979" s="3">
        <f t="shared" si="195"/>
        <v>491.10994118138524</v>
      </c>
      <c r="M1979" s="1">
        <f t="shared" si="190"/>
        <v>1228</v>
      </c>
      <c r="N1979" s="38">
        <f>+M1979*'Failure Data'!F$3</f>
        <v>31.723333333333333</v>
      </c>
    </row>
    <row r="1980" spans="1:14" x14ac:dyDescent="0.15">
      <c r="A1980" s="1">
        <v>1971</v>
      </c>
      <c r="B1980" s="3">
        <f t="shared" si="191"/>
        <v>497.70069466964179</v>
      </c>
      <c r="C1980" s="8"/>
      <c r="D1980" s="3">
        <f t="shared" si="192"/>
        <v>491.36084466675726</v>
      </c>
      <c r="F1980" s="3">
        <f t="shared" si="193"/>
        <v>-397.70069466964179</v>
      </c>
      <c r="G1980" s="3">
        <f t="shared" si="194"/>
        <v>6.3398500028845319</v>
      </c>
      <c r="H1980" s="3">
        <f t="shared" si="195"/>
        <v>491.36084466675726</v>
      </c>
      <c r="M1980" s="1">
        <f t="shared" si="190"/>
        <v>1229</v>
      </c>
      <c r="N1980" s="38">
        <f>+M1980*'Failure Data'!F$3</f>
        <v>31.749166666666667</v>
      </c>
    </row>
    <row r="1981" spans="1:14" x14ac:dyDescent="0.15">
      <c r="A1981" s="1">
        <v>1972</v>
      </c>
      <c r="B1981" s="3">
        <f t="shared" si="191"/>
        <v>497.95159815501376</v>
      </c>
      <c r="C1981" s="8"/>
      <c r="D1981" s="3">
        <f t="shared" si="192"/>
        <v>491.61174815212922</v>
      </c>
      <c r="F1981" s="3">
        <f t="shared" si="193"/>
        <v>-397.95159815501376</v>
      </c>
      <c r="G1981" s="3">
        <f t="shared" si="194"/>
        <v>6.3398500028845319</v>
      </c>
      <c r="H1981" s="3">
        <f t="shared" si="195"/>
        <v>491.61174815212922</v>
      </c>
      <c r="M1981" s="1">
        <f t="shared" si="190"/>
        <v>1230</v>
      </c>
      <c r="N1981" s="38">
        <f>+M1981*'Failure Data'!F$3</f>
        <v>31.774999999999999</v>
      </c>
    </row>
    <row r="1982" spans="1:14" x14ac:dyDescent="0.15">
      <c r="A1982" s="1">
        <v>1973</v>
      </c>
      <c r="B1982" s="3">
        <f t="shared" si="191"/>
        <v>498.20250164038578</v>
      </c>
      <c r="C1982" s="8"/>
      <c r="D1982" s="3">
        <f t="shared" si="192"/>
        <v>491.86265163750124</v>
      </c>
      <c r="F1982" s="3">
        <f t="shared" si="193"/>
        <v>-398.20250164038578</v>
      </c>
      <c r="G1982" s="3">
        <f t="shared" si="194"/>
        <v>6.3398500028845319</v>
      </c>
      <c r="H1982" s="3">
        <f t="shared" si="195"/>
        <v>491.86265163750124</v>
      </c>
      <c r="M1982" s="1">
        <f t="shared" si="190"/>
        <v>1231</v>
      </c>
      <c r="N1982" s="38">
        <f>+M1982*'Failure Data'!F$3</f>
        <v>31.800833333333333</v>
      </c>
    </row>
    <row r="1983" spans="1:14" x14ac:dyDescent="0.15">
      <c r="A1983" s="1">
        <v>1974</v>
      </c>
      <c r="B1983" s="3">
        <f t="shared" si="191"/>
        <v>498.45340512575774</v>
      </c>
      <c r="C1983" s="8"/>
      <c r="D1983" s="3">
        <f t="shared" si="192"/>
        <v>492.11355512287321</v>
      </c>
      <c r="F1983" s="3">
        <f t="shared" si="193"/>
        <v>-398.45340512575774</v>
      </c>
      <c r="G1983" s="3">
        <f t="shared" si="194"/>
        <v>6.3398500028845319</v>
      </c>
      <c r="H1983" s="3">
        <f t="shared" si="195"/>
        <v>492.11355512287321</v>
      </c>
      <c r="M1983" s="1">
        <f t="shared" si="190"/>
        <v>1232</v>
      </c>
      <c r="N1983" s="38">
        <f>+M1983*'Failure Data'!F$3</f>
        <v>31.826666666666668</v>
      </c>
    </row>
    <row r="1984" spans="1:14" x14ac:dyDescent="0.15">
      <c r="A1984" s="1">
        <v>1975</v>
      </c>
      <c r="B1984" s="3">
        <f t="shared" si="191"/>
        <v>498.70430861112976</v>
      </c>
      <c r="C1984" s="8"/>
      <c r="D1984" s="3">
        <f t="shared" si="192"/>
        <v>492.36445860824523</v>
      </c>
      <c r="F1984" s="3">
        <f t="shared" si="193"/>
        <v>-398.70430861112976</v>
      </c>
      <c r="G1984" s="3">
        <f t="shared" si="194"/>
        <v>6.3398500028845319</v>
      </c>
      <c r="H1984" s="3">
        <f t="shared" si="195"/>
        <v>492.36445860824523</v>
      </c>
      <c r="M1984" s="1">
        <f t="shared" si="190"/>
        <v>1233</v>
      </c>
      <c r="N1984" s="38">
        <f>+M1984*'Failure Data'!F$3</f>
        <v>31.852499999999999</v>
      </c>
    </row>
    <row r="1985" spans="1:14" x14ac:dyDescent="0.15">
      <c r="A1985" s="1">
        <v>1976</v>
      </c>
      <c r="B1985" s="3">
        <f t="shared" si="191"/>
        <v>498.95521209650178</v>
      </c>
      <c r="C1985" s="8"/>
      <c r="D1985" s="3">
        <f t="shared" si="192"/>
        <v>492.61536209361719</v>
      </c>
      <c r="F1985" s="3">
        <f t="shared" si="193"/>
        <v>-398.95521209650178</v>
      </c>
      <c r="G1985" s="3">
        <f t="shared" si="194"/>
        <v>6.3398500028845888</v>
      </c>
      <c r="H1985" s="3">
        <f t="shared" si="195"/>
        <v>492.61536209361719</v>
      </c>
      <c r="M1985" s="1">
        <f t="shared" ref="M1985:M2048" si="196">M1984+1</f>
        <v>1234</v>
      </c>
      <c r="N1985" s="38">
        <f>+M1985*'Failure Data'!F$3</f>
        <v>31.878333333333334</v>
      </c>
    </row>
    <row r="1986" spans="1:14" x14ac:dyDescent="0.15">
      <c r="A1986" s="1">
        <v>1977</v>
      </c>
      <c r="B1986" s="3">
        <f t="shared" si="191"/>
        <v>499.20611558187375</v>
      </c>
      <c r="C1986" s="8"/>
      <c r="D1986" s="3">
        <f t="shared" si="192"/>
        <v>492.86626557898921</v>
      </c>
      <c r="F1986" s="3">
        <f t="shared" si="193"/>
        <v>-399.20611558187375</v>
      </c>
      <c r="G1986" s="3">
        <f t="shared" si="194"/>
        <v>6.3398500028845319</v>
      </c>
      <c r="H1986" s="3">
        <f t="shared" si="195"/>
        <v>492.86626557898921</v>
      </c>
      <c r="M1986" s="1">
        <f t="shared" si="196"/>
        <v>1235</v>
      </c>
      <c r="N1986" s="38">
        <f>+M1986*'Failure Data'!F$3</f>
        <v>31.904166666666665</v>
      </c>
    </row>
    <row r="1987" spans="1:14" x14ac:dyDescent="0.15">
      <c r="A1987" s="1">
        <v>1978</v>
      </c>
      <c r="B1987" s="3">
        <f t="shared" si="191"/>
        <v>499.45701906724577</v>
      </c>
      <c r="C1987" s="8"/>
      <c r="D1987" s="3">
        <f t="shared" si="192"/>
        <v>493.11716906436118</v>
      </c>
      <c r="F1987" s="3">
        <f t="shared" si="193"/>
        <v>-399.45701906724577</v>
      </c>
      <c r="G1987" s="3">
        <f t="shared" si="194"/>
        <v>6.3398500028845888</v>
      </c>
      <c r="H1987" s="3">
        <f t="shared" si="195"/>
        <v>493.11716906436118</v>
      </c>
      <c r="M1987" s="1">
        <f t="shared" si="196"/>
        <v>1236</v>
      </c>
      <c r="N1987" s="38">
        <f>+M1987*'Failure Data'!F$3</f>
        <v>31.93</v>
      </c>
    </row>
    <row r="1988" spans="1:14" x14ac:dyDescent="0.15">
      <c r="A1988" s="1">
        <v>1979</v>
      </c>
      <c r="B1988" s="3">
        <f t="shared" si="191"/>
        <v>499.70792255261773</v>
      </c>
      <c r="C1988" s="8"/>
      <c r="D1988" s="3">
        <f t="shared" si="192"/>
        <v>493.3680725497332</v>
      </c>
      <c r="F1988" s="3">
        <f t="shared" si="193"/>
        <v>-399.70792255261773</v>
      </c>
      <c r="G1988" s="3">
        <f t="shared" si="194"/>
        <v>6.3398500028845319</v>
      </c>
      <c r="H1988" s="3">
        <f t="shared" si="195"/>
        <v>493.3680725497332</v>
      </c>
      <c r="M1988" s="1">
        <f t="shared" si="196"/>
        <v>1237</v>
      </c>
      <c r="N1988" s="38">
        <f>+M1988*'Failure Data'!F$3</f>
        <v>31.955833333333334</v>
      </c>
    </row>
    <row r="1989" spans="1:14" x14ac:dyDescent="0.15">
      <c r="A1989" s="1">
        <v>1980</v>
      </c>
      <c r="B1989" s="3">
        <f t="shared" si="191"/>
        <v>499.95882603798975</v>
      </c>
      <c r="C1989" s="8"/>
      <c r="D1989" s="3">
        <f t="shared" si="192"/>
        <v>493.61897603510522</v>
      </c>
      <c r="F1989" s="3">
        <f t="shared" si="193"/>
        <v>-399.95882603798975</v>
      </c>
      <c r="G1989" s="3">
        <f t="shared" si="194"/>
        <v>6.3398500028845319</v>
      </c>
      <c r="H1989" s="3">
        <f t="shared" si="195"/>
        <v>493.61897603510522</v>
      </c>
      <c r="M1989" s="1">
        <f t="shared" si="196"/>
        <v>1238</v>
      </c>
      <c r="N1989" s="38">
        <f>+M1989*'Failure Data'!F$3</f>
        <v>31.981666666666666</v>
      </c>
    </row>
    <row r="1990" spans="1:14" x14ac:dyDescent="0.15">
      <c r="A1990" s="1">
        <v>1981</v>
      </c>
      <c r="B1990" s="3">
        <f t="shared" si="191"/>
        <v>500.20972952336172</v>
      </c>
      <c r="C1990" s="8"/>
      <c r="D1990" s="3">
        <f t="shared" si="192"/>
        <v>493.86987952047718</v>
      </c>
      <c r="F1990" s="3">
        <f t="shared" si="193"/>
        <v>-400.20972952336172</v>
      </c>
      <c r="G1990" s="3">
        <f t="shared" si="194"/>
        <v>6.3398500028845319</v>
      </c>
      <c r="H1990" s="3">
        <f t="shared" si="195"/>
        <v>493.86987952047718</v>
      </c>
      <c r="M1990" s="1">
        <f t="shared" si="196"/>
        <v>1239</v>
      </c>
      <c r="N1990" s="38">
        <f>+M1990*'Failure Data'!F$3</f>
        <v>32.0075</v>
      </c>
    </row>
    <row r="1991" spans="1:14" x14ac:dyDescent="0.15">
      <c r="A1991" s="1">
        <v>1982</v>
      </c>
      <c r="B1991" s="3">
        <f t="shared" si="191"/>
        <v>500.46063300873374</v>
      </c>
      <c r="C1991" s="8"/>
      <c r="D1991" s="3">
        <f t="shared" si="192"/>
        <v>494.1207830058492</v>
      </c>
      <c r="F1991" s="3">
        <f t="shared" si="193"/>
        <v>-400.46063300873374</v>
      </c>
      <c r="G1991" s="3">
        <f t="shared" si="194"/>
        <v>6.3398500028845319</v>
      </c>
      <c r="H1991" s="3">
        <f t="shared" si="195"/>
        <v>494.1207830058492</v>
      </c>
      <c r="M1991" s="1">
        <f t="shared" si="196"/>
        <v>1240</v>
      </c>
      <c r="N1991" s="38">
        <f>+M1991*'Failure Data'!F$3</f>
        <v>32.033333333333331</v>
      </c>
    </row>
    <row r="1992" spans="1:14" x14ac:dyDescent="0.15">
      <c r="A1992" s="1">
        <v>1983</v>
      </c>
      <c r="B1992" s="3">
        <f t="shared" si="191"/>
        <v>500.7115364941057</v>
      </c>
      <c r="C1992" s="8"/>
      <c r="D1992" s="3">
        <f t="shared" si="192"/>
        <v>494.37168649122117</v>
      </c>
      <c r="F1992" s="3">
        <f t="shared" si="193"/>
        <v>-400.7115364941057</v>
      </c>
      <c r="G1992" s="3">
        <f t="shared" si="194"/>
        <v>6.3398500028845319</v>
      </c>
      <c r="H1992" s="3">
        <f t="shared" si="195"/>
        <v>494.37168649122117</v>
      </c>
      <c r="M1992" s="1">
        <f t="shared" si="196"/>
        <v>1241</v>
      </c>
      <c r="N1992" s="38">
        <f>+M1992*'Failure Data'!F$3</f>
        <v>32.05916666666667</v>
      </c>
    </row>
    <row r="1993" spans="1:14" x14ac:dyDescent="0.15">
      <c r="A1993" s="1">
        <v>1984</v>
      </c>
      <c r="B1993" s="3">
        <f t="shared" si="191"/>
        <v>500.96243997947772</v>
      </c>
      <c r="C1993" s="8"/>
      <c r="D1993" s="3">
        <f t="shared" si="192"/>
        <v>494.62258997659319</v>
      </c>
      <c r="F1993" s="3">
        <f t="shared" si="193"/>
        <v>-400.96243997947772</v>
      </c>
      <c r="G1993" s="3">
        <f t="shared" si="194"/>
        <v>6.3398500028845319</v>
      </c>
      <c r="H1993" s="3">
        <f t="shared" si="195"/>
        <v>494.62258997659319</v>
      </c>
      <c r="M1993" s="1">
        <f t="shared" si="196"/>
        <v>1242</v>
      </c>
      <c r="N1993" s="38">
        <f>+M1993*'Failure Data'!F$3</f>
        <v>32.085000000000001</v>
      </c>
    </row>
    <row r="1994" spans="1:14" x14ac:dyDescent="0.15">
      <c r="A1994" s="1">
        <v>1985</v>
      </c>
      <c r="B1994" s="3">
        <f t="shared" si="191"/>
        <v>501.21334346484969</v>
      </c>
      <c r="C1994" s="8"/>
      <c r="D1994" s="3">
        <f t="shared" si="192"/>
        <v>494.87349346196515</v>
      </c>
      <c r="F1994" s="3">
        <f t="shared" si="193"/>
        <v>-401.21334346484969</v>
      </c>
      <c r="G1994" s="3">
        <f t="shared" si="194"/>
        <v>6.3398500028845319</v>
      </c>
      <c r="H1994" s="3">
        <f t="shared" si="195"/>
        <v>494.87349346196515</v>
      </c>
      <c r="M1994" s="1">
        <f t="shared" si="196"/>
        <v>1243</v>
      </c>
      <c r="N1994" s="38">
        <f>+M1994*'Failure Data'!F$3</f>
        <v>32.110833333333332</v>
      </c>
    </row>
    <row r="1995" spans="1:14" x14ac:dyDescent="0.15">
      <c r="A1995" s="1">
        <v>1986</v>
      </c>
      <c r="B1995" s="3">
        <f t="shared" si="191"/>
        <v>501.46424695022171</v>
      </c>
      <c r="C1995" s="8"/>
      <c r="D1995" s="3">
        <f t="shared" si="192"/>
        <v>495.12439694733717</v>
      </c>
      <c r="F1995" s="3">
        <f t="shared" si="193"/>
        <v>-401.46424695022171</v>
      </c>
      <c r="G1995" s="3">
        <f t="shared" si="194"/>
        <v>6.3398500028845319</v>
      </c>
      <c r="H1995" s="3">
        <f t="shared" si="195"/>
        <v>495.12439694733717</v>
      </c>
      <c r="M1995" s="1">
        <f t="shared" si="196"/>
        <v>1244</v>
      </c>
      <c r="N1995" s="38">
        <f>+M1995*'Failure Data'!F$3</f>
        <v>32.136666666666663</v>
      </c>
    </row>
    <row r="1996" spans="1:14" x14ac:dyDescent="0.15">
      <c r="A1996" s="1">
        <v>1987</v>
      </c>
      <c r="B1996" s="3">
        <f t="shared" si="191"/>
        <v>501.71515043559367</v>
      </c>
      <c r="C1996" s="8"/>
      <c r="D1996" s="3">
        <f t="shared" si="192"/>
        <v>495.37530043270914</v>
      </c>
      <c r="F1996" s="3">
        <f t="shared" si="193"/>
        <v>-401.71515043559367</v>
      </c>
      <c r="G1996" s="3">
        <f t="shared" si="194"/>
        <v>6.3398500028845319</v>
      </c>
      <c r="H1996" s="3">
        <f t="shared" si="195"/>
        <v>495.37530043270914</v>
      </c>
      <c r="M1996" s="1">
        <f t="shared" si="196"/>
        <v>1245</v>
      </c>
      <c r="N1996" s="38">
        <f>+M1996*'Failure Data'!F$3</f>
        <v>32.162500000000001</v>
      </c>
    </row>
    <row r="1997" spans="1:14" x14ac:dyDescent="0.15">
      <c r="A1997" s="1">
        <v>1988</v>
      </c>
      <c r="B1997" s="3">
        <f t="shared" si="191"/>
        <v>501.96605392096569</v>
      </c>
      <c r="C1997" s="8"/>
      <c r="D1997" s="3">
        <f t="shared" si="192"/>
        <v>495.62620391808116</v>
      </c>
      <c r="F1997" s="3">
        <f t="shared" si="193"/>
        <v>-401.96605392096569</v>
      </c>
      <c r="G1997" s="3">
        <f t="shared" si="194"/>
        <v>6.3398500028845319</v>
      </c>
      <c r="H1997" s="3">
        <f t="shared" si="195"/>
        <v>495.62620391808116</v>
      </c>
      <c r="M1997" s="1">
        <f t="shared" si="196"/>
        <v>1246</v>
      </c>
      <c r="N1997" s="38">
        <f>+M1997*'Failure Data'!F$3</f>
        <v>32.188333333333333</v>
      </c>
    </row>
    <row r="1998" spans="1:14" x14ac:dyDescent="0.15">
      <c r="A1998" s="1">
        <v>1989</v>
      </c>
      <c r="B1998" s="3">
        <f t="shared" si="191"/>
        <v>502.21695740633766</v>
      </c>
      <c r="C1998" s="8"/>
      <c r="D1998" s="3">
        <f t="shared" si="192"/>
        <v>495.87710740345312</v>
      </c>
      <c r="F1998" s="3">
        <f t="shared" si="193"/>
        <v>-402.21695740633766</v>
      </c>
      <c r="G1998" s="3">
        <f t="shared" si="194"/>
        <v>6.3398500028845319</v>
      </c>
      <c r="H1998" s="3">
        <f t="shared" si="195"/>
        <v>495.87710740345312</v>
      </c>
      <c r="M1998" s="1">
        <f t="shared" si="196"/>
        <v>1247</v>
      </c>
      <c r="N1998" s="38">
        <f>+M1998*'Failure Data'!F$3</f>
        <v>32.214166666666664</v>
      </c>
    </row>
    <row r="1999" spans="1:14" x14ac:dyDescent="0.15">
      <c r="A1999" s="1">
        <v>1990</v>
      </c>
      <c r="B1999" s="3">
        <f t="shared" si="191"/>
        <v>502.46786089170968</v>
      </c>
      <c r="C1999" s="8"/>
      <c r="D1999" s="3">
        <f t="shared" si="192"/>
        <v>496.12801088882514</v>
      </c>
      <c r="F1999" s="3">
        <f t="shared" si="193"/>
        <v>-402.46786089170968</v>
      </c>
      <c r="G1999" s="3">
        <f t="shared" si="194"/>
        <v>6.3398500028845319</v>
      </c>
      <c r="H1999" s="3">
        <f t="shared" si="195"/>
        <v>496.12801088882514</v>
      </c>
      <c r="M1999" s="1">
        <f t="shared" si="196"/>
        <v>1248</v>
      </c>
      <c r="N1999" s="38">
        <f>+M1999*'Failure Data'!F$3</f>
        <v>32.24</v>
      </c>
    </row>
    <row r="2000" spans="1:14" x14ac:dyDescent="0.15">
      <c r="A2000" s="1">
        <v>1991</v>
      </c>
      <c r="B2000" s="3">
        <f t="shared" si="191"/>
        <v>502.71876437708164</v>
      </c>
      <c r="C2000" s="8"/>
      <c r="D2000" s="3">
        <f t="shared" si="192"/>
        <v>496.37891437419711</v>
      </c>
      <c r="F2000" s="3">
        <f t="shared" si="193"/>
        <v>-402.71876437708164</v>
      </c>
      <c r="G2000" s="3">
        <f t="shared" si="194"/>
        <v>6.3398500028845319</v>
      </c>
      <c r="H2000" s="3">
        <f t="shared" si="195"/>
        <v>496.37891437419711</v>
      </c>
      <c r="M2000" s="1">
        <f t="shared" si="196"/>
        <v>1249</v>
      </c>
      <c r="N2000" s="38">
        <f>+M2000*'Failure Data'!F$3</f>
        <v>32.265833333333333</v>
      </c>
    </row>
    <row r="2001" spans="1:14" x14ac:dyDescent="0.15">
      <c r="A2001" s="1">
        <v>1992</v>
      </c>
      <c r="B2001" s="3">
        <f t="shared" si="191"/>
        <v>502.96966786245366</v>
      </c>
      <c r="C2001" s="8"/>
      <c r="D2001" s="3">
        <f t="shared" si="192"/>
        <v>496.62981785956913</v>
      </c>
      <c r="F2001" s="3">
        <f t="shared" si="193"/>
        <v>-402.96966786245366</v>
      </c>
      <c r="G2001" s="3">
        <f t="shared" si="194"/>
        <v>6.3398500028845319</v>
      </c>
      <c r="H2001" s="3">
        <f t="shared" si="195"/>
        <v>496.62981785956913</v>
      </c>
      <c r="M2001" s="1">
        <f t="shared" si="196"/>
        <v>1250</v>
      </c>
      <c r="N2001" s="38">
        <f>+M2001*'Failure Data'!F$3</f>
        <v>32.291666666666664</v>
      </c>
    </row>
    <row r="2002" spans="1:14" x14ac:dyDescent="0.15">
      <c r="A2002" s="1">
        <v>1993</v>
      </c>
      <c r="B2002" s="3">
        <f t="shared" si="191"/>
        <v>503.22057134782563</v>
      </c>
      <c r="C2002" s="8"/>
      <c r="D2002" s="3">
        <f t="shared" si="192"/>
        <v>496.88072134494109</v>
      </c>
      <c r="F2002" s="3">
        <f t="shared" si="193"/>
        <v>-403.22057134782563</v>
      </c>
      <c r="G2002" s="3">
        <f t="shared" si="194"/>
        <v>6.3398500028845319</v>
      </c>
      <c r="H2002" s="3">
        <f t="shared" si="195"/>
        <v>496.88072134494109</v>
      </c>
      <c r="M2002" s="1">
        <f t="shared" si="196"/>
        <v>1251</v>
      </c>
      <c r="N2002" s="38">
        <f>+M2002*'Failure Data'!F$3</f>
        <v>32.317500000000003</v>
      </c>
    </row>
    <row r="2003" spans="1:14" x14ac:dyDescent="0.15">
      <c r="A2003" s="1">
        <v>1994</v>
      </c>
      <c r="B2003" s="3">
        <f t="shared" si="191"/>
        <v>503.47147483319765</v>
      </c>
      <c r="C2003" s="8"/>
      <c r="D2003" s="3">
        <f t="shared" si="192"/>
        <v>497.13162483031311</v>
      </c>
      <c r="F2003" s="3">
        <f t="shared" si="193"/>
        <v>-403.47147483319765</v>
      </c>
      <c r="G2003" s="3">
        <f t="shared" si="194"/>
        <v>6.3398500028845319</v>
      </c>
      <c r="H2003" s="3">
        <f t="shared" si="195"/>
        <v>497.13162483031311</v>
      </c>
      <c r="M2003" s="1">
        <f t="shared" si="196"/>
        <v>1252</v>
      </c>
      <c r="N2003" s="38">
        <f>+M2003*'Failure Data'!F$3</f>
        <v>32.343333333333334</v>
      </c>
    </row>
    <row r="2004" spans="1:14" x14ac:dyDescent="0.15">
      <c r="A2004" s="1">
        <v>1995</v>
      </c>
      <c r="B2004" s="3">
        <f t="shared" si="191"/>
        <v>503.72237831856961</v>
      </c>
      <c r="C2004" s="8"/>
      <c r="D2004" s="3">
        <f t="shared" si="192"/>
        <v>497.38252831568508</v>
      </c>
      <c r="F2004" s="3">
        <f t="shared" si="193"/>
        <v>-403.72237831856961</v>
      </c>
      <c r="G2004" s="3">
        <f t="shared" si="194"/>
        <v>6.3398500028845319</v>
      </c>
      <c r="H2004" s="3">
        <f t="shared" si="195"/>
        <v>497.38252831568508</v>
      </c>
      <c r="M2004" s="1">
        <f t="shared" si="196"/>
        <v>1253</v>
      </c>
      <c r="N2004" s="38">
        <f>+M2004*'Failure Data'!F$3</f>
        <v>32.369166666666665</v>
      </c>
    </row>
    <row r="2005" spans="1:14" x14ac:dyDescent="0.15">
      <c r="A2005" s="1">
        <v>1996</v>
      </c>
      <c r="B2005" s="3">
        <f t="shared" si="191"/>
        <v>503.97328180394163</v>
      </c>
      <c r="C2005" s="8"/>
      <c r="D2005" s="3">
        <f t="shared" si="192"/>
        <v>497.6334318010571</v>
      </c>
      <c r="F2005" s="3">
        <f t="shared" si="193"/>
        <v>-403.97328180394163</v>
      </c>
      <c r="G2005" s="3">
        <f t="shared" si="194"/>
        <v>6.3398500028845319</v>
      </c>
      <c r="H2005" s="3">
        <f t="shared" si="195"/>
        <v>497.6334318010571</v>
      </c>
      <c r="M2005" s="1">
        <f t="shared" si="196"/>
        <v>1254</v>
      </c>
      <c r="N2005" s="38">
        <f>+M2005*'Failure Data'!F$3</f>
        <v>32.395000000000003</v>
      </c>
    </row>
    <row r="2006" spans="1:14" x14ac:dyDescent="0.15">
      <c r="A2006" s="1">
        <v>1997</v>
      </c>
      <c r="B2006" s="3">
        <f t="shared" si="191"/>
        <v>504.2241852893136</v>
      </c>
      <c r="C2006" s="8"/>
      <c r="D2006" s="3">
        <f t="shared" si="192"/>
        <v>497.88433528642906</v>
      </c>
      <c r="F2006" s="3">
        <f t="shared" si="193"/>
        <v>-404.2241852893136</v>
      </c>
      <c r="G2006" s="3">
        <f t="shared" si="194"/>
        <v>6.3398500028845319</v>
      </c>
      <c r="H2006" s="3">
        <f t="shared" si="195"/>
        <v>497.88433528642906</v>
      </c>
      <c r="M2006" s="1">
        <f t="shared" si="196"/>
        <v>1255</v>
      </c>
      <c r="N2006" s="38">
        <f>+M2006*'Failure Data'!F$3</f>
        <v>32.420833333333334</v>
      </c>
    </row>
    <row r="2007" spans="1:14" x14ac:dyDescent="0.15">
      <c r="A2007" s="1">
        <v>1998</v>
      </c>
      <c r="B2007" s="3">
        <f t="shared" si="191"/>
        <v>504.47508877468562</v>
      </c>
      <c r="C2007" s="8"/>
      <c r="D2007" s="3">
        <f t="shared" si="192"/>
        <v>498.13523877180108</v>
      </c>
      <c r="F2007" s="3">
        <f t="shared" si="193"/>
        <v>-404.47508877468562</v>
      </c>
      <c r="G2007" s="3">
        <f t="shared" si="194"/>
        <v>6.3398500028845319</v>
      </c>
      <c r="H2007" s="3">
        <f t="shared" si="195"/>
        <v>498.13523877180108</v>
      </c>
      <c r="M2007" s="1">
        <f t="shared" si="196"/>
        <v>1256</v>
      </c>
      <c r="N2007" s="38">
        <f>+M2007*'Failure Data'!F$3</f>
        <v>32.446666666666665</v>
      </c>
    </row>
    <row r="2008" spans="1:14" x14ac:dyDescent="0.15">
      <c r="A2008" s="1">
        <v>1999</v>
      </c>
      <c r="B2008" s="3">
        <f t="shared" si="191"/>
        <v>504.72599226005758</v>
      </c>
      <c r="C2008" s="8"/>
      <c r="D2008" s="3">
        <f t="shared" si="192"/>
        <v>498.38614225717305</v>
      </c>
      <c r="F2008" s="3">
        <f t="shared" si="193"/>
        <v>-404.72599226005758</v>
      </c>
      <c r="G2008" s="3">
        <f t="shared" si="194"/>
        <v>6.3398500028845319</v>
      </c>
      <c r="H2008" s="3">
        <f t="shared" si="195"/>
        <v>498.38614225717305</v>
      </c>
      <c r="M2008" s="1">
        <f t="shared" si="196"/>
        <v>1257</v>
      </c>
      <c r="N2008" s="38">
        <f>+M2008*'Failure Data'!F$3</f>
        <v>32.472499999999997</v>
      </c>
    </row>
    <row r="2009" spans="1:14" x14ac:dyDescent="0.15">
      <c r="A2009" s="1">
        <v>2000</v>
      </c>
      <c r="B2009" s="3">
        <f t="shared" si="191"/>
        <v>504.9768957454296</v>
      </c>
      <c r="C2009" s="8"/>
      <c r="D2009" s="3">
        <f t="shared" si="192"/>
        <v>498.63704574254507</v>
      </c>
      <c r="F2009" s="3">
        <f t="shared" si="193"/>
        <v>-404.9768957454296</v>
      </c>
      <c r="G2009" s="3">
        <f t="shared" si="194"/>
        <v>6.3398500028845319</v>
      </c>
      <c r="H2009" s="3">
        <f t="shared" si="195"/>
        <v>498.63704574254507</v>
      </c>
      <c r="M2009" s="1">
        <f t="shared" si="196"/>
        <v>1258</v>
      </c>
      <c r="N2009" s="38">
        <f>+M2009*'Failure Data'!F$3</f>
        <v>32.498333333333335</v>
      </c>
    </row>
    <row r="2010" spans="1:14" x14ac:dyDescent="0.15">
      <c r="A2010" s="1">
        <v>2001</v>
      </c>
      <c r="B2010" s="3">
        <f t="shared" si="191"/>
        <v>505.22779923080162</v>
      </c>
      <c r="C2010" s="8"/>
      <c r="D2010" s="3">
        <f t="shared" si="192"/>
        <v>498.88794922791703</v>
      </c>
      <c r="F2010" s="3">
        <f t="shared" si="193"/>
        <v>-405.22779923080162</v>
      </c>
      <c r="G2010" s="3">
        <f t="shared" si="194"/>
        <v>6.3398500028845888</v>
      </c>
      <c r="H2010" s="3">
        <f t="shared" si="195"/>
        <v>498.88794922791703</v>
      </c>
      <c r="M2010" s="1">
        <f t="shared" si="196"/>
        <v>1259</v>
      </c>
      <c r="N2010" s="38">
        <f>+M2010*'Failure Data'!F$3</f>
        <v>32.524166666666666</v>
      </c>
    </row>
    <row r="2011" spans="1:14" x14ac:dyDescent="0.15">
      <c r="A2011" s="1">
        <v>2002</v>
      </c>
      <c r="B2011" s="3">
        <f t="shared" si="191"/>
        <v>505.47870271617359</v>
      </c>
      <c r="C2011" s="8"/>
      <c r="D2011" s="3">
        <f t="shared" si="192"/>
        <v>499.13885271328905</v>
      </c>
      <c r="F2011" s="3">
        <f t="shared" si="193"/>
        <v>-405.47870271617359</v>
      </c>
      <c r="G2011" s="3">
        <f t="shared" si="194"/>
        <v>6.3398500028845319</v>
      </c>
      <c r="H2011" s="3">
        <f t="shared" si="195"/>
        <v>499.13885271328905</v>
      </c>
      <c r="M2011" s="1">
        <f t="shared" si="196"/>
        <v>1260</v>
      </c>
      <c r="N2011" s="38">
        <f>+M2011*'Failure Data'!F$3</f>
        <v>32.549999999999997</v>
      </c>
    </row>
    <row r="2012" spans="1:14" x14ac:dyDescent="0.15">
      <c r="A2012" s="1">
        <v>2003</v>
      </c>
      <c r="B2012" s="3">
        <f t="shared" si="191"/>
        <v>505.72960620154561</v>
      </c>
      <c r="C2012" s="8"/>
      <c r="D2012" s="3">
        <f t="shared" si="192"/>
        <v>499.38975619866108</v>
      </c>
      <c r="F2012" s="3">
        <f t="shared" si="193"/>
        <v>-405.72960620154561</v>
      </c>
      <c r="G2012" s="3">
        <f t="shared" si="194"/>
        <v>6.3398500028845319</v>
      </c>
      <c r="H2012" s="3">
        <f t="shared" si="195"/>
        <v>499.38975619866108</v>
      </c>
      <c r="M2012" s="1">
        <f t="shared" si="196"/>
        <v>1261</v>
      </c>
      <c r="N2012" s="38">
        <f>+M2012*'Failure Data'!F$3</f>
        <v>32.575833333333335</v>
      </c>
    </row>
    <row r="2013" spans="1:14" x14ac:dyDescent="0.15">
      <c r="A2013" s="1">
        <v>2004</v>
      </c>
      <c r="B2013" s="3">
        <f t="shared" si="191"/>
        <v>505.98050968691757</v>
      </c>
      <c r="C2013" s="8"/>
      <c r="D2013" s="3">
        <f t="shared" si="192"/>
        <v>499.64065968403304</v>
      </c>
      <c r="F2013" s="3">
        <f t="shared" si="193"/>
        <v>-405.98050968691757</v>
      </c>
      <c r="G2013" s="3">
        <f t="shared" si="194"/>
        <v>6.3398500028845319</v>
      </c>
      <c r="H2013" s="3">
        <f t="shared" si="195"/>
        <v>499.64065968403304</v>
      </c>
      <c r="M2013" s="1">
        <f t="shared" si="196"/>
        <v>1262</v>
      </c>
      <c r="N2013" s="38">
        <f>+M2013*'Failure Data'!F$3</f>
        <v>32.601666666666667</v>
      </c>
    </row>
    <row r="2014" spans="1:14" x14ac:dyDescent="0.15">
      <c r="A2014" s="1">
        <v>2005</v>
      </c>
      <c r="B2014" s="3">
        <f t="shared" si="191"/>
        <v>506.23141317228959</v>
      </c>
      <c r="C2014" s="8"/>
      <c r="D2014" s="3">
        <f t="shared" si="192"/>
        <v>499.89156316940506</v>
      </c>
      <c r="F2014" s="3">
        <f t="shared" si="193"/>
        <v>-406.23141317228959</v>
      </c>
      <c r="G2014" s="3">
        <f t="shared" si="194"/>
        <v>6.3398500028845319</v>
      </c>
      <c r="H2014" s="3">
        <f t="shared" si="195"/>
        <v>499.89156316940506</v>
      </c>
      <c r="M2014" s="1">
        <f t="shared" si="196"/>
        <v>1263</v>
      </c>
      <c r="N2014" s="38">
        <f>+M2014*'Failure Data'!F$3</f>
        <v>32.627499999999998</v>
      </c>
    </row>
    <row r="2015" spans="1:14" x14ac:dyDescent="0.15">
      <c r="A2015" s="1">
        <v>2006</v>
      </c>
      <c r="B2015" s="3">
        <f t="shared" ref="B2015:B2078" si="197">+(B$4*A2015)+B$5</f>
        <v>506.48231665766156</v>
      </c>
      <c r="C2015" s="8"/>
      <c r="D2015" s="3">
        <f t="shared" ref="D2015:D2078" si="198">+(D$4*A2015)+D$5</f>
        <v>500.14246665477702</v>
      </c>
      <c r="F2015" s="3">
        <f t="shared" ref="F2015:F2078" si="199">+xmax-B2015</f>
        <v>-406.48231665766156</v>
      </c>
      <c r="G2015" s="3">
        <f t="shared" ref="G2015:G2078" si="200">+B2015-D2015</f>
        <v>6.3398500028845319</v>
      </c>
      <c r="H2015" s="3">
        <f t="shared" ref="H2015:H2078" si="201">D2015</f>
        <v>500.14246665477702</v>
      </c>
      <c r="M2015" s="1">
        <f t="shared" si="196"/>
        <v>1264</v>
      </c>
      <c r="N2015" s="38">
        <f>+M2015*'Failure Data'!F$3</f>
        <v>32.653333333333336</v>
      </c>
    </row>
    <row r="2016" spans="1:14" x14ac:dyDescent="0.15">
      <c r="A2016" s="1">
        <v>2007</v>
      </c>
      <c r="B2016" s="3">
        <f t="shared" si="197"/>
        <v>506.73322014303358</v>
      </c>
      <c r="C2016" s="8"/>
      <c r="D2016" s="3">
        <f t="shared" si="198"/>
        <v>500.39337014014905</v>
      </c>
      <c r="F2016" s="3">
        <f t="shared" si="199"/>
        <v>-406.73322014303358</v>
      </c>
      <c r="G2016" s="3">
        <f t="shared" si="200"/>
        <v>6.3398500028845319</v>
      </c>
      <c r="H2016" s="3">
        <f t="shared" si="201"/>
        <v>500.39337014014905</v>
      </c>
      <c r="M2016" s="1">
        <f t="shared" si="196"/>
        <v>1265</v>
      </c>
      <c r="N2016" s="38">
        <f>+M2016*'Failure Data'!F$3</f>
        <v>32.679166666666667</v>
      </c>
    </row>
    <row r="2017" spans="1:14" x14ac:dyDescent="0.15">
      <c r="A2017" s="1">
        <v>2008</v>
      </c>
      <c r="B2017" s="3">
        <f t="shared" si="197"/>
        <v>506.98412362840554</v>
      </c>
      <c r="C2017" s="8"/>
      <c r="D2017" s="3">
        <f t="shared" si="198"/>
        <v>500.64427362552101</v>
      </c>
      <c r="F2017" s="3">
        <f t="shared" si="199"/>
        <v>-406.98412362840554</v>
      </c>
      <c r="G2017" s="3">
        <f t="shared" si="200"/>
        <v>6.3398500028845319</v>
      </c>
      <c r="H2017" s="3">
        <f t="shared" si="201"/>
        <v>500.64427362552101</v>
      </c>
      <c r="M2017" s="1">
        <f t="shared" si="196"/>
        <v>1266</v>
      </c>
      <c r="N2017" s="38">
        <f>+M2017*'Failure Data'!F$3</f>
        <v>32.704999999999998</v>
      </c>
    </row>
    <row r="2018" spans="1:14" x14ac:dyDescent="0.15">
      <c r="A2018" s="1">
        <v>2009</v>
      </c>
      <c r="B2018" s="3">
        <f t="shared" si="197"/>
        <v>507.23502711377756</v>
      </c>
      <c r="C2018" s="8"/>
      <c r="D2018" s="3">
        <f t="shared" si="198"/>
        <v>500.89517711089303</v>
      </c>
      <c r="F2018" s="3">
        <f t="shared" si="199"/>
        <v>-407.23502711377756</v>
      </c>
      <c r="G2018" s="3">
        <f t="shared" si="200"/>
        <v>6.3398500028845319</v>
      </c>
      <c r="H2018" s="3">
        <f t="shared" si="201"/>
        <v>500.89517711089303</v>
      </c>
      <c r="M2018" s="1">
        <f t="shared" si="196"/>
        <v>1267</v>
      </c>
      <c r="N2018" s="38">
        <f>+M2018*'Failure Data'!F$3</f>
        <v>32.730833333333337</v>
      </c>
    </row>
    <row r="2019" spans="1:14" x14ac:dyDescent="0.15">
      <c r="A2019" s="1">
        <v>2010</v>
      </c>
      <c r="B2019" s="3">
        <f t="shared" si="197"/>
        <v>507.48593059914953</v>
      </c>
      <c r="C2019" s="8"/>
      <c r="D2019" s="3">
        <f t="shared" si="198"/>
        <v>501.14608059626499</v>
      </c>
      <c r="F2019" s="3">
        <f t="shared" si="199"/>
        <v>-407.48593059914953</v>
      </c>
      <c r="G2019" s="3">
        <f t="shared" si="200"/>
        <v>6.3398500028845319</v>
      </c>
      <c r="H2019" s="3">
        <f t="shared" si="201"/>
        <v>501.14608059626499</v>
      </c>
      <c r="M2019" s="1">
        <f t="shared" si="196"/>
        <v>1268</v>
      </c>
      <c r="N2019" s="38">
        <f>+M2019*'Failure Data'!F$3</f>
        <v>32.756666666666668</v>
      </c>
    </row>
    <row r="2020" spans="1:14" x14ac:dyDescent="0.15">
      <c r="A2020" s="1">
        <v>2011</v>
      </c>
      <c r="B2020" s="3">
        <f t="shared" si="197"/>
        <v>507.73683408452155</v>
      </c>
      <c r="C2020" s="8"/>
      <c r="D2020" s="3">
        <f t="shared" si="198"/>
        <v>501.39698408163702</v>
      </c>
      <c r="F2020" s="3">
        <f t="shared" si="199"/>
        <v>-407.73683408452155</v>
      </c>
      <c r="G2020" s="3">
        <f t="shared" si="200"/>
        <v>6.3398500028845319</v>
      </c>
      <c r="H2020" s="3">
        <f t="shared" si="201"/>
        <v>501.39698408163702</v>
      </c>
      <c r="M2020" s="1">
        <f t="shared" si="196"/>
        <v>1269</v>
      </c>
      <c r="N2020" s="38">
        <f>+M2020*'Failure Data'!F$3</f>
        <v>32.782499999999999</v>
      </c>
    </row>
    <row r="2021" spans="1:14" x14ac:dyDescent="0.15">
      <c r="A2021" s="1">
        <v>2012</v>
      </c>
      <c r="B2021" s="3">
        <f t="shared" si="197"/>
        <v>507.98773756989351</v>
      </c>
      <c r="C2021" s="8"/>
      <c r="D2021" s="3">
        <f t="shared" si="198"/>
        <v>501.64788756700898</v>
      </c>
      <c r="F2021" s="3">
        <f t="shared" si="199"/>
        <v>-407.98773756989351</v>
      </c>
      <c r="G2021" s="3">
        <f t="shared" si="200"/>
        <v>6.3398500028845319</v>
      </c>
      <c r="H2021" s="3">
        <f t="shared" si="201"/>
        <v>501.64788756700898</v>
      </c>
      <c r="M2021" s="1">
        <f t="shared" si="196"/>
        <v>1270</v>
      </c>
      <c r="N2021" s="38">
        <f>+M2021*'Failure Data'!F$3</f>
        <v>32.80833333333333</v>
      </c>
    </row>
    <row r="2022" spans="1:14" x14ac:dyDescent="0.15">
      <c r="A2022" s="1">
        <v>2013</v>
      </c>
      <c r="B2022" s="3">
        <f t="shared" si="197"/>
        <v>508.23864105526553</v>
      </c>
      <c r="C2022" s="8"/>
      <c r="D2022" s="3">
        <f t="shared" si="198"/>
        <v>501.898791052381</v>
      </c>
      <c r="F2022" s="3">
        <f t="shared" si="199"/>
        <v>-408.23864105526553</v>
      </c>
      <c r="G2022" s="3">
        <f t="shared" si="200"/>
        <v>6.3398500028845319</v>
      </c>
      <c r="H2022" s="3">
        <f t="shared" si="201"/>
        <v>501.898791052381</v>
      </c>
      <c r="M2022" s="1">
        <f t="shared" si="196"/>
        <v>1271</v>
      </c>
      <c r="N2022" s="38">
        <f>+M2022*'Failure Data'!F$3</f>
        <v>32.834166666666668</v>
      </c>
    </row>
    <row r="2023" spans="1:14" x14ac:dyDescent="0.15">
      <c r="A2023" s="1">
        <v>2014</v>
      </c>
      <c r="B2023" s="3">
        <f t="shared" si="197"/>
        <v>508.4895445406375</v>
      </c>
      <c r="C2023" s="8"/>
      <c r="D2023" s="3">
        <f t="shared" si="198"/>
        <v>502.14969453775296</v>
      </c>
      <c r="F2023" s="3">
        <f t="shared" si="199"/>
        <v>-408.4895445406375</v>
      </c>
      <c r="G2023" s="3">
        <f t="shared" si="200"/>
        <v>6.3398500028845319</v>
      </c>
      <c r="H2023" s="3">
        <f t="shared" si="201"/>
        <v>502.14969453775296</v>
      </c>
      <c r="M2023" s="1">
        <f t="shared" si="196"/>
        <v>1272</v>
      </c>
      <c r="N2023" s="38">
        <f>+M2023*'Failure Data'!F$3</f>
        <v>32.86</v>
      </c>
    </row>
    <row r="2024" spans="1:14" x14ac:dyDescent="0.15">
      <c r="A2024" s="1">
        <v>2015</v>
      </c>
      <c r="B2024" s="3">
        <f t="shared" si="197"/>
        <v>508.74044802600952</v>
      </c>
      <c r="C2024" s="8"/>
      <c r="D2024" s="3">
        <f t="shared" si="198"/>
        <v>502.40059802312499</v>
      </c>
      <c r="F2024" s="3">
        <f t="shared" si="199"/>
        <v>-408.74044802600952</v>
      </c>
      <c r="G2024" s="3">
        <f t="shared" si="200"/>
        <v>6.3398500028845319</v>
      </c>
      <c r="H2024" s="3">
        <f t="shared" si="201"/>
        <v>502.40059802312499</v>
      </c>
      <c r="M2024" s="1">
        <f t="shared" si="196"/>
        <v>1273</v>
      </c>
      <c r="N2024" s="38">
        <f>+M2024*'Failure Data'!F$3</f>
        <v>32.885833333333331</v>
      </c>
    </row>
    <row r="2025" spans="1:14" x14ac:dyDescent="0.15">
      <c r="A2025" s="1">
        <v>2016</v>
      </c>
      <c r="B2025" s="3">
        <f t="shared" si="197"/>
        <v>508.99135151138148</v>
      </c>
      <c r="C2025" s="8"/>
      <c r="D2025" s="3">
        <f t="shared" si="198"/>
        <v>502.65150150849695</v>
      </c>
      <c r="F2025" s="3">
        <f t="shared" si="199"/>
        <v>-408.99135151138148</v>
      </c>
      <c r="G2025" s="3">
        <f t="shared" si="200"/>
        <v>6.3398500028845319</v>
      </c>
      <c r="H2025" s="3">
        <f t="shared" si="201"/>
        <v>502.65150150849695</v>
      </c>
      <c r="M2025" s="1">
        <f t="shared" si="196"/>
        <v>1274</v>
      </c>
      <c r="N2025" s="38">
        <f>+M2025*'Failure Data'!F$3</f>
        <v>32.911666666666669</v>
      </c>
    </row>
    <row r="2026" spans="1:14" x14ac:dyDescent="0.15">
      <c r="A2026" s="1">
        <v>2017</v>
      </c>
      <c r="B2026" s="3">
        <f t="shared" si="197"/>
        <v>509.2422549967535</v>
      </c>
      <c r="C2026" s="8"/>
      <c r="D2026" s="3">
        <f t="shared" si="198"/>
        <v>502.90240499386897</v>
      </c>
      <c r="F2026" s="3">
        <f t="shared" si="199"/>
        <v>-409.2422549967535</v>
      </c>
      <c r="G2026" s="3">
        <f t="shared" si="200"/>
        <v>6.3398500028845319</v>
      </c>
      <c r="H2026" s="3">
        <f t="shared" si="201"/>
        <v>502.90240499386897</v>
      </c>
      <c r="M2026" s="1">
        <f t="shared" si="196"/>
        <v>1275</v>
      </c>
      <c r="N2026" s="38">
        <f>+M2026*'Failure Data'!F$3</f>
        <v>32.9375</v>
      </c>
    </row>
    <row r="2027" spans="1:14" x14ac:dyDescent="0.15">
      <c r="A2027" s="1">
        <v>2018</v>
      </c>
      <c r="B2027" s="3">
        <f t="shared" si="197"/>
        <v>509.49315848212547</v>
      </c>
      <c r="C2027" s="8"/>
      <c r="D2027" s="3">
        <f t="shared" si="198"/>
        <v>503.15330847924093</v>
      </c>
      <c r="F2027" s="3">
        <f t="shared" si="199"/>
        <v>-409.49315848212547</v>
      </c>
      <c r="G2027" s="3">
        <f t="shared" si="200"/>
        <v>6.3398500028845319</v>
      </c>
      <c r="H2027" s="3">
        <f t="shared" si="201"/>
        <v>503.15330847924093</v>
      </c>
      <c r="M2027" s="1">
        <f t="shared" si="196"/>
        <v>1276</v>
      </c>
      <c r="N2027" s="38">
        <f>+M2027*'Failure Data'!F$3</f>
        <v>32.963333333333331</v>
      </c>
    </row>
    <row r="2028" spans="1:14" x14ac:dyDescent="0.15">
      <c r="A2028" s="1">
        <v>2019</v>
      </c>
      <c r="B2028" s="3">
        <f t="shared" si="197"/>
        <v>509.74406196749749</v>
      </c>
      <c r="C2028" s="8"/>
      <c r="D2028" s="3">
        <f t="shared" si="198"/>
        <v>503.40421196461295</v>
      </c>
      <c r="F2028" s="3">
        <f t="shared" si="199"/>
        <v>-409.74406196749749</v>
      </c>
      <c r="G2028" s="3">
        <f t="shared" si="200"/>
        <v>6.3398500028845319</v>
      </c>
      <c r="H2028" s="3">
        <f t="shared" si="201"/>
        <v>503.40421196461295</v>
      </c>
      <c r="M2028" s="1">
        <f t="shared" si="196"/>
        <v>1277</v>
      </c>
      <c r="N2028" s="38">
        <f>+M2028*'Failure Data'!F$3</f>
        <v>32.989166666666669</v>
      </c>
    </row>
    <row r="2029" spans="1:14" x14ac:dyDescent="0.15">
      <c r="A2029" s="1">
        <v>2020</v>
      </c>
      <c r="B2029" s="3">
        <f t="shared" si="197"/>
        <v>509.99496545286945</v>
      </c>
      <c r="C2029" s="8"/>
      <c r="D2029" s="3">
        <f t="shared" si="198"/>
        <v>503.65511544998492</v>
      </c>
      <c r="F2029" s="3">
        <f t="shared" si="199"/>
        <v>-409.99496545286945</v>
      </c>
      <c r="G2029" s="3">
        <f t="shared" si="200"/>
        <v>6.3398500028845319</v>
      </c>
      <c r="H2029" s="3">
        <f t="shared" si="201"/>
        <v>503.65511544998492</v>
      </c>
      <c r="M2029" s="1">
        <f t="shared" si="196"/>
        <v>1278</v>
      </c>
      <c r="N2029" s="38">
        <f>+M2029*'Failure Data'!F$3</f>
        <v>33.015000000000001</v>
      </c>
    </row>
    <row r="2030" spans="1:14" x14ac:dyDescent="0.15">
      <c r="A2030" s="1">
        <v>2021</v>
      </c>
      <c r="B2030" s="3">
        <f t="shared" si="197"/>
        <v>510.24586893824147</v>
      </c>
      <c r="C2030" s="8"/>
      <c r="D2030" s="3">
        <f t="shared" si="198"/>
        <v>503.90601893535694</v>
      </c>
      <c r="F2030" s="3">
        <f t="shared" si="199"/>
        <v>-410.24586893824147</v>
      </c>
      <c r="G2030" s="3">
        <f t="shared" si="200"/>
        <v>6.3398500028845319</v>
      </c>
      <c r="H2030" s="3">
        <f t="shared" si="201"/>
        <v>503.90601893535694</v>
      </c>
      <c r="M2030" s="1">
        <f t="shared" si="196"/>
        <v>1279</v>
      </c>
      <c r="N2030" s="38">
        <f>+M2030*'Failure Data'!F$3</f>
        <v>33.040833333333332</v>
      </c>
    </row>
    <row r="2031" spans="1:14" x14ac:dyDescent="0.15">
      <c r="A2031" s="1">
        <v>2022</v>
      </c>
      <c r="B2031" s="3">
        <f t="shared" si="197"/>
        <v>510.49677242361344</v>
      </c>
      <c r="C2031" s="8"/>
      <c r="D2031" s="3">
        <f t="shared" si="198"/>
        <v>504.1569224207289</v>
      </c>
      <c r="F2031" s="3">
        <f t="shared" si="199"/>
        <v>-410.49677242361344</v>
      </c>
      <c r="G2031" s="3">
        <f t="shared" si="200"/>
        <v>6.3398500028845319</v>
      </c>
      <c r="H2031" s="3">
        <f t="shared" si="201"/>
        <v>504.1569224207289</v>
      </c>
      <c r="M2031" s="1">
        <f t="shared" si="196"/>
        <v>1280</v>
      </c>
      <c r="N2031" s="38">
        <f>+M2031*'Failure Data'!F$3</f>
        <v>33.066666666666663</v>
      </c>
    </row>
    <row r="2032" spans="1:14" x14ac:dyDescent="0.15">
      <c r="A2032" s="1">
        <v>2023</v>
      </c>
      <c r="B2032" s="3">
        <f t="shared" si="197"/>
        <v>510.74767590898546</v>
      </c>
      <c r="C2032" s="8"/>
      <c r="D2032" s="3">
        <f t="shared" si="198"/>
        <v>504.40782590610092</v>
      </c>
      <c r="F2032" s="3">
        <f t="shared" si="199"/>
        <v>-410.74767590898546</v>
      </c>
      <c r="G2032" s="3">
        <f t="shared" si="200"/>
        <v>6.3398500028845319</v>
      </c>
      <c r="H2032" s="3">
        <f t="shared" si="201"/>
        <v>504.40782590610092</v>
      </c>
      <c r="M2032" s="1">
        <f t="shared" si="196"/>
        <v>1281</v>
      </c>
      <c r="N2032" s="38">
        <f>+M2032*'Failure Data'!F$3</f>
        <v>33.092500000000001</v>
      </c>
    </row>
    <row r="2033" spans="1:14" x14ac:dyDescent="0.15">
      <c r="A2033" s="1">
        <v>2024</v>
      </c>
      <c r="B2033" s="3">
        <f t="shared" si="197"/>
        <v>510.99857939435748</v>
      </c>
      <c r="C2033" s="8"/>
      <c r="D2033" s="3">
        <f t="shared" si="198"/>
        <v>504.65872939147289</v>
      </c>
      <c r="F2033" s="3">
        <f t="shared" si="199"/>
        <v>-410.99857939435748</v>
      </c>
      <c r="G2033" s="3">
        <f t="shared" si="200"/>
        <v>6.3398500028845888</v>
      </c>
      <c r="H2033" s="3">
        <f t="shared" si="201"/>
        <v>504.65872939147289</v>
      </c>
      <c r="M2033" s="1">
        <f t="shared" si="196"/>
        <v>1282</v>
      </c>
      <c r="N2033" s="38">
        <f>+M2033*'Failure Data'!F$3</f>
        <v>33.118333333333332</v>
      </c>
    </row>
    <row r="2034" spans="1:14" x14ac:dyDescent="0.15">
      <c r="A2034" s="1">
        <v>2025</v>
      </c>
      <c r="B2034" s="3">
        <f t="shared" si="197"/>
        <v>511.24948287972944</v>
      </c>
      <c r="C2034" s="8"/>
      <c r="D2034" s="3">
        <f t="shared" si="198"/>
        <v>504.90963287684491</v>
      </c>
      <c r="F2034" s="3">
        <f t="shared" si="199"/>
        <v>-411.24948287972944</v>
      </c>
      <c r="G2034" s="3">
        <f t="shared" si="200"/>
        <v>6.3398500028845319</v>
      </c>
      <c r="H2034" s="3">
        <f t="shared" si="201"/>
        <v>504.90963287684491</v>
      </c>
      <c r="M2034" s="1">
        <f t="shared" si="196"/>
        <v>1283</v>
      </c>
      <c r="N2034" s="38">
        <f>+M2034*'Failure Data'!F$3</f>
        <v>33.144166666666663</v>
      </c>
    </row>
    <row r="2035" spans="1:14" x14ac:dyDescent="0.15">
      <c r="A2035" s="1">
        <v>2026</v>
      </c>
      <c r="B2035" s="3">
        <f t="shared" si="197"/>
        <v>511.50038636510146</v>
      </c>
      <c r="C2035" s="8"/>
      <c r="D2035" s="3">
        <f t="shared" si="198"/>
        <v>505.16053636221693</v>
      </c>
      <c r="F2035" s="3">
        <f t="shared" si="199"/>
        <v>-411.50038636510146</v>
      </c>
      <c r="G2035" s="3">
        <f t="shared" si="200"/>
        <v>6.3398500028845319</v>
      </c>
      <c r="H2035" s="3">
        <f t="shared" si="201"/>
        <v>505.16053636221693</v>
      </c>
      <c r="M2035" s="1">
        <f t="shared" si="196"/>
        <v>1284</v>
      </c>
      <c r="N2035" s="38">
        <f>+M2035*'Failure Data'!F$3</f>
        <v>33.17</v>
      </c>
    </row>
    <row r="2036" spans="1:14" x14ac:dyDescent="0.15">
      <c r="A2036" s="1">
        <v>2027</v>
      </c>
      <c r="B2036" s="3">
        <f t="shared" si="197"/>
        <v>511.75128985047343</v>
      </c>
      <c r="C2036" s="8"/>
      <c r="D2036" s="3">
        <f t="shared" si="198"/>
        <v>505.41143984758889</v>
      </c>
      <c r="F2036" s="3">
        <f t="shared" si="199"/>
        <v>-411.75128985047343</v>
      </c>
      <c r="G2036" s="3">
        <f t="shared" si="200"/>
        <v>6.3398500028845319</v>
      </c>
      <c r="H2036" s="3">
        <f t="shared" si="201"/>
        <v>505.41143984758889</v>
      </c>
      <c r="M2036" s="1">
        <f t="shared" si="196"/>
        <v>1285</v>
      </c>
      <c r="N2036" s="38">
        <f>+M2036*'Failure Data'!F$3</f>
        <v>33.195833333333333</v>
      </c>
    </row>
    <row r="2037" spans="1:14" x14ac:dyDescent="0.15">
      <c r="A2037" s="1">
        <v>2028</v>
      </c>
      <c r="B2037" s="3">
        <f t="shared" si="197"/>
        <v>512.00219333584539</v>
      </c>
      <c r="C2037" s="8"/>
      <c r="D2037" s="3">
        <f t="shared" si="198"/>
        <v>505.66234333296092</v>
      </c>
      <c r="F2037" s="3">
        <f t="shared" si="199"/>
        <v>-412.00219333584539</v>
      </c>
      <c r="G2037" s="3">
        <f t="shared" si="200"/>
        <v>6.3398500028844751</v>
      </c>
      <c r="H2037" s="3">
        <f t="shared" si="201"/>
        <v>505.66234333296092</v>
      </c>
      <c r="M2037" s="1">
        <f t="shared" si="196"/>
        <v>1286</v>
      </c>
      <c r="N2037" s="38">
        <f>+M2037*'Failure Data'!F$3</f>
        <v>33.221666666666664</v>
      </c>
    </row>
    <row r="2038" spans="1:14" x14ac:dyDescent="0.15">
      <c r="A2038" s="1">
        <v>2029</v>
      </c>
      <c r="B2038" s="3">
        <f t="shared" si="197"/>
        <v>512.25309682121735</v>
      </c>
      <c r="C2038" s="8"/>
      <c r="D2038" s="3">
        <f t="shared" si="198"/>
        <v>505.91324681833288</v>
      </c>
      <c r="F2038" s="3">
        <f t="shared" si="199"/>
        <v>-412.25309682121735</v>
      </c>
      <c r="G2038" s="3">
        <f t="shared" si="200"/>
        <v>6.3398500028844751</v>
      </c>
      <c r="H2038" s="3">
        <f t="shared" si="201"/>
        <v>505.91324681833288</v>
      </c>
      <c r="M2038" s="1">
        <f t="shared" si="196"/>
        <v>1287</v>
      </c>
      <c r="N2038" s="38">
        <f>+M2038*'Failure Data'!F$3</f>
        <v>33.247500000000002</v>
      </c>
    </row>
    <row r="2039" spans="1:14" x14ac:dyDescent="0.15">
      <c r="A2039" s="1">
        <v>2030</v>
      </c>
      <c r="B2039" s="3">
        <f t="shared" si="197"/>
        <v>512.50400030658943</v>
      </c>
      <c r="C2039" s="8"/>
      <c r="D2039" s="3">
        <f t="shared" si="198"/>
        <v>506.1641503037049</v>
      </c>
      <c r="F2039" s="3">
        <f t="shared" si="199"/>
        <v>-412.50400030658943</v>
      </c>
      <c r="G2039" s="3">
        <f t="shared" si="200"/>
        <v>6.3398500028845319</v>
      </c>
      <c r="H2039" s="3">
        <f t="shared" si="201"/>
        <v>506.1641503037049</v>
      </c>
      <c r="M2039" s="1">
        <f t="shared" si="196"/>
        <v>1288</v>
      </c>
      <c r="N2039" s="38">
        <f>+M2039*'Failure Data'!F$3</f>
        <v>33.273333333333333</v>
      </c>
    </row>
    <row r="2040" spans="1:14" x14ac:dyDescent="0.15">
      <c r="A2040" s="1">
        <v>2031</v>
      </c>
      <c r="B2040" s="3">
        <f t="shared" si="197"/>
        <v>512.7549037919614</v>
      </c>
      <c r="C2040" s="8"/>
      <c r="D2040" s="3">
        <f t="shared" si="198"/>
        <v>506.41505378907686</v>
      </c>
      <c r="F2040" s="3">
        <f t="shared" si="199"/>
        <v>-412.7549037919614</v>
      </c>
      <c r="G2040" s="3">
        <f t="shared" si="200"/>
        <v>6.3398500028845319</v>
      </c>
      <c r="H2040" s="3">
        <f t="shared" si="201"/>
        <v>506.41505378907686</v>
      </c>
      <c r="M2040" s="1">
        <f t="shared" si="196"/>
        <v>1289</v>
      </c>
      <c r="N2040" s="38">
        <f>+M2040*'Failure Data'!F$3</f>
        <v>33.299166666666665</v>
      </c>
    </row>
    <row r="2041" spans="1:14" x14ac:dyDescent="0.15">
      <c r="A2041" s="1">
        <v>2032</v>
      </c>
      <c r="B2041" s="3">
        <f t="shared" si="197"/>
        <v>513.00580727733336</v>
      </c>
      <c r="C2041" s="8"/>
      <c r="D2041" s="3">
        <f t="shared" si="198"/>
        <v>506.66595727444889</v>
      </c>
      <c r="F2041" s="3">
        <f t="shared" si="199"/>
        <v>-413.00580727733336</v>
      </c>
      <c r="G2041" s="3">
        <f t="shared" si="200"/>
        <v>6.3398500028844751</v>
      </c>
      <c r="H2041" s="3">
        <f t="shared" si="201"/>
        <v>506.66595727444889</v>
      </c>
      <c r="M2041" s="1">
        <f t="shared" si="196"/>
        <v>1290</v>
      </c>
      <c r="N2041" s="38">
        <f>+M2041*'Failure Data'!F$3</f>
        <v>33.325000000000003</v>
      </c>
    </row>
    <row r="2042" spans="1:14" x14ac:dyDescent="0.15">
      <c r="A2042" s="1">
        <v>2033</v>
      </c>
      <c r="B2042" s="3">
        <f t="shared" si="197"/>
        <v>513.25671076270532</v>
      </c>
      <c r="C2042" s="8"/>
      <c r="D2042" s="3">
        <f t="shared" si="198"/>
        <v>506.91686075982085</v>
      </c>
      <c r="F2042" s="3">
        <f t="shared" si="199"/>
        <v>-413.25671076270532</v>
      </c>
      <c r="G2042" s="3">
        <f t="shared" si="200"/>
        <v>6.3398500028844751</v>
      </c>
      <c r="H2042" s="3">
        <f t="shared" si="201"/>
        <v>506.91686075982085</v>
      </c>
      <c r="M2042" s="1">
        <f t="shared" si="196"/>
        <v>1291</v>
      </c>
      <c r="N2042" s="38">
        <f>+M2042*'Failure Data'!F$3</f>
        <v>33.350833333333334</v>
      </c>
    </row>
    <row r="2043" spans="1:14" x14ac:dyDescent="0.15">
      <c r="A2043" s="1">
        <v>2034</v>
      </c>
      <c r="B2043" s="3">
        <f t="shared" si="197"/>
        <v>513.5076142480774</v>
      </c>
      <c r="C2043" s="8"/>
      <c r="D2043" s="3">
        <f t="shared" si="198"/>
        <v>507.16776424519287</v>
      </c>
      <c r="F2043" s="3">
        <f t="shared" si="199"/>
        <v>-413.5076142480774</v>
      </c>
      <c r="G2043" s="3">
        <f t="shared" si="200"/>
        <v>6.3398500028845319</v>
      </c>
      <c r="H2043" s="3">
        <f t="shared" si="201"/>
        <v>507.16776424519287</v>
      </c>
      <c r="M2043" s="1">
        <f t="shared" si="196"/>
        <v>1292</v>
      </c>
      <c r="N2043" s="38">
        <f>+M2043*'Failure Data'!F$3</f>
        <v>33.376666666666665</v>
      </c>
    </row>
    <row r="2044" spans="1:14" x14ac:dyDescent="0.15">
      <c r="A2044" s="1">
        <v>2035</v>
      </c>
      <c r="B2044" s="3">
        <f t="shared" si="197"/>
        <v>513.75851773344937</v>
      </c>
      <c r="C2044" s="8"/>
      <c r="D2044" s="3">
        <f t="shared" si="198"/>
        <v>507.41866773056483</v>
      </c>
      <c r="F2044" s="3">
        <f t="shared" si="199"/>
        <v>-413.75851773344937</v>
      </c>
      <c r="G2044" s="3">
        <f t="shared" si="200"/>
        <v>6.3398500028845319</v>
      </c>
      <c r="H2044" s="3">
        <f t="shared" si="201"/>
        <v>507.41866773056483</v>
      </c>
      <c r="M2044" s="1">
        <f t="shared" si="196"/>
        <v>1293</v>
      </c>
      <c r="N2044" s="38">
        <f>+M2044*'Failure Data'!F$3</f>
        <v>33.402499999999996</v>
      </c>
    </row>
    <row r="2045" spans="1:14" x14ac:dyDescent="0.15">
      <c r="A2045" s="1">
        <v>2036</v>
      </c>
      <c r="B2045" s="3">
        <f t="shared" si="197"/>
        <v>514.00942121882133</v>
      </c>
      <c r="C2045" s="8"/>
      <c r="D2045" s="3">
        <f t="shared" si="198"/>
        <v>507.66957121593686</v>
      </c>
      <c r="F2045" s="3">
        <f t="shared" si="199"/>
        <v>-414.00942121882133</v>
      </c>
      <c r="G2045" s="3">
        <f t="shared" si="200"/>
        <v>6.3398500028844751</v>
      </c>
      <c r="H2045" s="3">
        <f t="shared" si="201"/>
        <v>507.66957121593686</v>
      </c>
      <c r="M2045" s="1">
        <f t="shared" si="196"/>
        <v>1294</v>
      </c>
      <c r="N2045" s="38">
        <f>+M2045*'Failure Data'!F$3</f>
        <v>33.428333333333335</v>
      </c>
    </row>
    <row r="2046" spans="1:14" x14ac:dyDescent="0.15">
      <c r="A2046" s="1">
        <v>2037</v>
      </c>
      <c r="B2046" s="3">
        <f t="shared" si="197"/>
        <v>514.26032470419329</v>
      </c>
      <c r="C2046" s="8"/>
      <c r="D2046" s="3">
        <f t="shared" si="198"/>
        <v>507.92047470130882</v>
      </c>
      <c r="F2046" s="3">
        <f t="shared" si="199"/>
        <v>-414.26032470419329</v>
      </c>
      <c r="G2046" s="3">
        <f t="shared" si="200"/>
        <v>6.3398500028844751</v>
      </c>
      <c r="H2046" s="3">
        <f t="shared" si="201"/>
        <v>507.92047470130882</v>
      </c>
      <c r="M2046" s="1">
        <f t="shared" si="196"/>
        <v>1295</v>
      </c>
      <c r="N2046" s="38">
        <f>+M2046*'Failure Data'!F$3</f>
        <v>33.454166666666666</v>
      </c>
    </row>
    <row r="2047" spans="1:14" x14ac:dyDescent="0.15">
      <c r="A2047" s="1">
        <v>2038</v>
      </c>
      <c r="B2047" s="3">
        <f t="shared" si="197"/>
        <v>514.51122818956537</v>
      </c>
      <c r="C2047" s="8"/>
      <c r="D2047" s="3">
        <f t="shared" si="198"/>
        <v>508.17137818668084</v>
      </c>
      <c r="F2047" s="3">
        <f t="shared" si="199"/>
        <v>-414.51122818956537</v>
      </c>
      <c r="G2047" s="3">
        <f t="shared" si="200"/>
        <v>6.3398500028845319</v>
      </c>
      <c r="H2047" s="3">
        <f t="shared" si="201"/>
        <v>508.17137818668084</v>
      </c>
      <c r="M2047" s="1">
        <f t="shared" si="196"/>
        <v>1296</v>
      </c>
      <c r="N2047" s="38">
        <f>+M2047*'Failure Data'!F$3</f>
        <v>33.479999999999997</v>
      </c>
    </row>
    <row r="2048" spans="1:14" x14ac:dyDescent="0.15">
      <c r="A2048" s="1">
        <v>2039</v>
      </c>
      <c r="B2048" s="3">
        <f t="shared" si="197"/>
        <v>514.76213167493734</v>
      </c>
      <c r="C2048" s="8"/>
      <c r="D2048" s="3">
        <f t="shared" si="198"/>
        <v>508.4222816720528</v>
      </c>
      <c r="F2048" s="3">
        <f t="shared" si="199"/>
        <v>-414.76213167493734</v>
      </c>
      <c r="G2048" s="3">
        <f t="shared" si="200"/>
        <v>6.3398500028845319</v>
      </c>
      <c r="H2048" s="3">
        <f t="shared" si="201"/>
        <v>508.4222816720528</v>
      </c>
      <c r="M2048" s="1">
        <f t="shared" si="196"/>
        <v>1297</v>
      </c>
      <c r="N2048" s="38">
        <f>+M2048*'Failure Data'!F$3</f>
        <v>33.505833333333335</v>
      </c>
    </row>
    <row r="2049" spans="1:14" x14ac:dyDescent="0.15">
      <c r="A2049" s="1">
        <v>2040</v>
      </c>
      <c r="B2049" s="3">
        <f t="shared" si="197"/>
        <v>515.0130351603093</v>
      </c>
      <c r="C2049" s="8"/>
      <c r="D2049" s="3">
        <f t="shared" si="198"/>
        <v>508.67318515742483</v>
      </c>
      <c r="F2049" s="3">
        <f t="shared" si="199"/>
        <v>-415.0130351603093</v>
      </c>
      <c r="G2049" s="3">
        <f t="shared" si="200"/>
        <v>6.3398500028844751</v>
      </c>
      <c r="H2049" s="3">
        <f t="shared" si="201"/>
        <v>508.67318515742483</v>
      </c>
      <c r="M2049" s="1">
        <f t="shared" ref="M2049:M2112" si="202">M2048+1</f>
        <v>1298</v>
      </c>
      <c r="N2049" s="38">
        <f>+M2049*'Failure Data'!F$3</f>
        <v>33.531666666666666</v>
      </c>
    </row>
    <row r="2050" spans="1:14" x14ac:dyDescent="0.15">
      <c r="A2050" s="1">
        <v>2041</v>
      </c>
      <c r="B2050" s="3">
        <f t="shared" si="197"/>
        <v>515.26393864568126</v>
      </c>
      <c r="C2050" s="8"/>
      <c r="D2050" s="3">
        <f t="shared" si="198"/>
        <v>508.92408864279679</v>
      </c>
      <c r="F2050" s="3">
        <f t="shared" si="199"/>
        <v>-415.26393864568126</v>
      </c>
      <c r="G2050" s="3">
        <f t="shared" si="200"/>
        <v>6.3398500028844751</v>
      </c>
      <c r="H2050" s="3">
        <f t="shared" si="201"/>
        <v>508.92408864279679</v>
      </c>
      <c r="M2050" s="1">
        <f t="shared" si="202"/>
        <v>1299</v>
      </c>
      <c r="N2050" s="38">
        <f>+M2050*'Failure Data'!F$3</f>
        <v>33.557499999999997</v>
      </c>
    </row>
    <row r="2051" spans="1:14" x14ac:dyDescent="0.15">
      <c r="A2051" s="1">
        <v>2042</v>
      </c>
      <c r="B2051" s="3">
        <f t="shared" si="197"/>
        <v>515.51484213105323</v>
      </c>
      <c r="C2051" s="8"/>
      <c r="D2051" s="3">
        <f t="shared" si="198"/>
        <v>509.17499212816875</v>
      </c>
      <c r="F2051" s="3">
        <f t="shared" si="199"/>
        <v>-415.51484213105323</v>
      </c>
      <c r="G2051" s="3">
        <f t="shared" si="200"/>
        <v>6.3398500028844751</v>
      </c>
      <c r="H2051" s="3">
        <f t="shared" si="201"/>
        <v>509.17499212816875</v>
      </c>
      <c r="M2051" s="1">
        <f t="shared" si="202"/>
        <v>1300</v>
      </c>
      <c r="N2051" s="38">
        <f>+M2051*'Failure Data'!F$3</f>
        <v>33.583333333333336</v>
      </c>
    </row>
    <row r="2052" spans="1:14" x14ac:dyDescent="0.15">
      <c r="A2052" s="1">
        <v>2043</v>
      </c>
      <c r="B2052" s="3">
        <f t="shared" si="197"/>
        <v>515.76574561642531</v>
      </c>
      <c r="C2052" s="8"/>
      <c r="D2052" s="3">
        <f t="shared" si="198"/>
        <v>509.42589561354083</v>
      </c>
      <c r="F2052" s="3">
        <f t="shared" si="199"/>
        <v>-415.76574561642531</v>
      </c>
      <c r="G2052" s="3">
        <f t="shared" si="200"/>
        <v>6.3398500028844751</v>
      </c>
      <c r="H2052" s="3">
        <f t="shared" si="201"/>
        <v>509.42589561354083</v>
      </c>
      <c r="M2052" s="1">
        <f t="shared" si="202"/>
        <v>1301</v>
      </c>
      <c r="N2052" s="38">
        <f>+M2052*'Failure Data'!F$3</f>
        <v>33.609166666666667</v>
      </c>
    </row>
    <row r="2053" spans="1:14" x14ac:dyDescent="0.15">
      <c r="A2053" s="1">
        <v>2044</v>
      </c>
      <c r="B2053" s="3">
        <f t="shared" si="197"/>
        <v>516.01664910179727</v>
      </c>
      <c r="C2053" s="8"/>
      <c r="D2053" s="3">
        <f t="shared" si="198"/>
        <v>509.6767990989128</v>
      </c>
      <c r="F2053" s="3">
        <f t="shared" si="199"/>
        <v>-416.01664910179727</v>
      </c>
      <c r="G2053" s="3">
        <f t="shared" si="200"/>
        <v>6.3398500028844751</v>
      </c>
      <c r="H2053" s="3">
        <f t="shared" si="201"/>
        <v>509.6767990989128</v>
      </c>
      <c r="M2053" s="1">
        <f t="shared" si="202"/>
        <v>1302</v>
      </c>
      <c r="N2053" s="38">
        <f>+M2053*'Failure Data'!F$3</f>
        <v>33.634999999999998</v>
      </c>
    </row>
    <row r="2054" spans="1:14" x14ac:dyDescent="0.15">
      <c r="A2054" s="1">
        <v>2045</v>
      </c>
      <c r="B2054" s="3">
        <f t="shared" si="197"/>
        <v>516.26755258716923</v>
      </c>
      <c r="C2054" s="8"/>
      <c r="D2054" s="3">
        <f t="shared" si="198"/>
        <v>509.92770258428476</v>
      </c>
      <c r="F2054" s="3">
        <f t="shared" si="199"/>
        <v>-416.26755258716923</v>
      </c>
      <c r="G2054" s="3">
        <f t="shared" si="200"/>
        <v>6.3398500028844751</v>
      </c>
      <c r="H2054" s="3">
        <f t="shared" si="201"/>
        <v>509.92770258428476</v>
      </c>
      <c r="M2054" s="1">
        <f t="shared" si="202"/>
        <v>1303</v>
      </c>
      <c r="N2054" s="38">
        <f>+M2054*'Failure Data'!F$3</f>
        <v>33.660833333333336</v>
      </c>
    </row>
    <row r="2055" spans="1:14" x14ac:dyDescent="0.15">
      <c r="A2055" s="1">
        <v>2046</v>
      </c>
      <c r="B2055" s="3">
        <f t="shared" si="197"/>
        <v>516.5184560725412</v>
      </c>
      <c r="C2055" s="8"/>
      <c r="D2055" s="3">
        <f t="shared" si="198"/>
        <v>510.17860606965672</v>
      </c>
      <c r="F2055" s="3">
        <f t="shared" si="199"/>
        <v>-416.5184560725412</v>
      </c>
      <c r="G2055" s="3">
        <f t="shared" si="200"/>
        <v>6.3398500028844751</v>
      </c>
      <c r="H2055" s="3">
        <f t="shared" si="201"/>
        <v>510.17860606965672</v>
      </c>
      <c r="M2055" s="1">
        <f t="shared" si="202"/>
        <v>1304</v>
      </c>
      <c r="N2055" s="38">
        <f>+M2055*'Failure Data'!F$3</f>
        <v>33.686666666666667</v>
      </c>
    </row>
    <row r="2056" spans="1:14" x14ac:dyDescent="0.15">
      <c r="A2056" s="1">
        <v>2047</v>
      </c>
      <c r="B2056" s="3">
        <f t="shared" si="197"/>
        <v>516.76935955791328</v>
      </c>
      <c r="C2056" s="8"/>
      <c r="D2056" s="3">
        <f t="shared" si="198"/>
        <v>510.4295095550288</v>
      </c>
      <c r="F2056" s="3">
        <f t="shared" si="199"/>
        <v>-416.76935955791328</v>
      </c>
      <c r="G2056" s="3">
        <f t="shared" si="200"/>
        <v>6.3398500028844751</v>
      </c>
      <c r="H2056" s="3">
        <f t="shared" si="201"/>
        <v>510.4295095550288</v>
      </c>
      <c r="M2056" s="1">
        <f t="shared" si="202"/>
        <v>1305</v>
      </c>
      <c r="N2056" s="38">
        <f>+M2056*'Failure Data'!F$3</f>
        <v>33.712499999999999</v>
      </c>
    </row>
    <row r="2057" spans="1:14" x14ac:dyDescent="0.15">
      <c r="A2057" s="1">
        <v>2048</v>
      </c>
      <c r="B2057" s="3">
        <f t="shared" si="197"/>
        <v>517.02026304328524</v>
      </c>
      <c r="C2057" s="8"/>
      <c r="D2057" s="3">
        <f t="shared" si="198"/>
        <v>510.68041304040077</v>
      </c>
      <c r="F2057" s="3">
        <f t="shared" si="199"/>
        <v>-417.02026304328524</v>
      </c>
      <c r="G2057" s="3">
        <f t="shared" si="200"/>
        <v>6.3398500028844751</v>
      </c>
      <c r="H2057" s="3">
        <f t="shared" si="201"/>
        <v>510.68041304040077</v>
      </c>
      <c r="M2057" s="1">
        <f t="shared" si="202"/>
        <v>1306</v>
      </c>
      <c r="N2057" s="38">
        <f>+M2057*'Failure Data'!F$3</f>
        <v>33.73833333333333</v>
      </c>
    </row>
    <row r="2058" spans="1:14" x14ac:dyDescent="0.15">
      <c r="A2058" s="1">
        <v>2049</v>
      </c>
      <c r="B2058" s="3">
        <f t="shared" si="197"/>
        <v>517.2711665286572</v>
      </c>
      <c r="C2058" s="8"/>
      <c r="D2058" s="3">
        <f t="shared" si="198"/>
        <v>510.93131652577273</v>
      </c>
      <c r="F2058" s="3">
        <f t="shared" si="199"/>
        <v>-417.2711665286572</v>
      </c>
      <c r="G2058" s="3">
        <f t="shared" si="200"/>
        <v>6.3398500028844751</v>
      </c>
      <c r="H2058" s="3">
        <f t="shared" si="201"/>
        <v>510.93131652577273</v>
      </c>
      <c r="M2058" s="1">
        <f t="shared" si="202"/>
        <v>1307</v>
      </c>
      <c r="N2058" s="38">
        <f>+M2058*'Failure Data'!F$3</f>
        <v>33.764166666666668</v>
      </c>
    </row>
    <row r="2059" spans="1:14" x14ac:dyDescent="0.15">
      <c r="A2059" s="1">
        <v>2050</v>
      </c>
      <c r="B2059" s="3">
        <f t="shared" si="197"/>
        <v>517.52207001402928</v>
      </c>
      <c r="C2059" s="8"/>
      <c r="D2059" s="3">
        <f t="shared" si="198"/>
        <v>511.18222001114481</v>
      </c>
      <c r="F2059" s="3">
        <f t="shared" si="199"/>
        <v>-417.52207001402928</v>
      </c>
      <c r="G2059" s="3">
        <f t="shared" si="200"/>
        <v>6.3398500028844751</v>
      </c>
      <c r="H2059" s="3">
        <f t="shared" si="201"/>
        <v>511.18222001114481</v>
      </c>
      <c r="M2059" s="1">
        <f t="shared" si="202"/>
        <v>1308</v>
      </c>
      <c r="N2059" s="38">
        <f>+M2059*'Failure Data'!F$3</f>
        <v>33.79</v>
      </c>
    </row>
    <row r="2060" spans="1:14" x14ac:dyDescent="0.15">
      <c r="A2060" s="1">
        <v>2051</v>
      </c>
      <c r="B2060" s="3">
        <f t="shared" si="197"/>
        <v>517.77297349940125</v>
      </c>
      <c r="C2060" s="8"/>
      <c r="D2060" s="3">
        <f t="shared" si="198"/>
        <v>511.43312349651677</v>
      </c>
      <c r="F2060" s="3">
        <f t="shared" si="199"/>
        <v>-417.77297349940125</v>
      </c>
      <c r="G2060" s="3">
        <f t="shared" si="200"/>
        <v>6.3398500028844751</v>
      </c>
      <c r="H2060" s="3">
        <f t="shared" si="201"/>
        <v>511.43312349651677</v>
      </c>
      <c r="M2060" s="1">
        <f t="shared" si="202"/>
        <v>1309</v>
      </c>
      <c r="N2060" s="38">
        <f>+M2060*'Failure Data'!F$3</f>
        <v>33.81583333333333</v>
      </c>
    </row>
    <row r="2061" spans="1:14" x14ac:dyDescent="0.15">
      <c r="A2061" s="1">
        <v>2052</v>
      </c>
      <c r="B2061" s="3">
        <f t="shared" si="197"/>
        <v>518.02387698477321</v>
      </c>
      <c r="C2061" s="8"/>
      <c r="D2061" s="3">
        <f t="shared" si="198"/>
        <v>511.68402698188874</v>
      </c>
      <c r="F2061" s="3">
        <f t="shared" si="199"/>
        <v>-418.02387698477321</v>
      </c>
      <c r="G2061" s="3">
        <f t="shared" si="200"/>
        <v>6.3398500028844751</v>
      </c>
      <c r="H2061" s="3">
        <f t="shared" si="201"/>
        <v>511.68402698188874</v>
      </c>
      <c r="M2061" s="1">
        <f t="shared" si="202"/>
        <v>1310</v>
      </c>
      <c r="N2061" s="38">
        <f>+M2061*'Failure Data'!F$3</f>
        <v>33.841666666666669</v>
      </c>
    </row>
    <row r="2062" spans="1:14" x14ac:dyDescent="0.15">
      <c r="A2062" s="1">
        <v>2053</v>
      </c>
      <c r="B2062" s="3">
        <f t="shared" si="197"/>
        <v>518.27478047014517</v>
      </c>
      <c r="C2062" s="8"/>
      <c r="D2062" s="3">
        <f t="shared" si="198"/>
        <v>511.9349304672607</v>
      </c>
      <c r="F2062" s="3">
        <f t="shared" si="199"/>
        <v>-418.27478047014517</v>
      </c>
      <c r="G2062" s="3">
        <f t="shared" si="200"/>
        <v>6.3398500028844751</v>
      </c>
      <c r="H2062" s="3">
        <f t="shared" si="201"/>
        <v>511.9349304672607</v>
      </c>
      <c r="M2062" s="1">
        <f t="shared" si="202"/>
        <v>1311</v>
      </c>
      <c r="N2062" s="38">
        <f>+M2062*'Failure Data'!F$3</f>
        <v>33.8675</v>
      </c>
    </row>
    <row r="2063" spans="1:14" x14ac:dyDescent="0.15">
      <c r="A2063" s="1">
        <v>2054</v>
      </c>
      <c r="B2063" s="3">
        <f t="shared" si="197"/>
        <v>518.52568395551725</v>
      </c>
      <c r="C2063" s="8"/>
      <c r="D2063" s="3">
        <f t="shared" si="198"/>
        <v>512.18583395263283</v>
      </c>
      <c r="F2063" s="3">
        <f t="shared" si="199"/>
        <v>-418.52568395551725</v>
      </c>
      <c r="G2063" s="3">
        <f t="shared" si="200"/>
        <v>6.3398500028844182</v>
      </c>
      <c r="H2063" s="3">
        <f t="shared" si="201"/>
        <v>512.18583395263283</v>
      </c>
      <c r="M2063" s="1">
        <f t="shared" si="202"/>
        <v>1312</v>
      </c>
      <c r="N2063" s="38">
        <f>+M2063*'Failure Data'!F$3</f>
        <v>33.893333333333331</v>
      </c>
    </row>
    <row r="2064" spans="1:14" x14ac:dyDescent="0.15">
      <c r="A2064" s="1">
        <v>2055</v>
      </c>
      <c r="B2064" s="3">
        <f t="shared" si="197"/>
        <v>518.77658744088922</v>
      </c>
      <c r="C2064" s="8"/>
      <c r="D2064" s="3">
        <f t="shared" si="198"/>
        <v>512.4367374380048</v>
      </c>
      <c r="F2064" s="3">
        <f t="shared" si="199"/>
        <v>-418.77658744088922</v>
      </c>
      <c r="G2064" s="3">
        <f t="shared" si="200"/>
        <v>6.3398500028844182</v>
      </c>
      <c r="H2064" s="3">
        <f t="shared" si="201"/>
        <v>512.4367374380048</v>
      </c>
      <c r="M2064" s="1">
        <f t="shared" si="202"/>
        <v>1313</v>
      </c>
      <c r="N2064" s="38">
        <f>+M2064*'Failure Data'!F$3</f>
        <v>33.919166666666669</v>
      </c>
    </row>
    <row r="2065" spans="1:14" x14ac:dyDescent="0.15">
      <c r="A2065" s="1">
        <v>2056</v>
      </c>
      <c r="B2065" s="3">
        <f t="shared" si="197"/>
        <v>519.02749092626118</v>
      </c>
      <c r="C2065" s="8"/>
      <c r="D2065" s="3">
        <f t="shared" si="198"/>
        <v>512.68764092337676</v>
      </c>
      <c r="F2065" s="3">
        <f t="shared" si="199"/>
        <v>-419.02749092626118</v>
      </c>
      <c r="G2065" s="3">
        <f t="shared" si="200"/>
        <v>6.3398500028844182</v>
      </c>
      <c r="H2065" s="3">
        <f t="shared" si="201"/>
        <v>512.68764092337676</v>
      </c>
      <c r="M2065" s="1">
        <f t="shared" si="202"/>
        <v>1314</v>
      </c>
      <c r="N2065" s="38">
        <f>+M2065*'Failure Data'!F$3</f>
        <v>33.945</v>
      </c>
    </row>
    <row r="2066" spans="1:14" x14ac:dyDescent="0.15">
      <c r="A2066" s="1">
        <v>2057</v>
      </c>
      <c r="B2066" s="3">
        <f t="shared" si="197"/>
        <v>519.27839441163314</v>
      </c>
      <c r="C2066" s="8"/>
      <c r="D2066" s="3">
        <f t="shared" si="198"/>
        <v>512.93854440874873</v>
      </c>
      <c r="F2066" s="3">
        <f t="shared" si="199"/>
        <v>-419.27839441163314</v>
      </c>
      <c r="G2066" s="3">
        <f t="shared" si="200"/>
        <v>6.3398500028844182</v>
      </c>
      <c r="H2066" s="3">
        <f t="shared" si="201"/>
        <v>512.93854440874873</v>
      </c>
      <c r="M2066" s="1">
        <f t="shared" si="202"/>
        <v>1315</v>
      </c>
      <c r="N2066" s="38">
        <f>+M2066*'Failure Data'!F$3</f>
        <v>33.970833333333331</v>
      </c>
    </row>
    <row r="2067" spans="1:14" x14ac:dyDescent="0.15">
      <c r="A2067" s="1">
        <v>2058</v>
      </c>
      <c r="B2067" s="3">
        <f t="shared" si="197"/>
        <v>519.52929789700522</v>
      </c>
      <c r="C2067" s="8"/>
      <c r="D2067" s="3">
        <f t="shared" si="198"/>
        <v>513.1894478941208</v>
      </c>
      <c r="F2067" s="3">
        <f t="shared" si="199"/>
        <v>-419.52929789700522</v>
      </c>
      <c r="G2067" s="3">
        <f t="shared" si="200"/>
        <v>6.3398500028844182</v>
      </c>
      <c r="H2067" s="3">
        <f t="shared" si="201"/>
        <v>513.1894478941208</v>
      </c>
      <c r="M2067" s="1">
        <f t="shared" si="202"/>
        <v>1316</v>
      </c>
      <c r="N2067" s="38">
        <f>+M2067*'Failure Data'!F$3</f>
        <v>33.99666666666667</v>
      </c>
    </row>
    <row r="2068" spans="1:14" x14ac:dyDescent="0.15">
      <c r="A2068" s="1">
        <v>2059</v>
      </c>
      <c r="B2068" s="3">
        <f t="shared" si="197"/>
        <v>519.78020138237719</v>
      </c>
      <c r="C2068" s="8"/>
      <c r="D2068" s="3">
        <f t="shared" si="198"/>
        <v>513.44035137949277</v>
      </c>
      <c r="F2068" s="3">
        <f t="shared" si="199"/>
        <v>-419.78020138237719</v>
      </c>
      <c r="G2068" s="3">
        <f t="shared" si="200"/>
        <v>6.3398500028844182</v>
      </c>
      <c r="H2068" s="3">
        <f t="shared" si="201"/>
        <v>513.44035137949277</v>
      </c>
      <c r="M2068" s="1">
        <f t="shared" si="202"/>
        <v>1317</v>
      </c>
      <c r="N2068" s="38">
        <f>+M2068*'Failure Data'!F$3</f>
        <v>34.022500000000001</v>
      </c>
    </row>
    <row r="2069" spans="1:14" x14ac:dyDescent="0.15">
      <c r="A2069" s="1">
        <v>2060</v>
      </c>
      <c r="B2069" s="3">
        <f t="shared" si="197"/>
        <v>520.03110486774915</v>
      </c>
      <c r="C2069" s="8"/>
      <c r="D2069" s="3">
        <f t="shared" si="198"/>
        <v>513.69125486486473</v>
      </c>
      <c r="F2069" s="3">
        <f t="shared" si="199"/>
        <v>-420.03110486774915</v>
      </c>
      <c r="G2069" s="3">
        <f t="shared" si="200"/>
        <v>6.3398500028844182</v>
      </c>
      <c r="H2069" s="3">
        <f t="shared" si="201"/>
        <v>513.69125486486473</v>
      </c>
      <c r="M2069" s="1">
        <f t="shared" si="202"/>
        <v>1318</v>
      </c>
      <c r="N2069" s="38">
        <f>+M2069*'Failure Data'!F$3</f>
        <v>34.048333333333332</v>
      </c>
    </row>
    <row r="2070" spans="1:14" x14ac:dyDescent="0.15">
      <c r="A2070" s="1">
        <v>2061</v>
      </c>
      <c r="B2070" s="3">
        <f t="shared" si="197"/>
        <v>520.28200835312111</v>
      </c>
      <c r="C2070" s="8"/>
      <c r="D2070" s="3">
        <f t="shared" si="198"/>
        <v>513.9421583502367</v>
      </c>
      <c r="F2070" s="3">
        <f t="shared" si="199"/>
        <v>-420.28200835312111</v>
      </c>
      <c r="G2070" s="3">
        <f t="shared" si="200"/>
        <v>6.3398500028844182</v>
      </c>
      <c r="H2070" s="3">
        <f t="shared" si="201"/>
        <v>513.9421583502367</v>
      </c>
      <c r="M2070" s="1">
        <f t="shared" si="202"/>
        <v>1319</v>
      </c>
      <c r="N2070" s="38">
        <f>+M2070*'Failure Data'!F$3</f>
        <v>34.074166666666663</v>
      </c>
    </row>
    <row r="2071" spans="1:14" x14ac:dyDescent="0.15">
      <c r="A2071" s="1">
        <v>2062</v>
      </c>
      <c r="B2071" s="3">
        <f t="shared" si="197"/>
        <v>520.53291183849319</v>
      </c>
      <c r="C2071" s="8"/>
      <c r="D2071" s="3">
        <f t="shared" si="198"/>
        <v>514.19306183560877</v>
      </c>
      <c r="F2071" s="3">
        <f t="shared" si="199"/>
        <v>-420.53291183849319</v>
      </c>
      <c r="G2071" s="3">
        <f t="shared" si="200"/>
        <v>6.3398500028844182</v>
      </c>
      <c r="H2071" s="3">
        <f t="shared" si="201"/>
        <v>514.19306183560877</v>
      </c>
      <c r="M2071" s="1">
        <f t="shared" si="202"/>
        <v>1320</v>
      </c>
      <c r="N2071" s="38">
        <f>+M2071*'Failure Data'!F$3</f>
        <v>34.1</v>
      </c>
    </row>
    <row r="2072" spans="1:14" x14ac:dyDescent="0.15">
      <c r="A2072" s="1">
        <v>2063</v>
      </c>
      <c r="B2072" s="3">
        <f t="shared" si="197"/>
        <v>520.78381532386516</v>
      </c>
      <c r="C2072" s="8"/>
      <c r="D2072" s="3">
        <f t="shared" si="198"/>
        <v>514.44396532098074</v>
      </c>
      <c r="F2072" s="3">
        <f t="shared" si="199"/>
        <v>-420.78381532386516</v>
      </c>
      <c r="G2072" s="3">
        <f t="shared" si="200"/>
        <v>6.3398500028844182</v>
      </c>
      <c r="H2072" s="3">
        <f t="shared" si="201"/>
        <v>514.44396532098074</v>
      </c>
      <c r="M2072" s="1">
        <f t="shared" si="202"/>
        <v>1321</v>
      </c>
      <c r="N2072" s="38">
        <f>+M2072*'Failure Data'!F$3</f>
        <v>34.125833333333333</v>
      </c>
    </row>
    <row r="2073" spans="1:14" x14ac:dyDescent="0.15">
      <c r="A2073" s="1">
        <v>2064</v>
      </c>
      <c r="B2073" s="3">
        <f t="shared" si="197"/>
        <v>521.03471880923712</v>
      </c>
      <c r="C2073" s="8"/>
      <c r="D2073" s="3">
        <f t="shared" si="198"/>
        <v>514.6948688063527</v>
      </c>
      <c r="F2073" s="3">
        <f t="shared" si="199"/>
        <v>-421.03471880923712</v>
      </c>
      <c r="G2073" s="3">
        <f t="shared" si="200"/>
        <v>6.3398500028844182</v>
      </c>
      <c r="H2073" s="3">
        <f t="shared" si="201"/>
        <v>514.6948688063527</v>
      </c>
      <c r="M2073" s="1">
        <f t="shared" si="202"/>
        <v>1322</v>
      </c>
      <c r="N2073" s="38">
        <f>+M2073*'Failure Data'!F$3</f>
        <v>34.151666666666664</v>
      </c>
    </row>
    <row r="2074" spans="1:14" x14ac:dyDescent="0.15">
      <c r="A2074" s="1">
        <v>2065</v>
      </c>
      <c r="B2074" s="3">
        <f t="shared" si="197"/>
        <v>521.28562229460908</v>
      </c>
      <c r="C2074" s="8"/>
      <c r="D2074" s="3">
        <f t="shared" si="198"/>
        <v>514.94577229172467</v>
      </c>
      <c r="F2074" s="3">
        <f t="shared" si="199"/>
        <v>-421.28562229460908</v>
      </c>
      <c r="G2074" s="3">
        <f t="shared" si="200"/>
        <v>6.3398500028844182</v>
      </c>
      <c r="H2074" s="3">
        <f t="shared" si="201"/>
        <v>514.94577229172467</v>
      </c>
      <c r="M2074" s="1">
        <f t="shared" si="202"/>
        <v>1323</v>
      </c>
      <c r="N2074" s="38">
        <f>+M2074*'Failure Data'!F$3</f>
        <v>34.177500000000002</v>
      </c>
    </row>
    <row r="2075" spans="1:14" x14ac:dyDescent="0.15">
      <c r="A2075" s="1">
        <v>2066</v>
      </c>
      <c r="B2075" s="3">
        <f t="shared" si="197"/>
        <v>521.53652577998116</v>
      </c>
      <c r="C2075" s="8"/>
      <c r="D2075" s="3">
        <f t="shared" si="198"/>
        <v>515.19667577709674</v>
      </c>
      <c r="F2075" s="3">
        <f t="shared" si="199"/>
        <v>-421.53652577998116</v>
      </c>
      <c r="G2075" s="3">
        <f t="shared" si="200"/>
        <v>6.3398500028844182</v>
      </c>
      <c r="H2075" s="3">
        <f t="shared" si="201"/>
        <v>515.19667577709674</v>
      </c>
      <c r="M2075" s="1">
        <f t="shared" si="202"/>
        <v>1324</v>
      </c>
      <c r="N2075" s="38">
        <f>+M2075*'Failure Data'!F$3</f>
        <v>34.203333333333333</v>
      </c>
    </row>
    <row r="2076" spans="1:14" x14ac:dyDescent="0.15">
      <c r="A2076" s="1">
        <v>2067</v>
      </c>
      <c r="B2076" s="3">
        <f t="shared" si="197"/>
        <v>521.78742926535313</v>
      </c>
      <c r="C2076" s="8"/>
      <c r="D2076" s="3">
        <f t="shared" si="198"/>
        <v>515.44757926246871</v>
      </c>
      <c r="F2076" s="3">
        <f t="shared" si="199"/>
        <v>-421.78742926535313</v>
      </c>
      <c r="G2076" s="3">
        <f t="shared" si="200"/>
        <v>6.3398500028844182</v>
      </c>
      <c r="H2076" s="3">
        <f t="shared" si="201"/>
        <v>515.44757926246871</v>
      </c>
      <c r="M2076" s="1">
        <f t="shared" si="202"/>
        <v>1325</v>
      </c>
      <c r="N2076" s="38">
        <f>+M2076*'Failure Data'!F$3</f>
        <v>34.229166666666664</v>
      </c>
    </row>
    <row r="2077" spans="1:14" x14ac:dyDescent="0.15">
      <c r="A2077" s="1">
        <v>2068</v>
      </c>
      <c r="B2077" s="3">
        <f t="shared" si="197"/>
        <v>522.03833275072509</v>
      </c>
      <c r="C2077" s="8"/>
      <c r="D2077" s="3">
        <f t="shared" si="198"/>
        <v>515.69848274784067</v>
      </c>
      <c r="F2077" s="3">
        <f t="shared" si="199"/>
        <v>-422.03833275072509</v>
      </c>
      <c r="G2077" s="3">
        <f t="shared" si="200"/>
        <v>6.3398500028844182</v>
      </c>
      <c r="H2077" s="3">
        <f t="shared" si="201"/>
        <v>515.69848274784067</v>
      </c>
      <c r="M2077" s="1">
        <f t="shared" si="202"/>
        <v>1326</v>
      </c>
      <c r="N2077" s="38">
        <f>+M2077*'Failure Data'!F$3</f>
        <v>34.255000000000003</v>
      </c>
    </row>
    <row r="2078" spans="1:14" x14ac:dyDescent="0.15">
      <c r="A2078" s="1">
        <v>2069</v>
      </c>
      <c r="B2078" s="3">
        <f t="shared" si="197"/>
        <v>522.28923623609705</v>
      </c>
      <c r="C2078" s="8"/>
      <c r="D2078" s="3">
        <f t="shared" si="198"/>
        <v>515.94938623321264</v>
      </c>
      <c r="F2078" s="3">
        <f t="shared" si="199"/>
        <v>-422.28923623609705</v>
      </c>
      <c r="G2078" s="3">
        <f t="shared" si="200"/>
        <v>6.3398500028844182</v>
      </c>
      <c r="H2078" s="3">
        <f t="shared" si="201"/>
        <v>515.94938623321264</v>
      </c>
      <c r="M2078" s="1">
        <f t="shared" si="202"/>
        <v>1327</v>
      </c>
      <c r="N2078" s="38">
        <f>+M2078*'Failure Data'!F$3</f>
        <v>34.280833333333334</v>
      </c>
    </row>
    <row r="2079" spans="1:14" x14ac:dyDescent="0.15">
      <c r="A2079" s="1">
        <v>2070</v>
      </c>
      <c r="B2079" s="3">
        <f t="shared" ref="B2079:B2142" si="203">+(B$4*A2079)+B$5</f>
        <v>522.54013972146913</v>
      </c>
      <c r="C2079" s="8"/>
      <c r="D2079" s="3">
        <f t="shared" ref="D2079:D2142" si="204">+(D$4*A2079)+D$5</f>
        <v>516.20028971858471</v>
      </c>
      <c r="F2079" s="3">
        <f t="shared" ref="F2079:F2142" si="205">+xmax-B2079</f>
        <v>-422.54013972146913</v>
      </c>
      <c r="G2079" s="3">
        <f t="shared" ref="G2079:G2142" si="206">+B2079-D2079</f>
        <v>6.3398500028844182</v>
      </c>
      <c r="H2079" s="3">
        <f t="shared" ref="H2079:H2142" si="207">D2079</f>
        <v>516.20028971858471</v>
      </c>
      <c r="M2079" s="1">
        <f t="shared" si="202"/>
        <v>1328</v>
      </c>
      <c r="N2079" s="38">
        <f>+M2079*'Failure Data'!F$3</f>
        <v>34.306666666666665</v>
      </c>
    </row>
    <row r="2080" spans="1:14" x14ac:dyDescent="0.15">
      <c r="A2080" s="1">
        <v>2071</v>
      </c>
      <c r="B2080" s="3">
        <f t="shared" si="203"/>
        <v>522.7910432068411</v>
      </c>
      <c r="C2080" s="8"/>
      <c r="D2080" s="3">
        <f t="shared" si="204"/>
        <v>516.45119320395668</v>
      </c>
      <c r="F2080" s="3">
        <f t="shared" si="205"/>
        <v>-422.7910432068411</v>
      </c>
      <c r="G2080" s="3">
        <f t="shared" si="206"/>
        <v>6.3398500028844182</v>
      </c>
      <c r="H2080" s="3">
        <f t="shared" si="207"/>
        <v>516.45119320395668</v>
      </c>
      <c r="M2080" s="1">
        <f t="shared" si="202"/>
        <v>1329</v>
      </c>
      <c r="N2080" s="38">
        <f>+M2080*'Failure Data'!F$3</f>
        <v>34.332500000000003</v>
      </c>
    </row>
    <row r="2081" spans="1:14" x14ac:dyDescent="0.15">
      <c r="A2081" s="1">
        <v>2072</v>
      </c>
      <c r="B2081" s="3">
        <f t="shared" si="203"/>
        <v>523.04194669221306</v>
      </c>
      <c r="C2081" s="8"/>
      <c r="D2081" s="3">
        <f t="shared" si="204"/>
        <v>516.70209668932864</v>
      </c>
      <c r="F2081" s="3">
        <f t="shared" si="205"/>
        <v>-423.04194669221306</v>
      </c>
      <c r="G2081" s="3">
        <f t="shared" si="206"/>
        <v>6.3398500028844182</v>
      </c>
      <c r="H2081" s="3">
        <f t="shared" si="207"/>
        <v>516.70209668932864</v>
      </c>
      <c r="M2081" s="1">
        <f t="shared" si="202"/>
        <v>1330</v>
      </c>
      <c r="N2081" s="38">
        <f>+M2081*'Failure Data'!F$3</f>
        <v>34.358333333333334</v>
      </c>
    </row>
    <row r="2082" spans="1:14" x14ac:dyDescent="0.15">
      <c r="A2082" s="1">
        <v>2073</v>
      </c>
      <c r="B2082" s="3">
        <f t="shared" si="203"/>
        <v>523.29285017758514</v>
      </c>
      <c r="C2082" s="8"/>
      <c r="D2082" s="3">
        <f t="shared" si="204"/>
        <v>516.95300017470072</v>
      </c>
      <c r="F2082" s="3">
        <f t="shared" si="205"/>
        <v>-423.29285017758514</v>
      </c>
      <c r="G2082" s="3">
        <f t="shared" si="206"/>
        <v>6.3398500028844182</v>
      </c>
      <c r="H2082" s="3">
        <f t="shared" si="207"/>
        <v>516.95300017470072</v>
      </c>
      <c r="M2082" s="1">
        <f t="shared" si="202"/>
        <v>1331</v>
      </c>
      <c r="N2082" s="38">
        <f>+M2082*'Failure Data'!F$3</f>
        <v>34.384166666666665</v>
      </c>
    </row>
    <row r="2083" spans="1:14" x14ac:dyDescent="0.15">
      <c r="A2083" s="1">
        <v>2074</v>
      </c>
      <c r="B2083" s="3">
        <f t="shared" si="203"/>
        <v>523.5437536629571</v>
      </c>
      <c r="C2083" s="8"/>
      <c r="D2083" s="3">
        <f t="shared" si="204"/>
        <v>517.20390366007268</v>
      </c>
      <c r="F2083" s="3">
        <f t="shared" si="205"/>
        <v>-423.5437536629571</v>
      </c>
      <c r="G2083" s="3">
        <f t="shared" si="206"/>
        <v>6.3398500028844182</v>
      </c>
      <c r="H2083" s="3">
        <f t="shared" si="207"/>
        <v>517.20390366007268</v>
      </c>
      <c r="M2083" s="1">
        <f t="shared" si="202"/>
        <v>1332</v>
      </c>
      <c r="N2083" s="38">
        <f>+M2083*'Failure Data'!F$3</f>
        <v>34.409999999999997</v>
      </c>
    </row>
    <row r="2084" spans="1:14" x14ac:dyDescent="0.15">
      <c r="A2084" s="1">
        <v>2075</v>
      </c>
      <c r="B2084" s="3">
        <f t="shared" si="203"/>
        <v>523.79465714832907</v>
      </c>
      <c r="C2084" s="8"/>
      <c r="D2084" s="3">
        <f t="shared" si="204"/>
        <v>517.45480714544465</v>
      </c>
      <c r="F2084" s="3">
        <f t="shared" si="205"/>
        <v>-423.79465714832907</v>
      </c>
      <c r="G2084" s="3">
        <f t="shared" si="206"/>
        <v>6.3398500028844182</v>
      </c>
      <c r="H2084" s="3">
        <f t="shared" si="207"/>
        <v>517.45480714544465</v>
      </c>
      <c r="M2084" s="1">
        <f t="shared" si="202"/>
        <v>1333</v>
      </c>
      <c r="N2084" s="38">
        <f>+M2084*'Failure Data'!F$3</f>
        <v>34.435833333333335</v>
      </c>
    </row>
    <row r="2085" spans="1:14" x14ac:dyDescent="0.15">
      <c r="A2085" s="1">
        <v>2076</v>
      </c>
      <c r="B2085" s="3">
        <f t="shared" si="203"/>
        <v>524.04556063370103</v>
      </c>
      <c r="C2085" s="8"/>
      <c r="D2085" s="3">
        <f t="shared" si="204"/>
        <v>517.70571063081661</v>
      </c>
      <c r="F2085" s="3">
        <f t="shared" si="205"/>
        <v>-424.04556063370103</v>
      </c>
      <c r="G2085" s="3">
        <f t="shared" si="206"/>
        <v>6.3398500028844182</v>
      </c>
      <c r="H2085" s="3">
        <f t="shared" si="207"/>
        <v>517.70571063081661</v>
      </c>
      <c r="M2085" s="1">
        <f t="shared" si="202"/>
        <v>1334</v>
      </c>
      <c r="N2085" s="38">
        <f>+M2085*'Failure Data'!F$3</f>
        <v>34.461666666666666</v>
      </c>
    </row>
    <row r="2086" spans="1:14" x14ac:dyDescent="0.15">
      <c r="A2086" s="1">
        <v>2077</v>
      </c>
      <c r="B2086" s="3">
        <f t="shared" si="203"/>
        <v>524.29646411907311</v>
      </c>
      <c r="C2086" s="8"/>
      <c r="D2086" s="3">
        <f t="shared" si="204"/>
        <v>517.95661411618869</v>
      </c>
      <c r="F2086" s="3">
        <f t="shared" si="205"/>
        <v>-424.29646411907311</v>
      </c>
      <c r="G2086" s="3">
        <f t="shared" si="206"/>
        <v>6.3398500028844182</v>
      </c>
      <c r="H2086" s="3">
        <f t="shared" si="207"/>
        <v>517.95661411618869</v>
      </c>
      <c r="M2086" s="1">
        <f t="shared" si="202"/>
        <v>1335</v>
      </c>
      <c r="N2086" s="38">
        <f>+M2086*'Failure Data'!F$3</f>
        <v>34.487499999999997</v>
      </c>
    </row>
    <row r="2087" spans="1:14" x14ac:dyDescent="0.15">
      <c r="A2087" s="1">
        <v>2078</v>
      </c>
      <c r="B2087" s="3">
        <f t="shared" si="203"/>
        <v>524.54736760444507</v>
      </c>
      <c r="C2087" s="8"/>
      <c r="D2087" s="3">
        <f t="shared" si="204"/>
        <v>518.20751760156065</v>
      </c>
      <c r="F2087" s="3">
        <f t="shared" si="205"/>
        <v>-424.54736760444507</v>
      </c>
      <c r="G2087" s="3">
        <f t="shared" si="206"/>
        <v>6.3398500028844182</v>
      </c>
      <c r="H2087" s="3">
        <f t="shared" si="207"/>
        <v>518.20751760156065</v>
      </c>
      <c r="M2087" s="1">
        <f t="shared" si="202"/>
        <v>1336</v>
      </c>
      <c r="N2087" s="38">
        <f>+M2087*'Failure Data'!F$3</f>
        <v>34.513333333333335</v>
      </c>
    </row>
    <row r="2088" spans="1:14" x14ac:dyDescent="0.15">
      <c r="A2088" s="1">
        <v>2079</v>
      </c>
      <c r="B2088" s="3">
        <f t="shared" si="203"/>
        <v>524.79827108981704</v>
      </c>
      <c r="C2088" s="8"/>
      <c r="D2088" s="3">
        <f t="shared" si="204"/>
        <v>518.45842108693262</v>
      </c>
      <c r="F2088" s="3">
        <f t="shared" si="205"/>
        <v>-424.79827108981704</v>
      </c>
      <c r="G2088" s="3">
        <f t="shared" si="206"/>
        <v>6.3398500028844182</v>
      </c>
      <c r="H2088" s="3">
        <f t="shared" si="207"/>
        <v>518.45842108693262</v>
      </c>
      <c r="M2088" s="1">
        <f t="shared" si="202"/>
        <v>1337</v>
      </c>
      <c r="N2088" s="38">
        <f>+M2088*'Failure Data'!F$3</f>
        <v>34.539166666666667</v>
      </c>
    </row>
    <row r="2089" spans="1:14" x14ac:dyDescent="0.15">
      <c r="A2089" s="1">
        <v>2080</v>
      </c>
      <c r="B2089" s="3">
        <f t="shared" si="203"/>
        <v>525.049174575189</v>
      </c>
      <c r="C2089" s="8"/>
      <c r="D2089" s="3">
        <f t="shared" si="204"/>
        <v>518.70932457230458</v>
      </c>
      <c r="F2089" s="3">
        <f t="shared" si="205"/>
        <v>-425.049174575189</v>
      </c>
      <c r="G2089" s="3">
        <f t="shared" si="206"/>
        <v>6.3398500028844182</v>
      </c>
      <c r="H2089" s="3">
        <f t="shared" si="207"/>
        <v>518.70932457230458</v>
      </c>
      <c r="M2089" s="1">
        <f t="shared" si="202"/>
        <v>1338</v>
      </c>
      <c r="N2089" s="38">
        <f>+M2089*'Failure Data'!F$3</f>
        <v>34.564999999999998</v>
      </c>
    </row>
    <row r="2090" spans="1:14" x14ac:dyDescent="0.15">
      <c r="A2090" s="1">
        <v>2081</v>
      </c>
      <c r="B2090" s="3">
        <f t="shared" si="203"/>
        <v>525.30007806056108</v>
      </c>
      <c r="C2090" s="8"/>
      <c r="D2090" s="3">
        <f t="shared" si="204"/>
        <v>518.96022805767666</v>
      </c>
      <c r="F2090" s="3">
        <f t="shared" si="205"/>
        <v>-425.30007806056108</v>
      </c>
      <c r="G2090" s="3">
        <f t="shared" si="206"/>
        <v>6.3398500028844182</v>
      </c>
      <c r="H2090" s="3">
        <f t="shared" si="207"/>
        <v>518.96022805767666</v>
      </c>
      <c r="M2090" s="1">
        <f t="shared" si="202"/>
        <v>1339</v>
      </c>
      <c r="N2090" s="38">
        <f>+M2090*'Failure Data'!F$3</f>
        <v>34.590833333333336</v>
      </c>
    </row>
    <row r="2091" spans="1:14" x14ac:dyDescent="0.15">
      <c r="A2091" s="1">
        <v>2082</v>
      </c>
      <c r="B2091" s="3">
        <f t="shared" si="203"/>
        <v>525.55098154593304</v>
      </c>
      <c r="C2091" s="8"/>
      <c r="D2091" s="3">
        <f t="shared" si="204"/>
        <v>519.21113154304862</v>
      </c>
      <c r="F2091" s="3">
        <f t="shared" si="205"/>
        <v>-425.55098154593304</v>
      </c>
      <c r="G2091" s="3">
        <f t="shared" si="206"/>
        <v>6.3398500028844182</v>
      </c>
      <c r="H2091" s="3">
        <f t="shared" si="207"/>
        <v>519.21113154304862</v>
      </c>
      <c r="M2091" s="1">
        <f t="shared" si="202"/>
        <v>1340</v>
      </c>
      <c r="N2091" s="38">
        <f>+M2091*'Failure Data'!F$3</f>
        <v>34.616666666666667</v>
      </c>
    </row>
    <row r="2092" spans="1:14" x14ac:dyDescent="0.15">
      <c r="A2092" s="1">
        <v>2083</v>
      </c>
      <c r="B2092" s="3">
        <f t="shared" si="203"/>
        <v>525.80188503130501</v>
      </c>
      <c r="C2092" s="8"/>
      <c r="D2092" s="3">
        <f t="shared" si="204"/>
        <v>519.46203502842059</v>
      </c>
      <c r="F2092" s="3">
        <f t="shared" si="205"/>
        <v>-425.80188503130501</v>
      </c>
      <c r="G2092" s="3">
        <f t="shared" si="206"/>
        <v>6.3398500028844182</v>
      </c>
      <c r="H2092" s="3">
        <f t="shared" si="207"/>
        <v>519.46203502842059</v>
      </c>
      <c r="M2092" s="1">
        <f t="shared" si="202"/>
        <v>1341</v>
      </c>
      <c r="N2092" s="38">
        <f>+M2092*'Failure Data'!F$3</f>
        <v>34.642499999999998</v>
      </c>
    </row>
    <row r="2093" spans="1:14" x14ac:dyDescent="0.15">
      <c r="A2093" s="1">
        <v>2084</v>
      </c>
      <c r="B2093" s="3">
        <f t="shared" si="203"/>
        <v>526.05278851667697</v>
      </c>
      <c r="C2093" s="8"/>
      <c r="D2093" s="3">
        <f t="shared" si="204"/>
        <v>519.71293851379255</v>
      </c>
      <c r="F2093" s="3">
        <f t="shared" si="205"/>
        <v>-426.05278851667697</v>
      </c>
      <c r="G2093" s="3">
        <f t="shared" si="206"/>
        <v>6.3398500028844182</v>
      </c>
      <c r="H2093" s="3">
        <f t="shared" si="207"/>
        <v>519.71293851379255</v>
      </c>
      <c r="M2093" s="1">
        <f t="shared" si="202"/>
        <v>1342</v>
      </c>
      <c r="N2093" s="38">
        <f>+M2093*'Failure Data'!F$3</f>
        <v>34.668333333333337</v>
      </c>
    </row>
    <row r="2094" spans="1:14" x14ac:dyDescent="0.15">
      <c r="A2094" s="1">
        <v>2085</v>
      </c>
      <c r="B2094" s="3">
        <f t="shared" si="203"/>
        <v>526.30369200204905</v>
      </c>
      <c r="C2094" s="8"/>
      <c r="D2094" s="3">
        <f t="shared" si="204"/>
        <v>519.96384199916463</v>
      </c>
      <c r="F2094" s="3">
        <f t="shared" si="205"/>
        <v>-426.30369200204905</v>
      </c>
      <c r="G2094" s="3">
        <f t="shared" si="206"/>
        <v>6.3398500028844182</v>
      </c>
      <c r="H2094" s="3">
        <f t="shared" si="207"/>
        <v>519.96384199916463</v>
      </c>
      <c r="M2094" s="1">
        <f t="shared" si="202"/>
        <v>1343</v>
      </c>
      <c r="N2094" s="38">
        <f>+M2094*'Failure Data'!F$3</f>
        <v>34.694166666666668</v>
      </c>
    </row>
    <row r="2095" spans="1:14" x14ac:dyDescent="0.15">
      <c r="A2095" s="1">
        <v>2086</v>
      </c>
      <c r="B2095" s="3">
        <f t="shared" si="203"/>
        <v>526.55459548742101</v>
      </c>
      <c r="C2095" s="8"/>
      <c r="D2095" s="3">
        <f t="shared" si="204"/>
        <v>520.21474548453659</v>
      </c>
      <c r="F2095" s="3">
        <f t="shared" si="205"/>
        <v>-426.55459548742101</v>
      </c>
      <c r="G2095" s="3">
        <f t="shared" si="206"/>
        <v>6.3398500028844182</v>
      </c>
      <c r="H2095" s="3">
        <f t="shared" si="207"/>
        <v>520.21474548453659</v>
      </c>
      <c r="M2095" s="1">
        <f t="shared" si="202"/>
        <v>1344</v>
      </c>
      <c r="N2095" s="38">
        <f>+M2095*'Failure Data'!F$3</f>
        <v>34.72</v>
      </c>
    </row>
    <row r="2096" spans="1:14" x14ac:dyDescent="0.15">
      <c r="A2096" s="1">
        <v>2087</v>
      </c>
      <c r="B2096" s="3">
        <f t="shared" si="203"/>
        <v>526.80549897279298</v>
      </c>
      <c r="C2096" s="8"/>
      <c r="D2096" s="3">
        <f t="shared" si="204"/>
        <v>520.46564896990856</v>
      </c>
      <c r="F2096" s="3">
        <f t="shared" si="205"/>
        <v>-426.80549897279298</v>
      </c>
      <c r="G2096" s="3">
        <f t="shared" si="206"/>
        <v>6.3398500028844182</v>
      </c>
      <c r="H2096" s="3">
        <f t="shared" si="207"/>
        <v>520.46564896990856</v>
      </c>
      <c r="M2096" s="1">
        <f t="shared" si="202"/>
        <v>1345</v>
      </c>
      <c r="N2096" s="38">
        <f>+M2096*'Failure Data'!F$3</f>
        <v>34.74583333333333</v>
      </c>
    </row>
    <row r="2097" spans="1:14" x14ac:dyDescent="0.15">
      <c r="A2097" s="1">
        <v>2088</v>
      </c>
      <c r="B2097" s="3">
        <f t="shared" si="203"/>
        <v>527.05640245816494</v>
      </c>
      <c r="C2097" s="8"/>
      <c r="D2097" s="3">
        <f t="shared" si="204"/>
        <v>520.71655245528052</v>
      </c>
      <c r="F2097" s="3">
        <f t="shared" si="205"/>
        <v>-427.05640245816494</v>
      </c>
      <c r="G2097" s="3">
        <f t="shared" si="206"/>
        <v>6.3398500028844182</v>
      </c>
      <c r="H2097" s="3">
        <f t="shared" si="207"/>
        <v>520.71655245528052</v>
      </c>
      <c r="M2097" s="1">
        <f t="shared" si="202"/>
        <v>1346</v>
      </c>
      <c r="N2097" s="38">
        <f>+M2097*'Failure Data'!F$3</f>
        <v>34.771666666666668</v>
      </c>
    </row>
    <row r="2098" spans="1:14" x14ac:dyDescent="0.15">
      <c r="A2098" s="1">
        <v>2089</v>
      </c>
      <c r="B2098" s="3">
        <f t="shared" si="203"/>
        <v>527.30730594353702</v>
      </c>
      <c r="C2098" s="8"/>
      <c r="D2098" s="3">
        <f t="shared" si="204"/>
        <v>520.9674559406526</v>
      </c>
      <c r="F2098" s="3">
        <f t="shared" si="205"/>
        <v>-427.30730594353702</v>
      </c>
      <c r="G2098" s="3">
        <f t="shared" si="206"/>
        <v>6.3398500028844182</v>
      </c>
      <c r="H2098" s="3">
        <f t="shared" si="207"/>
        <v>520.9674559406526</v>
      </c>
      <c r="M2098" s="1">
        <f t="shared" si="202"/>
        <v>1347</v>
      </c>
      <c r="N2098" s="38">
        <f>+M2098*'Failure Data'!F$3</f>
        <v>34.797499999999999</v>
      </c>
    </row>
    <row r="2099" spans="1:14" x14ac:dyDescent="0.15">
      <c r="A2099" s="1">
        <v>2090</v>
      </c>
      <c r="B2099" s="3">
        <f t="shared" si="203"/>
        <v>527.55820942890898</v>
      </c>
      <c r="C2099" s="8"/>
      <c r="D2099" s="3">
        <f t="shared" si="204"/>
        <v>521.21835942602456</v>
      </c>
      <c r="F2099" s="3">
        <f t="shared" si="205"/>
        <v>-427.55820942890898</v>
      </c>
      <c r="G2099" s="3">
        <f t="shared" si="206"/>
        <v>6.3398500028844182</v>
      </c>
      <c r="H2099" s="3">
        <f t="shared" si="207"/>
        <v>521.21835942602456</v>
      </c>
      <c r="M2099" s="1">
        <f t="shared" si="202"/>
        <v>1348</v>
      </c>
      <c r="N2099" s="38">
        <f>+M2099*'Failure Data'!F$3</f>
        <v>34.823333333333331</v>
      </c>
    </row>
    <row r="2100" spans="1:14" x14ac:dyDescent="0.15">
      <c r="A2100" s="1">
        <v>2091</v>
      </c>
      <c r="B2100" s="3">
        <f t="shared" si="203"/>
        <v>527.80911291428095</v>
      </c>
      <c r="C2100" s="8"/>
      <c r="D2100" s="3">
        <f t="shared" si="204"/>
        <v>521.46926291139653</v>
      </c>
      <c r="F2100" s="3">
        <f t="shared" si="205"/>
        <v>-427.80911291428095</v>
      </c>
      <c r="G2100" s="3">
        <f t="shared" si="206"/>
        <v>6.3398500028844182</v>
      </c>
      <c r="H2100" s="3">
        <f t="shared" si="207"/>
        <v>521.46926291139653</v>
      </c>
      <c r="M2100" s="1">
        <f t="shared" si="202"/>
        <v>1349</v>
      </c>
      <c r="N2100" s="38">
        <f>+M2100*'Failure Data'!F$3</f>
        <v>34.849166666666669</v>
      </c>
    </row>
    <row r="2101" spans="1:14" x14ac:dyDescent="0.15">
      <c r="A2101" s="1">
        <v>2092</v>
      </c>
      <c r="B2101" s="3">
        <f t="shared" si="203"/>
        <v>528.06001639965291</v>
      </c>
      <c r="C2101" s="8"/>
      <c r="D2101" s="3">
        <f t="shared" si="204"/>
        <v>521.72016639676849</v>
      </c>
      <c r="F2101" s="3">
        <f t="shared" si="205"/>
        <v>-428.06001639965291</v>
      </c>
      <c r="G2101" s="3">
        <f t="shared" si="206"/>
        <v>6.3398500028844182</v>
      </c>
      <c r="H2101" s="3">
        <f t="shared" si="207"/>
        <v>521.72016639676849</v>
      </c>
      <c r="M2101" s="1">
        <f t="shared" si="202"/>
        <v>1350</v>
      </c>
      <c r="N2101" s="38">
        <f>+M2101*'Failure Data'!F$3</f>
        <v>34.875</v>
      </c>
    </row>
    <row r="2102" spans="1:14" x14ac:dyDescent="0.15">
      <c r="A2102" s="1">
        <v>2093</v>
      </c>
      <c r="B2102" s="3">
        <f t="shared" si="203"/>
        <v>528.31091988502499</v>
      </c>
      <c r="C2102" s="8"/>
      <c r="D2102" s="3">
        <f t="shared" si="204"/>
        <v>521.97106988214057</v>
      </c>
      <c r="F2102" s="3">
        <f t="shared" si="205"/>
        <v>-428.31091988502499</v>
      </c>
      <c r="G2102" s="3">
        <f t="shared" si="206"/>
        <v>6.3398500028844182</v>
      </c>
      <c r="H2102" s="3">
        <f t="shared" si="207"/>
        <v>521.97106988214057</v>
      </c>
      <c r="M2102" s="1">
        <f t="shared" si="202"/>
        <v>1351</v>
      </c>
      <c r="N2102" s="38">
        <f>+M2102*'Failure Data'!F$3</f>
        <v>34.900833333333331</v>
      </c>
    </row>
    <row r="2103" spans="1:14" x14ac:dyDescent="0.15">
      <c r="A2103" s="1">
        <v>2094</v>
      </c>
      <c r="B2103" s="3">
        <f t="shared" si="203"/>
        <v>528.56182337039695</v>
      </c>
      <c r="C2103" s="8"/>
      <c r="D2103" s="3">
        <f t="shared" si="204"/>
        <v>522.22197336751253</v>
      </c>
      <c r="F2103" s="3">
        <f t="shared" si="205"/>
        <v>-428.56182337039695</v>
      </c>
      <c r="G2103" s="3">
        <f t="shared" si="206"/>
        <v>6.3398500028844182</v>
      </c>
      <c r="H2103" s="3">
        <f t="shared" si="207"/>
        <v>522.22197336751253</v>
      </c>
      <c r="M2103" s="1">
        <f t="shared" si="202"/>
        <v>1352</v>
      </c>
      <c r="N2103" s="38">
        <f>+M2103*'Failure Data'!F$3</f>
        <v>34.926666666666669</v>
      </c>
    </row>
    <row r="2104" spans="1:14" x14ac:dyDescent="0.15">
      <c r="A2104" s="1">
        <v>2095</v>
      </c>
      <c r="B2104" s="3">
        <f t="shared" si="203"/>
        <v>528.81272685576891</v>
      </c>
      <c r="C2104" s="8"/>
      <c r="D2104" s="3">
        <f t="shared" si="204"/>
        <v>522.4728768528845</v>
      </c>
      <c r="F2104" s="3">
        <f t="shared" si="205"/>
        <v>-428.81272685576891</v>
      </c>
      <c r="G2104" s="3">
        <f t="shared" si="206"/>
        <v>6.3398500028844182</v>
      </c>
      <c r="H2104" s="3">
        <f t="shared" si="207"/>
        <v>522.4728768528845</v>
      </c>
      <c r="M2104" s="1">
        <f t="shared" si="202"/>
        <v>1353</v>
      </c>
      <c r="N2104" s="38">
        <f>+M2104*'Failure Data'!F$3</f>
        <v>34.952500000000001</v>
      </c>
    </row>
    <row r="2105" spans="1:14" x14ac:dyDescent="0.15">
      <c r="A2105" s="1">
        <v>2096</v>
      </c>
      <c r="B2105" s="3">
        <f t="shared" si="203"/>
        <v>529.06363034114088</v>
      </c>
      <c r="C2105" s="8"/>
      <c r="D2105" s="3">
        <f t="shared" si="204"/>
        <v>522.72378033825657</v>
      </c>
      <c r="F2105" s="3">
        <f t="shared" si="205"/>
        <v>-429.06363034114088</v>
      </c>
      <c r="G2105" s="3">
        <f t="shared" si="206"/>
        <v>6.3398500028843046</v>
      </c>
      <c r="H2105" s="3">
        <f t="shared" si="207"/>
        <v>522.72378033825657</v>
      </c>
      <c r="M2105" s="1">
        <f t="shared" si="202"/>
        <v>1354</v>
      </c>
      <c r="N2105" s="38">
        <f>+M2105*'Failure Data'!F$3</f>
        <v>34.978333333333332</v>
      </c>
    </row>
    <row r="2106" spans="1:14" x14ac:dyDescent="0.15">
      <c r="A2106" s="1">
        <v>2097</v>
      </c>
      <c r="B2106" s="3">
        <f t="shared" si="203"/>
        <v>529.31453382651296</v>
      </c>
      <c r="C2106" s="8"/>
      <c r="D2106" s="3">
        <f t="shared" si="204"/>
        <v>522.97468382362854</v>
      </c>
      <c r="F2106" s="3">
        <f t="shared" si="205"/>
        <v>-429.31453382651296</v>
      </c>
      <c r="G2106" s="3">
        <f t="shared" si="206"/>
        <v>6.3398500028844182</v>
      </c>
      <c r="H2106" s="3">
        <f t="shared" si="207"/>
        <v>522.97468382362854</v>
      </c>
      <c r="M2106" s="1">
        <f t="shared" si="202"/>
        <v>1355</v>
      </c>
      <c r="N2106" s="38">
        <f>+M2106*'Failure Data'!F$3</f>
        <v>35.004166666666663</v>
      </c>
    </row>
    <row r="2107" spans="1:14" x14ac:dyDescent="0.15">
      <c r="A2107" s="1">
        <v>2098</v>
      </c>
      <c r="B2107" s="3">
        <f t="shared" si="203"/>
        <v>529.56543731188492</v>
      </c>
      <c r="C2107" s="8"/>
      <c r="D2107" s="3">
        <f t="shared" si="204"/>
        <v>523.2255873090005</v>
      </c>
      <c r="F2107" s="3">
        <f t="shared" si="205"/>
        <v>-429.56543731188492</v>
      </c>
      <c r="G2107" s="3">
        <f t="shared" si="206"/>
        <v>6.3398500028844182</v>
      </c>
      <c r="H2107" s="3">
        <f t="shared" si="207"/>
        <v>523.2255873090005</v>
      </c>
      <c r="M2107" s="1">
        <f t="shared" si="202"/>
        <v>1356</v>
      </c>
      <c r="N2107" s="38">
        <f>+M2107*'Failure Data'!F$3</f>
        <v>35.03</v>
      </c>
    </row>
    <row r="2108" spans="1:14" x14ac:dyDescent="0.15">
      <c r="A2108" s="1">
        <v>2099</v>
      </c>
      <c r="B2108" s="3">
        <f t="shared" si="203"/>
        <v>529.81634079725688</v>
      </c>
      <c r="C2108" s="8"/>
      <c r="D2108" s="3">
        <f t="shared" si="204"/>
        <v>523.47649079437247</v>
      </c>
      <c r="F2108" s="3">
        <f t="shared" si="205"/>
        <v>-429.81634079725688</v>
      </c>
      <c r="G2108" s="3">
        <f t="shared" si="206"/>
        <v>6.3398500028844182</v>
      </c>
      <c r="H2108" s="3">
        <f t="shared" si="207"/>
        <v>523.47649079437247</v>
      </c>
      <c r="M2108" s="1">
        <f t="shared" si="202"/>
        <v>1357</v>
      </c>
      <c r="N2108" s="38">
        <f>+M2108*'Failure Data'!F$3</f>
        <v>35.055833333333332</v>
      </c>
    </row>
    <row r="2109" spans="1:14" x14ac:dyDescent="0.15">
      <c r="A2109" s="1">
        <v>2100</v>
      </c>
      <c r="B2109" s="3">
        <f t="shared" si="203"/>
        <v>530.06724428262896</v>
      </c>
      <c r="C2109" s="8"/>
      <c r="D2109" s="3">
        <f t="shared" si="204"/>
        <v>523.72739427974454</v>
      </c>
      <c r="F2109" s="3">
        <f t="shared" si="205"/>
        <v>-430.06724428262896</v>
      </c>
      <c r="G2109" s="3">
        <f t="shared" si="206"/>
        <v>6.3398500028844182</v>
      </c>
      <c r="H2109" s="3">
        <f t="shared" si="207"/>
        <v>523.72739427974454</v>
      </c>
      <c r="M2109" s="1">
        <f t="shared" si="202"/>
        <v>1358</v>
      </c>
      <c r="N2109" s="38">
        <f>+M2109*'Failure Data'!F$3</f>
        <v>35.081666666666663</v>
      </c>
    </row>
    <row r="2110" spans="1:14" x14ac:dyDescent="0.15">
      <c r="A2110" s="1">
        <v>2101</v>
      </c>
      <c r="B2110" s="3">
        <f t="shared" si="203"/>
        <v>530.31814776800093</v>
      </c>
      <c r="C2110" s="8"/>
      <c r="D2110" s="3">
        <f t="shared" si="204"/>
        <v>523.97829776511651</v>
      </c>
      <c r="F2110" s="3">
        <f t="shared" si="205"/>
        <v>-430.31814776800093</v>
      </c>
      <c r="G2110" s="3">
        <f t="shared" si="206"/>
        <v>6.3398500028844182</v>
      </c>
      <c r="H2110" s="3">
        <f t="shared" si="207"/>
        <v>523.97829776511651</v>
      </c>
      <c r="M2110" s="1">
        <f t="shared" si="202"/>
        <v>1359</v>
      </c>
      <c r="N2110" s="38">
        <f>+M2110*'Failure Data'!F$3</f>
        <v>35.107500000000002</v>
      </c>
    </row>
    <row r="2111" spans="1:14" x14ac:dyDescent="0.15">
      <c r="A2111" s="1">
        <v>2102</v>
      </c>
      <c r="B2111" s="3">
        <f t="shared" si="203"/>
        <v>530.56905125337289</v>
      </c>
      <c r="C2111" s="8"/>
      <c r="D2111" s="3">
        <f t="shared" si="204"/>
        <v>524.22920125048847</v>
      </c>
      <c r="F2111" s="3">
        <f t="shared" si="205"/>
        <v>-430.56905125337289</v>
      </c>
      <c r="G2111" s="3">
        <f t="shared" si="206"/>
        <v>6.3398500028844182</v>
      </c>
      <c r="H2111" s="3">
        <f t="shared" si="207"/>
        <v>524.22920125048847</v>
      </c>
      <c r="M2111" s="1">
        <f t="shared" si="202"/>
        <v>1360</v>
      </c>
      <c r="N2111" s="38">
        <f>+M2111*'Failure Data'!F$3</f>
        <v>35.133333333333333</v>
      </c>
    </row>
    <row r="2112" spans="1:14" x14ac:dyDescent="0.15">
      <c r="A2112" s="1">
        <v>2103</v>
      </c>
      <c r="B2112" s="3">
        <f t="shared" si="203"/>
        <v>530.81995473874485</v>
      </c>
      <c r="C2112" s="8"/>
      <c r="D2112" s="3">
        <f t="shared" si="204"/>
        <v>524.48010473586044</v>
      </c>
      <c r="F2112" s="3">
        <f t="shared" si="205"/>
        <v>-430.81995473874485</v>
      </c>
      <c r="G2112" s="3">
        <f t="shared" si="206"/>
        <v>6.3398500028844182</v>
      </c>
      <c r="H2112" s="3">
        <f t="shared" si="207"/>
        <v>524.48010473586044</v>
      </c>
      <c r="M2112" s="1">
        <f t="shared" si="202"/>
        <v>1361</v>
      </c>
      <c r="N2112" s="38">
        <f>+M2112*'Failure Data'!F$3</f>
        <v>35.159166666666664</v>
      </c>
    </row>
    <row r="2113" spans="1:14" x14ac:dyDescent="0.15">
      <c r="A2113" s="1">
        <v>2104</v>
      </c>
      <c r="B2113" s="3">
        <f t="shared" si="203"/>
        <v>531.07085822411693</v>
      </c>
      <c r="C2113" s="8"/>
      <c r="D2113" s="3">
        <f t="shared" si="204"/>
        <v>524.73100822123251</v>
      </c>
      <c r="F2113" s="3">
        <f t="shared" si="205"/>
        <v>-431.07085822411693</v>
      </c>
      <c r="G2113" s="3">
        <f t="shared" si="206"/>
        <v>6.3398500028844182</v>
      </c>
      <c r="H2113" s="3">
        <f t="shared" si="207"/>
        <v>524.73100822123251</v>
      </c>
      <c r="M2113" s="1">
        <f t="shared" ref="M2113:M2176" si="208">M2112+1</f>
        <v>1362</v>
      </c>
      <c r="N2113" s="38">
        <f>+M2113*'Failure Data'!F$3</f>
        <v>35.185000000000002</v>
      </c>
    </row>
    <row r="2114" spans="1:14" x14ac:dyDescent="0.15">
      <c r="A2114" s="1">
        <v>2105</v>
      </c>
      <c r="B2114" s="3">
        <f t="shared" si="203"/>
        <v>531.3217617094889</v>
      </c>
      <c r="C2114" s="8"/>
      <c r="D2114" s="3">
        <f t="shared" si="204"/>
        <v>524.98191170660448</v>
      </c>
      <c r="F2114" s="3">
        <f t="shared" si="205"/>
        <v>-431.3217617094889</v>
      </c>
      <c r="G2114" s="3">
        <f t="shared" si="206"/>
        <v>6.3398500028844182</v>
      </c>
      <c r="H2114" s="3">
        <f t="shared" si="207"/>
        <v>524.98191170660448</v>
      </c>
      <c r="M2114" s="1">
        <f t="shared" si="208"/>
        <v>1363</v>
      </c>
      <c r="N2114" s="38">
        <f>+M2114*'Failure Data'!F$3</f>
        <v>35.210833333333333</v>
      </c>
    </row>
    <row r="2115" spans="1:14" x14ac:dyDescent="0.15">
      <c r="A2115" s="1">
        <v>2106</v>
      </c>
      <c r="B2115" s="3">
        <f t="shared" si="203"/>
        <v>531.57266519486086</v>
      </c>
      <c r="C2115" s="8"/>
      <c r="D2115" s="3">
        <f t="shared" si="204"/>
        <v>525.23281519197644</v>
      </c>
      <c r="F2115" s="3">
        <f t="shared" si="205"/>
        <v>-431.57266519486086</v>
      </c>
      <c r="G2115" s="3">
        <f t="shared" si="206"/>
        <v>6.3398500028844182</v>
      </c>
      <c r="H2115" s="3">
        <f t="shared" si="207"/>
        <v>525.23281519197644</v>
      </c>
      <c r="M2115" s="1">
        <f t="shared" si="208"/>
        <v>1364</v>
      </c>
      <c r="N2115" s="38">
        <f>+M2115*'Failure Data'!F$3</f>
        <v>35.236666666666665</v>
      </c>
    </row>
    <row r="2116" spans="1:14" x14ac:dyDescent="0.15">
      <c r="A2116" s="1">
        <v>2107</v>
      </c>
      <c r="B2116" s="3">
        <f t="shared" si="203"/>
        <v>531.82356868023282</v>
      </c>
      <c r="C2116" s="8"/>
      <c r="D2116" s="3">
        <f t="shared" si="204"/>
        <v>525.48371867734841</v>
      </c>
      <c r="F2116" s="3">
        <f t="shared" si="205"/>
        <v>-431.82356868023282</v>
      </c>
      <c r="G2116" s="3">
        <f t="shared" si="206"/>
        <v>6.3398500028844182</v>
      </c>
      <c r="H2116" s="3">
        <f t="shared" si="207"/>
        <v>525.48371867734841</v>
      </c>
      <c r="M2116" s="1">
        <f t="shared" si="208"/>
        <v>1365</v>
      </c>
      <c r="N2116" s="38">
        <f>+M2116*'Failure Data'!F$3</f>
        <v>35.262500000000003</v>
      </c>
    </row>
    <row r="2117" spans="1:14" x14ac:dyDescent="0.15">
      <c r="A2117" s="1">
        <v>2108</v>
      </c>
      <c r="B2117" s="3">
        <f t="shared" si="203"/>
        <v>532.0744721656049</v>
      </c>
      <c r="C2117" s="8"/>
      <c r="D2117" s="3">
        <f t="shared" si="204"/>
        <v>525.73462216272048</v>
      </c>
      <c r="F2117" s="3">
        <f t="shared" si="205"/>
        <v>-432.0744721656049</v>
      </c>
      <c r="G2117" s="3">
        <f t="shared" si="206"/>
        <v>6.3398500028844182</v>
      </c>
      <c r="H2117" s="3">
        <f t="shared" si="207"/>
        <v>525.73462216272048</v>
      </c>
      <c r="M2117" s="1">
        <f t="shared" si="208"/>
        <v>1366</v>
      </c>
      <c r="N2117" s="38">
        <f>+M2117*'Failure Data'!F$3</f>
        <v>35.288333333333334</v>
      </c>
    </row>
    <row r="2118" spans="1:14" x14ac:dyDescent="0.15">
      <c r="A2118" s="1">
        <v>2109</v>
      </c>
      <c r="B2118" s="3">
        <f t="shared" si="203"/>
        <v>532.32537565097687</v>
      </c>
      <c r="C2118" s="8"/>
      <c r="D2118" s="3">
        <f t="shared" si="204"/>
        <v>525.98552564809245</v>
      </c>
      <c r="F2118" s="3">
        <f t="shared" si="205"/>
        <v>-432.32537565097687</v>
      </c>
      <c r="G2118" s="3">
        <f t="shared" si="206"/>
        <v>6.3398500028844182</v>
      </c>
      <c r="H2118" s="3">
        <f t="shared" si="207"/>
        <v>525.98552564809245</v>
      </c>
      <c r="M2118" s="1">
        <f t="shared" si="208"/>
        <v>1367</v>
      </c>
      <c r="N2118" s="38">
        <f>+M2118*'Failure Data'!F$3</f>
        <v>35.314166666666665</v>
      </c>
    </row>
    <row r="2119" spans="1:14" x14ac:dyDescent="0.15">
      <c r="A2119" s="1">
        <v>2110</v>
      </c>
      <c r="B2119" s="3">
        <f t="shared" si="203"/>
        <v>532.57627913634883</v>
      </c>
      <c r="C2119" s="8"/>
      <c r="D2119" s="3">
        <f t="shared" si="204"/>
        <v>526.23642913346441</v>
      </c>
      <c r="F2119" s="3">
        <f t="shared" si="205"/>
        <v>-432.57627913634883</v>
      </c>
      <c r="G2119" s="3">
        <f t="shared" si="206"/>
        <v>6.3398500028844182</v>
      </c>
      <c r="H2119" s="3">
        <f t="shared" si="207"/>
        <v>526.23642913346441</v>
      </c>
      <c r="M2119" s="1">
        <f t="shared" si="208"/>
        <v>1368</v>
      </c>
      <c r="N2119" s="38">
        <f>+M2119*'Failure Data'!F$3</f>
        <v>35.339999999999996</v>
      </c>
    </row>
    <row r="2120" spans="1:14" x14ac:dyDescent="0.15">
      <c r="A2120" s="1">
        <v>2111</v>
      </c>
      <c r="B2120" s="3">
        <f t="shared" si="203"/>
        <v>532.82718262172079</v>
      </c>
      <c r="C2120" s="8"/>
      <c r="D2120" s="3">
        <f t="shared" si="204"/>
        <v>526.48733261883638</v>
      </c>
      <c r="F2120" s="3">
        <f t="shared" si="205"/>
        <v>-432.82718262172079</v>
      </c>
      <c r="G2120" s="3">
        <f t="shared" si="206"/>
        <v>6.3398500028844182</v>
      </c>
      <c r="H2120" s="3">
        <f t="shared" si="207"/>
        <v>526.48733261883638</v>
      </c>
      <c r="M2120" s="1">
        <f t="shared" si="208"/>
        <v>1369</v>
      </c>
      <c r="N2120" s="38">
        <f>+M2120*'Failure Data'!F$3</f>
        <v>35.365833333333335</v>
      </c>
    </row>
    <row r="2121" spans="1:14" x14ac:dyDescent="0.15">
      <c r="A2121" s="1">
        <v>2112</v>
      </c>
      <c r="B2121" s="3">
        <f t="shared" si="203"/>
        <v>533.07808610709287</v>
      </c>
      <c r="C2121" s="8"/>
      <c r="D2121" s="3">
        <f t="shared" si="204"/>
        <v>526.73823610420845</v>
      </c>
      <c r="F2121" s="3">
        <f t="shared" si="205"/>
        <v>-433.07808610709287</v>
      </c>
      <c r="G2121" s="3">
        <f t="shared" si="206"/>
        <v>6.3398500028844182</v>
      </c>
      <c r="H2121" s="3">
        <f t="shared" si="207"/>
        <v>526.73823610420845</v>
      </c>
      <c r="M2121" s="1">
        <f t="shared" si="208"/>
        <v>1370</v>
      </c>
      <c r="N2121" s="38">
        <f>+M2121*'Failure Data'!F$3</f>
        <v>35.391666666666666</v>
      </c>
    </row>
    <row r="2122" spans="1:14" x14ac:dyDescent="0.15">
      <c r="A2122" s="1">
        <v>2113</v>
      </c>
      <c r="B2122" s="3">
        <f t="shared" si="203"/>
        <v>533.32898959246484</v>
      </c>
      <c r="C2122" s="8"/>
      <c r="D2122" s="3">
        <f t="shared" si="204"/>
        <v>526.98913958958042</v>
      </c>
      <c r="F2122" s="3">
        <f t="shared" si="205"/>
        <v>-433.32898959246484</v>
      </c>
      <c r="G2122" s="3">
        <f t="shared" si="206"/>
        <v>6.3398500028844182</v>
      </c>
      <c r="H2122" s="3">
        <f t="shared" si="207"/>
        <v>526.98913958958042</v>
      </c>
      <c r="M2122" s="1">
        <f t="shared" si="208"/>
        <v>1371</v>
      </c>
      <c r="N2122" s="38">
        <f>+M2122*'Failure Data'!F$3</f>
        <v>35.417499999999997</v>
      </c>
    </row>
    <row r="2123" spans="1:14" x14ac:dyDescent="0.15">
      <c r="A2123" s="1">
        <v>2114</v>
      </c>
      <c r="B2123" s="3">
        <f t="shared" si="203"/>
        <v>533.5798930778368</v>
      </c>
      <c r="C2123" s="8"/>
      <c r="D2123" s="3">
        <f t="shared" si="204"/>
        <v>527.24004307495238</v>
      </c>
      <c r="F2123" s="3">
        <f t="shared" si="205"/>
        <v>-433.5798930778368</v>
      </c>
      <c r="G2123" s="3">
        <f t="shared" si="206"/>
        <v>6.3398500028844182</v>
      </c>
      <c r="H2123" s="3">
        <f t="shared" si="207"/>
        <v>527.24004307495238</v>
      </c>
      <c r="M2123" s="1">
        <f t="shared" si="208"/>
        <v>1372</v>
      </c>
      <c r="N2123" s="38">
        <f>+M2123*'Failure Data'!F$3</f>
        <v>35.443333333333335</v>
      </c>
    </row>
    <row r="2124" spans="1:14" x14ac:dyDescent="0.15">
      <c r="A2124" s="1">
        <v>2115</v>
      </c>
      <c r="B2124" s="3">
        <f t="shared" si="203"/>
        <v>533.83079656320876</v>
      </c>
      <c r="C2124" s="8"/>
      <c r="D2124" s="3">
        <f t="shared" si="204"/>
        <v>527.49094656032435</v>
      </c>
      <c r="F2124" s="3">
        <f t="shared" si="205"/>
        <v>-433.83079656320876</v>
      </c>
      <c r="G2124" s="3">
        <f t="shared" si="206"/>
        <v>6.3398500028844182</v>
      </c>
      <c r="H2124" s="3">
        <f t="shared" si="207"/>
        <v>527.49094656032435</v>
      </c>
      <c r="M2124" s="1">
        <f t="shared" si="208"/>
        <v>1373</v>
      </c>
      <c r="N2124" s="38">
        <f>+M2124*'Failure Data'!F$3</f>
        <v>35.469166666666666</v>
      </c>
    </row>
    <row r="2125" spans="1:14" x14ac:dyDescent="0.15">
      <c r="A2125" s="1">
        <v>2116</v>
      </c>
      <c r="B2125" s="3">
        <f t="shared" si="203"/>
        <v>534.08170004858084</v>
      </c>
      <c r="C2125" s="8"/>
      <c r="D2125" s="3">
        <f t="shared" si="204"/>
        <v>527.74185004569642</v>
      </c>
      <c r="F2125" s="3">
        <f t="shared" si="205"/>
        <v>-434.08170004858084</v>
      </c>
      <c r="G2125" s="3">
        <f t="shared" si="206"/>
        <v>6.3398500028844182</v>
      </c>
      <c r="H2125" s="3">
        <f t="shared" si="207"/>
        <v>527.74185004569642</v>
      </c>
      <c r="M2125" s="1">
        <f t="shared" si="208"/>
        <v>1374</v>
      </c>
      <c r="N2125" s="38">
        <f>+M2125*'Failure Data'!F$3</f>
        <v>35.494999999999997</v>
      </c>
    </row>
    <row r="2126" spans="1:14" x14ac:dyDescent="0.15">
      <c r="A2126" s="1">
        <v>2117</v>
      </c>
      <c r="B2126" s="3">
        <f t="shared" si="203"/>
        <v>534.33260353395281</v>
      </c>
      <c r="C2126" s="8"/>
      <c r="D2126" s="3">
        <f t="shared" si="204"/>
        <v>527.99275353106839</v>
      </c>
      <c r="F2126" s="3">
        <f t="shared" si="205"/>
        <v>-434.33260353395281</v>
      </c>
      <c r="G2126" s="3">
        <f t="shared" si="206"/>
        <v>6.3398500028844182</v>
      </c>
      <c r="H2126" s="3">
        <f t="shared" si="207"/>
        <v>527.99275353106839</v>
      </c>
      <c r="M2126" s="1">
        <f t="shared" si="208"/>
        <v>1375</v>
      </c>
      <c r="N2126" s="38">
        <f>+M2126*'Failure Data'!F$3</f>
        <v>35.520833333333336</v>
      </c>
    </row>
    <row r="2127" spans="1:14" x14ac:dyDescent="0.15">
      <c r="A2127" s="1">
        <v>2118</v>
      </c>
      <c r="B2127" s="3">
        <f t="shared" si="203"/>
        <v>534.58350701932477</v>
      </c>
      <c r="C2127" s="8"/>
      <c r="D2127" s="3">
        <f t="shared" si="204"/>
        <v>528.24365701644035</v>
      </c>
      <c r="F2127" s="3">
        <f t="shared" si="205"/>
        <v>-434.58350701932477</v>
      </c>
      <c r="G2127" s="3">
        <f t="shared" si="206"/>
        <v>6.3398500028844182</v>
      </c>
      <c r="H2127" s="3">
        <f t="shared" si="207"/>
        <v>528.24365701644035</v>
      </c>
      <c r="M2127" s="1">
        <f t="shared" si="208"/>
        <v>1376</v>
      </c>
      <c r="N2127" s="38">
        <f>+M2127*'Failure Data'!F$3</f>
        <v>35.546666666666667</v>
      </c>
    </row>
    <row r="2128" spans="1:14" x14ac:dyDescent="0.15">
      <c r="A2128" s="1">
        <v>2119</v>
      </c>
      <c r="B2128" s="3">
        <f t="shared" si="203"/>
        <v>534.83441050469673</v>
      </c>
      <c r="C2128" s="8"/>
      <c r="D2128" s="3">
        <f t="shared" si="204"/>
        <v>528.49456050181243</v>
      </c>
      <c r="F2128" s="3">
        <f t="shared" si="205"/>
        <v>-434.83441050469673</v>
      </c>
      <c r="G2128" s="3">
        <f t="shared" si="206"/>
        <v>6.3398500028843046</v>
      </c>
      <c r="H2128" s="3">
        <f t="shared" si="207"/>
        <v>528.49456050181243</v>
      </c>
      <c r="M2128" s="1">
        <f t="shared" si="208"/>
        <v>1377</v>
      </c>
      <c r="N2128" s="38">
        <f>+M2128*'Failure Data'!F$3</f>
        <v>35.572499999999998</v>
      </c>
    </row>
    <row r="2129" spans="1:14" x14ac:dyDescent="0.15">
      <c r="A2129" s="1">
        <v>2120</v>
      </c>
      <c r="B2129" s="3">
        <f t="shared" si="203"/>
        <v>535.08531399006881</v>
      </c>
      <c r="C2129" s="8"/>
      <c r="D2129" s="3">
        <f t="shared" si="204"/>
        <v>528.74546398718439</v>
      </c>
      <c r="F2129" s="3">
        <f t="shared" si="205"/>
        <v>-435.08531399006881</v>
      </c>
      <c r="G2129" s="3">
        <f t="shared" si="206"/>
        <v>6.3398500028844182</v>
      </c>
      <c r="H2129" s="3">
        <f t="shared" si="207"/>
        <v>528.74546398718439</v>
      </c>
      <c r="M2129" s="1">
        <f t="shared" si="208"/>
        <v>1378</v>
      </c>
      <c r="N2129" s="38">
        <f>+M2129*'Failure Data'!F$3</f>
        <v>35.598333333333336</v>
      </c>
    </row>
    <row r="2130" spans="1:14" x14ac:dyDescent="0.15">
      <c r="A2130" s="1">
        <v>2121</v>
      </c>
      <c r="B2130" s="3">
        <f t="shared" si="203"/>
        <v>535.33621747544078</v>
      </c>
      <c r="C2130" s="8"/>
      <c r="D2130" s="3">
        <f t="shared" si="204"/>
        <v>528.99636747255636</v>
      </c>
      <c r="F2130" s="3">
        <f t="shared" si="205"/>
        <v>-435.33621747544078</v>
      </c>
      <c r="G2130" s="3">
        <f t="shared" si="206"/>
        <v>6.3398500028844182</v>
      </c>
      <c r="H2130" s="3">
        <f t="shared" si="207"/>
        <v>528.99636747255636</v>
      </c>
      <c r="M2130" s="1">
        <f t="shared" si="208"/>
        <v>1379</v>
      </c>
      <c r="N2130" s="38">
        <f>+M2130*'Failure Data'!F$3</f>
        <v>35.624166666666667</v>
      </c>
    </row>
    <row r="2131" spans="1:14" x14ac:dyDescent="0.15">
      <c r="A2131" s="1">
        <v>2122</v>
      </c>
      <c r="B2131" s="3">
        <f t="shared" si="203"/>
        <v>535.58712096081274</v>
      </c>
      <c r="C2131" s="8"/>
      <c r="D2131" s="3">
        <f t="shared" si="204"/>
        <v>529.24727095792832</v>
      </c>
      <c r="F2131" s="3">
        <f t="shared" si="205"/>
        <v>-435.58712096081274</v>
      </c>
      <c r="G2131" s="3">
        <f t="shared" si="206"/>
        <v>6.3398500028844182</v>
      </c>
      <c r="H2131" s="3">
        <f t="shared" si="207"/>
        <v>529.24727095792832</v>
      </c>
      <c r="M2131" s="1">
        <f t="shared" si="208"/>
        <v>1380</v>
      </c>
      <c r="N2131" s="38">
        <f>+M2131*'Failure Data'!F$3</f>
        <v>35.65</v>
      </c>
    </row>
    <row r="2132" spans="1:14" x14ac:dyDescent="0.15">
      <c r="A2132" s="1">
        <v>2123</v>
      </c>
      <c r="B2132" s="3">
        <f t="shared" si="203"/>
        <v>535.83802444618482</v>
      </c>
      <c r="C2132" s="8"/>
      <c r="D2132" s="3">
        <f t="shared" si="204"/>
        <v>529.4981744433004</v>
      </c>
      <c r="F2132" s="3">
        <f t="shared" si="205"/>
        <v>-435.83802444618482</v>
      </c>
      <c r="G2132" s="3">
        <f t="shared" si="206"/>
        <v>6.3398500028844182</v>
      </c>
      <c r="H2132" s="3">
        <f t="shared" si="207"/>
        <v>529.4981744433004</v>
      </c>
      <c r="M2132" s="1">
        <f t="shared" si="208"/>
        <v>1381</v>
      </c>
      <c r="N2132" s="38">
        <f>+M2132*'Failure Data'!F$3</f>
        <v>35.67583333333333</v>
      </c>
    </row>
    <row r="2133" spans="1:14" x14ac:dyDescent="0.15">
      <c r="A2133" s="1">
        <v>2124</v>
      </c>
      <c r="B2133" s="3">
        <f t="shared" si="203"/>
        <v>536.08892793155678</v>
      </c>
      <c r="C2133" s="8"/>
      <c r="D2133" s="3">
        <f t="shared" si="204"/>
        <v>529.74907792867236</v>
      </c>
      <c r="F2133" s="3">
        <f t="shared" si="205"/>
        <v>-436.08892793155678</v>
      </c>
      <c r="G2133" s="3">
        <f t="shared" si="206"/>
        <v>6.3398500028844182</v>
      </c>
      <c r="H2133" s="3">
        <f t="shared" si="207"/>
        <v>529.74907792867236</v>
      </c>
      <c r="M2133" s="1">
        <f t="shared" si="208"/>
        <v>1382</v>
      </c>
      <c r="N2133" s="38">
        <f>+M2133*'Failure Data'!F$3</f>
        <v>35.701666666666668</v>
      </c>
    </row>
    <row r="2134" spans="1:14" x14ac:dyDescent="0.15">
      <c r="A2134" s="1">
        <v>2125</v>
      </c>
      <c r="B2134" s="3">
        <f t="shared" si="203"/>
        <v>536.33983141692875</v>
      </c>
      <c r="C2134" s="8"/>
      <c r="D2134" s="3">
        <f t="shared" si="204"/>
        <v>529.99998141404433</v>
      </c>
      <c r="F2134" s="3">
        <f t="shared" si="205"/>
        <v>-436.33983141692875</v>
      </c>
      <c r="G2134" s="3">
        <f t="shared" si="206"/>
        <v>6.3398500028844182</v>
      </c>
      <c r="H2134" s="3">
        <f t="shared" si="207"/>
        <v>529.99998141404433</v>
      </c>
      <c r="M2134" s="1">
        <f t="shared" si="208"/>
        <v>1383</v>
      </c>
      <c r="N2134" s="38">
        <f>+M2134*'Failure Data'!F$3</f>
        <v>35.727499999999999</v>
      </c>
    </row>
    <row r="2135" spans="1:14" x14ac:dyDescent="0.15">
      <c r="A2135" s="1">
        <v>2126</v>
      </c>
      <c r="B2135" s="3">
        <f t="shared" si="203"/>
        <v>536.59073490230071</v>
      </c>
      <c r="C2135" s="8"/>
      <c r="D2135" s="3">
        <f t="shared" si="204"/>
        <v>530.25088489941629</v>
      </c>
      <c r="F2135" s="3">
        <f t="shared" si="205"/>
        <v>-436.59073490230071</v>
      </c>
      <c r="G2135" s="3">
        <f t="shared" si="206"/>
        <v>6.3398500028844182</v>
      </c>
      <c r="H2135" s="3">
        <f t="shared" si="207"/>
        <v>530.25088489941629</v>
      </c>
      <c r="M2135" s="1">
        <f t="shared" si="208"/>
        <v>1384</v>
      </c>
      <c r="N2135" s="38">
        <f>+M2135*'Failure Data'!F$3</f>
        <v>35.75333333333333</v>
      </c>
    </row>
    <row r="2136" spans="1:14" x14ac:dyDescent="0.15">
      <c r="A2136" s="1">
        <v>2127</v>
      </c>
      <c r="B2136" s="3">
        <f t="shared" si="203"/>
        <v>536.84163838767279</v>
      </c>
      <c r="C2136" s="8"/>
      <c r="D2136" s="3">
        <f t="shared" si="204"/>
        <v>530.50178838478837</v>
      </c>
      <c r="F2136" s="3">
        <f t="shared" si="205"/>
        <v>-436.84163838767279</v>
      </c>
      <c r="G2136" s="3">
        <f t="shared" si="206"/>
        <v>6.3398500028844182</v>
      </c>
      <c r="H2136" s="3">
        <f t="shared" si="207"/>
        <v>530.50178838478837</v>
      </c>
      <c r="M2136" s="1">
        <f t="shared" si="208"/>
        <v>1385</v>
      </c>
      <c r="N2136" s="38">
        <f>+M2136*'Failure Data'!F$3</f>
        <v>35.779166666666669</v>
      </c>
    </row>
    <row r="2137" spans="1:14" x14ac:dyDescent="0.15">
      <c r="A2137" s="1">
        <v>2128</v>
      </c>
      <c r="B2137" s="3">
        <f t="shared" si="203"/>
        <v>537.09254187304475</v>
      </c>
      <c r="C2137" s="8"/>
      <c r="D2137" s="3">
        <f t="shared" si="204"/>
        <v>530.75269187016033</v>
      </c>
      <c r="F2137" s="3">
        <f t="shared" si="205"/>
        <v>-437.09254187304475</v>
      </c>
      <c r="G2137" s="3">
        <f t="shared" si="206"/>
        <v>6.3398500028844182</v>
      </c>
      <c r="H2137" s="3">
        <f t="shared" si="207"/>
        <v>530.75269187016033</v>
      </c>
      <c r="M2137" s="1">
        <f t="shared" si="208"/>
        <v>1386</v>
      </c>
      <c r="N2137" s="38">
        <f>+M2137*'Failure Data'!F$3</f>
        <v>35.805</v>
      </c>
    </row>
    <row r="2138" spans="1:14" x14ac:dyDescent="0.15">
      <c r="A2138" s="1">
        <v>2129</v>
      </c>
      <c r="B2138" s="3">
        <f t="shared" si="203"/>
        <v>537.34344535841672</v>
      </c>
      <c r="C2138" s="8"/>
      <c r="D2138" s="3">
        <f t="shared" si="204"/>
        <v>531.0035953555323</v>
      </c>
      <c r="F2138" s="3">
        <f t="shared" si="205"/>
        <v>-437.34344535841672</v>
      </c>
      <c r="G2138" s="3">
        <f t="shared" si="206"/>
        <v>6.3398500028844182</v>
      </c>
      <c r="H2138" s="3">
        <f t="shared" si="207"/>
        <v>531.0035953555323</v>
      </c>
      <c r="M2138" s="1">
        <f t="shared" si="208"/>
        <v>1387</v>
      </c>
      <c r="N2138" s="38">
        <f>+M2138*'Failure Data'!F$3</f>
        <v>35.830833333333331</v>
      </c>
    </row>
    <row r="2139" spans="1:14" x14ac:dyDescent="0.15">
      <c r="A2139" s="1">
        <v>2130</v>
      </c>
      <c r="B2139" s="3">
        <f t="shared" si="203"/>
        <v>537.59434884378868</v>
      </c>
      <c r="C2139" s="8"/>
      <c r="D2139" s="3">
        <f t="shared" si="204"/>
        <v>531.25449884090426</v>
      </c>
      <c r="F2139" s="3">
        <f t="shared" si="205"/>
        <v>-437.59434884378868</v>
      </c>
      <c r="G2139" s="3">
        <f t="shared" si="206"/>
        <v>6.3398500028844182</v>
      </c>
      <c r="H2139" s="3">
        <f t="shared" si="207"/>
        <v>531.25449884090426</v>
      </c>
      <c r="M2139" s="1">
        <f t="shared" si="208"/>
        <v>1388</v>
      </c>
      <c r="N2139" s="38">
        <f>+M2139*'Failure Data'!F$3</f>
        <v>35.856666666666669</v>
      </c>
    </row>
    <row r="2140" spans="1:14" x14ac:dyDescent="0.15">
      <c r="A2140" s="1">
        <v>2131</v>
      </c>
      <c r="B2140" s="3">
        <f t="shared" si="203"/>
        <v>537.84525232916076</v>
      </c>
      <c r="C2140" s="8"/>
      <c r="D2140" s="3">
        <f t="shared" si="204"/>
        <v>531.50540232627634</v>
      </c>
      <c r="F2140" s="3">
        <f t="shared" si="205"/>
        <v>-437.84525232916076</v>
      </c>
      <c r="G2140" s="3">
        <f t="shared" si="206"/>
        <v>6.3398500028844182</v>
      </c>
      <c r="H2140" s="3">
        <f t="shared" si="207"/>
        <v>531.50540232627634</v>
      </c>
      <c r="M2140" s="1">
        <f t="shared" si="208"/>
        <v>1389</v>
      </c>
      <c r="N2140" s="38">
        <f>+M2140*'Failure Data'!F$3</f>
        <v>35.8825</v>
      </c>
    </row>
    <row r="2141" spans="1:14" x14ac:dyDescent="0.15">
      <c r="A2141" s="1">
        <v>2132</v>
      </c>
      <c r="B2141" s="3">
        <f t="shared" si="203"/>
        <v>538.09615581453272</v>
      </c>
      <c r="C2141" s="8"/>
      <c r="D2141" s="3">
        <f t="shared" si="204"/>
        <v>531.7563058116483</v>
      </c>
      <c r="F2141" s="3">
        <f t="shared" si="205"/>
        <v>-438.09615581453272</v>
      </c>
      <c r="G2141" s="3">
        <f t="shared" si="206"/>
        <v>6.3398500028844182</v>
      </c>
      <c r="H2141" s="3">
        <f t="shared" si="207"/>
        <v>531.7563058116483</v>
      </c>
      <c r="M2141" s="1">
        <f t="shared" si="208"/>
        <v>1390</v>
      </c>
      <c r="N2141" s="38">
        <f>+M2141*'Failure Data'!F$3</f>
        <v>35.908333333333331</v>
      </c>
    </row>
    <row r="2142" spans="1:14" x14ac:dyDescent="0.15">
      <c r="A2142" s="1">
        <v>2133</v>
      </c>
      <c r="B2142" s="3">
        <f t="shared" si="203"/>
        <v>538.34705929990469</v>
      </c>
      <c r="C2142" s="8"/>
      <c r="D2142" s="3">
        <f t="shared" si="204"/>
        <v>532.00720929702027</v>
      </c>
      <c r="F2142" s="3">
        <f t="shared" si="205"/>
        <v>-438.34705929990469</v>
      </c>
      <c r="G2142" s="3">
        <f t="shared" si="206"/>
        <v>6.3398500028844182</v>
      </c>
      <c r="H2142" s="3">
        <f t="shared" si="207"/>
        <v>532.00720929702027</v>
      </c>
      <c r="M2142" s="1">
        <f t="shared" si="208"/>
        <v>1391</v>
      </c>
      <c r="N2142" s="38">
        <f>+M2142*'Failure Data'!F$3</f>
        <v>35.93416666666667</v>
      </c>
    </row>
    <row r="2143" spans="1:14" x14ac:dyDescent="0.15">
      <c r="A2143" s="1">
        <v>2134</v>
      </c>
      <c r="B2143" s="3">
        <f t="shared" ref="B2143:B2206" si="209">+(B$4*A2143)+B$5</f>
        <v>538.59796278527665</v>
      </c>
      <c r="C2143" s="8"/>
      <c r="D2143" s="3">
        <f t="shared" ref="D2143:D2206" si="210">+(D$4*A2143)+D$5</f>
        <v>532.25811278239223</v>
      </c>
      <c r="F2143" s="3">
        <f t="shared" ref="F2143:F2206" si="211">+xmax-B2143</f>
        <v>-438.59796278527665</v>
      </c>
      <c r="G2143" s="3">
        <f t="shared" ref="G2143:G2206" si="212">+B2143-D2143</f>
        <v>6.3398500028844182</v>
      </c>
      <c r="H2143" s="3">
        <f t="shared" ref="H2143:H2206" si="213">D2143</f>
        <v>532.25811278239223</v>
      </c>
      <c r="M2143" s="1">
        <f t="shared" si="208"/>
        <v>1392</v>
      </c>
      <c r="N2143" s="38">
        <f>+M2143*'Failure Data'!F$3</f>
        <v>35.96</v>
      </c>
    </row>
    <row r="2144" spans="1:14" x14ac:dyDescent="0.15">
      <c r="A2144" s="1">
        <v>2135</v>
      </c>
      <c r="B2144" s="3">
        <f t="shared" si="209"/>
        <v>538.84886627064873</v>
      </c>
      <c r="C2144" s="8"/>
      <c r="D2144" s="3">
        <f t="shared" si="210"/>
        <v>532.50901626776431</v>
      </c>
      <c r="F2144" s="3">
        <f t="shared" si="211"/>
        <v>-438.84886627064873</v>
      </c>
      <c r="G2144" s="3">
        <f t="shared" si="212"/>
        <v>6.3398500028844182</v>
      </c>
      <c r="H2144" s="3">
        <f t="shared" si="213"/>
        <v>532.50901626776431</v>
      </c>
      <c r="M2144" s="1">
        <f t="shared" si="208"/>
        <v>1393</v>
      </c>
      <c r="N2144" s="38">
        <f>+M2144*'Failure Data'!F$3</f>
        <v>35.985833333333332</v>
      </c>
    </row>
    <row r="2145" spans="1:14" x14ac:dyDescent="0.15">
      <c r="A2145" s="1">
        <v>2136</v>
      </c>
      <c r="B2145" s="3">
        <f t="shared" si="209"/>
        <v>539.09976975602069</v>
      </c>
      <c r="C2145" s="8"/>
      <c r="D2145" s="3">
        <f t="shared" si="210"/>
        <v>532.75991975313627</v>
      </c>
      <c r="F2145" s="3">
        <f t="shared" si="211"/>
        <v>-439.09976975602069</v>
      </c>
      <c r="G2145" s="3">
        <f t="shared" si="212"/>
        <v>6.3398500028844182</v>
      </c>
      <c r="H2145" s="3">
        <f t="shared" si="213"/>
        <v>532.75991975313627</v>
      </c>
      <c r="M2145" s="1">
        <f t="shared" si="208"/>
        <v>1394</v>
      </c>
      <c r="N2145" s="38">
        <f>+M2145*'Failure Data'!F$3</f>
        <v>36.011666666666663</v>
      </c>
    </row>
    <row r="2146" spans="1:14" x14ac:dyDescent="0.15">
      <c r="A2146" s="1">
        <v>2137</v>
      </c>
      <c r="B2146" s="3">
        <f t="shared" si="209"/>
        <v>539.35067324139266</v>
      </c>
      <c r="C2146" s="8"/>
      <c r="D2146" s="3">
        <f t="shared" si="210"/>
        <v>533.01082323850824</v>
      </c>
      <c r="F2146" s="3">
        <f t="shared" si="211"/>
        <v>-439.35067324139266</v>
      </c>
      <c r="G2146" s="3">
        <f t="shared" si="212"/>
        <v>6.3398500028844182</v>
      </c>
      <c r="H2146" s="3">
        <f t="shared" si="213"/>
        <v>533.01082323850824</v>
      </c>
      <c r="M2146" s="1">
        <f t="shared" si="208"/>
        <v>1395</v>
      </c>
      <c r="N2146" s="38">
        <f>+M2146*'Failure Data'!F$3</f>
        <v>36.037500000000001</v>
      </c>
    </row>
    <row r="2147" spans="1:14" x14ac:dyDescent="0.15">
      <c r="A2147" s="1">
        <v>2138</v>
      </c>
      <c r="B2147" s="3">
        <f t="shared" si="209"/>
        <v>539.60157672676462</v>
      </c>
      <c r="C2147" s="8"/>
      <c r="D2147" s="3">
        <f t="shared" si="210"/>
        <v>533.2617267238802</v>
      </c>
      <c r="F2147" s="3">
        <f t="shared" si="211"/>
        <v>-439.60157672676462</v>
      </c>
      <c r="G2147" s="3">
        <f t="shared" si="212"/>
        <v>6.3398500028844182</v>
      </c>
      <c r="H2147" s="3">
        <f t="shared" si="213"/>
        <v>533.2617267238802</v>
      </c>
      <c r="M2147" s="1">
        <f t="shared" si="208"/>
        <v>1396</v>
      </c>
      <c r="N2147" s="38">
        <f>+M2147*'Failure Data'!F$3</f>
        <v>36.063333333333333</v>
      </c>
    </row>
    <row r="2148" spans="1:14" x14ac:dyDescent="0.15">
      <c r="A2148" s="1">
        <v>2139</v>
      </c>
      <c r="B2148" s="3">
        <f t="shared" si="209"/>
        <v>539.8524802121367</v>
      </c>
      <c r="C2148" s="8"/>
      <c r="D2148" s="3">
        <f t="shared" si="210"/>
        <v>533.51263020925228</v>
      </c>
      <c r="F2148" s="3">
        <f t="shared" si="211"/>
        <v>-439.8524802121367</v>
      </c>
      <c r="G2148" s="3">
        <f t="shared" si="212"/>
        <v>6.3398500028844182</v>
      </c>
      <c r="H2148" s="3">
        <f t="shared" si="213"/>
        <v>533.51263020925228</v>
      </c>
      <c r="M2148" s="1">
        <f t="shared" si="208"/>
        <v>1397</v>
      </c>
      <c r="N2148" s="38">
        <f>+M2148*'Failure Data'!F$3</f>
        <v>36.089166666666664</v>
      </c>
    </row>
    <row r="2149" spans="1:14" x14ac:dyDescent="0.15">
      <c r="A2149" s="1">
        <v>2140</v>
      </c>
      <c r="B2149" s="3">
        <f t="shared" si="209"/>
        <v>540.10338369750866</v>
      </c>
      <c r="C2149" s="8"/>
      <c r="D2149" s="3">
        <f t="shared" si="210"/>
        <v>533.76353369462424</v>
      </c>
      <c r="F2149" s="3">
        <f t="shared" si="211"/>
        <v>-440.10338369750866</v>
      </c>
      <c r="G2149" s="3">
        <f t="shared" si="212"/>
        <v>6.3398500028844182</v>
      </c>
      <c r="H2149" s="3">
        <f t="shared" si="213"/>
        <v>533.76353369462424</v>
      </c>
      <c r="M2149" s="1">
        <f t="shared" si="208"/>
        <v>1398</v>
      </c>
      <c r="N2149" s="38">
        <f>+M2149*'Failure Data'!F$3</f>
        <v>36.115000000000002</v>
      </c>
    </row>
    <row r="2150" spans="1:14" x14ac:dyDescent="0.15">
      <c r="A2150" s="1">
        <v>2141</v>
      </c>
      <c r="B2150" s="3">
        <f t="shared" si="209"/>
        <v>540.35428718288063</v>
      </c>
      <c r="C2150" s="8"/>
      <c r="D2150" s="3">
        <f t="shared" si="210"/>
        <v>534.01443717999621</v>
      </c>
      <c r="F2150" s="3">
        <f t="shared" si="211"/>
        <v>-440.35428718288063</v>
      </c>
      <c r="G2150" s="3">
        <f t="shared" si="212"/>
        <v>6.3398500028844182</v>
      </c>
      <c r="H2150" s="3">
        <f t="shared" si="213"/>
        <v>534.01443717999621</v>
      </c>
      <c r="M2150" s="1">
        <f t="shared" si="208"/>
        <v>1399</v>
      </c>
      <c r="N2150" s="38">
        <f>+M2150*'Failure Data'!F$3</f>
        <v>36.140833333333333</v>
      </c>
    </row>
    <row r="2151" spans="1:14" x14ac:dyDescent="0.15">
      <c r="A2151" s="1">
        <v>2142</v>
      </c>
      <c r="B2151" s="3">
        <f t="shared" si="209"/>
        <v>540.60519066825259</v>
      </c>
      <c r="C2151" s="8"/>
      <c r="D2151" s="3">
        <f t="shared" si="210"/>
        <v>534.26534066536829</v>
      </c>
      <c r="F2151" s="3">
        <f t="shared" si="211"/>
        <v>-440.60519066825259</v>
      </c>
      <c r="G2151" s="3">
        <f t="shared" si="212"/>
        <v>6.3398500028843046</v>
      </c>
      <c r="H2151" s="3">
        <f t="shared" si="213"/>
        <v>534.26534066536829</v>
      </c>
      <c r="M2151" s="1">
        <f t="shared" si="208"/>
        <v>1400</v>
      </c>
      <c r="N2151" s="38">
        <f>+M2151*'Failure Data'!F$3</f>
        <v>36.166666666666664</v>
      </c>
    </row>
    <row r="2152" spans="1:14" x14ac:dyDescent="0.15">
      <c r="A2152" s="1">
        <v>2143</v>
      </c>
      <c r="B2152" s="3">
        <f t="shared" si="209"/>
        <v>540.85609415362467</v>
      </c>
      <c r="C2152" s="8"/>
      <c r="D2152" s="3">
        <f t="shared" si="210"/>
        <v>534.51624415074025</v>
      </c>
      <c r="F2152" s="3">
        <f t="shared" si="211"/>
        <v>-440.85609415362467</v>
      </c>
      <c r="G2152" s="3">
        <f t="shared" si="212"/>
        <v>6.3398500028844182</v>
      </c>
      <c r="H2152" s="3">
        <f t="shared" si="213"/>
        <v>534.51624415074025</v>
      </c>
      <c r="M2152" s="1">
        <f t="shared" si="208"/>
        <v>1401</v>
      </c>
      <c r="N2152" s="38">
        <f>+M2152*'Failure Data'!F$3</f>
        <v>36.192500000000003</v>
      </c>
    </row>
    <row r="2153" spans="1:14" x14ac:dyDescent="0.15">
      <c r="A2153" s="1">
        <v>2144</v>
      </c>
      <c r="B2153" s="3">
        <f t="shared" si="209"/>
        <v>541.10699763899663</v>
      </c>
      <c r="C2153" s="8"/>
      <c r="D2153" s="3">
        <f t="shared" si="210"/>
        <v>534.76714763611221</v>
      </c>
      <c r="F2153" s="3">
        <f t="shared" si="211"/>
        <v>-441.10699763899663</v>
      </c>
      <c r="G2153" s="3">
        <f t="shared" si="212"/>
        <v>6.3398500028844182</v>
      </c>
      <c r="H2153" s="3">
        <f t="shared" si="213"/>
        <v>534.76714763611221</v>
      </c>
      <c r="M2153" s="1">
        <f t="shared" si="208"/>
        <v>1402</v>
      </c>
      <c r="N2153" s="38">
        <f>+M2153*'Failure Data'!F$3</f>
        <v>36.218333333333334</v>
      </c>
    </row>
    <row r="2154" spans="1:14" x14ac:dyDescent="0.15">
      <c r="A2154" s="1">
        <v>2145</v>
      </c>
      <c r="B2154" s="3">
        <f t="shared" si="209"/>
        <v>541.3579011243686</v>
      </c>
      <c r="C2154" s="8"/>
      <c r="D2154" s="3">
        <f t="shared" si="210"/>
        <v>535.01805112148418</v>
      </c>
      <c r="F2154" s="3">
        <f t="shared" si="211"/>
        <v>-441.3579011243686</v>
      </c>
      <c r="G2154" s="3">
        <f t="shared" si="212"/>
        <v>6.3398500028844182</v>
      </c>
      <c r="H2154" s="3">
        <f t="shared" si="213"/>
        <v>535.01805112148418</v>
      </c>
      <c r="M2154" s="1">
        <f t="shared" si="208"/>
        <v>1403</v>
      </c>
      <c r="N2154" s="38">
        <f>+M2154*'Failure Data'!F$3</f>
        <v>36.244166666666665</v>
      </c>
    </row>
    <row r="2155" spans="1:14" x14ac:dyDescent="0.15">
      <c r="A2155" s="1">
        <v>2146</v>
      </c>
      <c r="B2155" s="3">
        <f t="shared" si="209"/>
        <v>541.60880460974067</v>
      </c>
      <c r="C2155" s="8"/>
      <c r="D2155" s="3">
        <f t="shared" si="210"/>
        <v>535.26895460685625</v>
      </c>
      <c r="F2155" s="3">
        <f t="shared" si="211"/>
        <v>-441.60880460974067</v>
      </c>
      <c r="G2155" s="3">
        <f t="shared" si="212"/>
        <v>6.3398500028844182</v>
      </c>
      <c r="H2155" s="3">
        <f t="shared" si="213"/>
        <v>535.26895460685625</v>
      </c>
      <c r="M2155" s="1">
        <f t="shared" si="208"/>
        <v>1404</v>
      </c>
      <c r="N2155" s="38">
        <f>+M2155*'Failure Data'!F$3</f>
        <v>36.270000000000003</v>
      </c>
    </row>
    <row r="2156" spans="1:14" x14ac:dyDescent="0.15">
      <c r="A2156" s="1">
        <v>2147</v>
      </c>
      <c r="B2156" s="3">
        <f t="shared" si="209"/>
        <v>541.85970809511264</v>
      </c>
      <c r="C2156" s="8"/>
      <c r="D2156" s="3">
        <f t="shared" si="210"/>
        <v>535.51985809222822</v>
      </c>
      <c r="F2156" s="3">
        <f t="shared" si="211"/>
        <v>-441.85970809511264</v>
      </c>
      <c r="G2156" s="3">
        <f t="shared" si="212"/>
        <v>6.3398500028844182</v>
      </c>
      <c r="H2156" s="3">
        <f t="shared" si="213"/>
        <v>535.51985809222822</v>
      </c>
      <c r="M2156" s="1">
        <f t="shared" si="208"/>
        <v>1405</v>
      </c>
      <c r="N2156" s="38">
        <f>+M2156*'Failure Data'!F$3</f>
        <v>36.295833333333334</v>
      </c>
    </row>
    <row r="2157" spans="1:14" x14ac:dyDescent="0.15">
      <c r="A2157" s="1">
        <v>2148</v>
      </c>
      <c r="B2157" s="3">
        <f t="shared" si="209"/>
        <v>542.1106115804846</v>
      </c>
      <c r="C2157" s="8"/>
      <c r="D2157" s="3">
        <f t="shared" si="210"/>
        <v>535.77076157760018</v>
      </c>
      <c r="F2157" s="3">
        <f t="shared" si="211"/>
        <v>-442.1106115804846</v>
      </c>
      <c r="G2157" s="3">
        <f t="shared" si="212"/>
        <v>6.3398500028844182</v>
      </c>
      <c r="H2157" s="3">
        <f t="shared" si="213"/>
        <v>535.77076157760018</v>
      </c>
      <c r="M2157" s="1">
        <f t="shared" si="208"/>
        <v>1406</v>
      </c>
      <c r="N2157" s="38">
        <f>+M2157*'Failure Data'!F$3</f>
        <v>36.321666666666665</v>
      </c>
    </row>
    <row r="2158" spans="1:14" x14ac:dyDescent="0.15">
      <c r="A2158" s="1">
        <v>2149</v>
      </c>
      <c r="B2158" s="3">
        <f t="shared" si="209"/>
        <v>542.36151506585657</v>
      </c>
      <c r="C2158" s="8"/>
      <c r="D2158" s="3">
        <f t="shared" si="210"/>
        <v>536.02166506297215</v>
      </c>
      <c r="F2158" s="3">
        <f t="shared" si="211"/>
        <v>-442.36151506585657</v>
      </c>
      <c r="G2158" s="3">
        <f t="shared" si="212"/>
        <v>6.3398500028844182</v>
      </c>
      <c r="H2158" s="3">
        <f t="shared" si="213"/>
        <v>536.02166506297215</v>
      </c>
      <c r="M2158" s="1">
        <f t="shared" si="208"/>
        <v>1407</v>
      </c>
      <c r="N2158" s="38">
        <f>+M2158*'Failure Data'!F$3</f>
        <v>36.347499999999997</v>
      </c>
    </row>
    <row r="2159" spans="1:14" x14ac:dyDescent="0.15">
      <c r="A2159" s="1">
        <v>2150</v>
      </c>
      <c r="B2159" s="3">
        <f t="shared" si="209"/>
        <v>542.61241855122864</v>
      </c>
      <c r="C2159" s="8"/>
      <c r="D2159" s="3">
        <f t="shared" si="210"/>
        <v>536.27256854834422</v>
      </c>
      <c r="F2159" s="3">
        <f t="shared" si="211"/>
        <v>-442.61241855122864</v>
      </c>
      <c r="G2159" s="3">
        <f t="shared" si="212"/>
        <v>6.3398500028844182</v>
      </c>
      <c r="H2159" s="3">
        <f t="shared" si="213"/>
        <v>536.27256854834422</v>
      </c>
      <c r="M2159" s="1">
        <f t="shared" si="208"/>
        <v>1408</v>
      </c>
      <c r="N2159" s="38">
        <f>+M2159*'Failure Data'!F$3</f>
        <v>36.373333333333335</v>
      </c>
    </row>
    <row r="2160" spans="1:14" x14ac:dyDescent="0.15">
      <c r="A2160" s="1">
        <v>2151</v>
      </c>
      <c r="B2160" s="3">
        <f t="shared" si="209"/>
        <v>542.86332203660061</v>
      </c>
      <c r="C2160" s="8"/>
      <c r="D2160" s="3">
        <f t="shared" si="210"/>
        <v>536.52347203371619</v>
      </c>
      <c r="F2160" s="3">
        <f t="shared" si="211"/>
        <v>-442.86332203660061</v>
      </c>
      <c r="G2160" s="3">
        <f t="shared" si="212"/>
        <v>6.3398500028844182</v>
      </c>
      <c r="H2160" s="3">
        <f t="shared" si="213"/>
        <v>536.52347203371619</v>
      </c>
      <c r="M2160" s="1">
        <f t="shared" si="208"/>
        <v>1409</v>
      </c>
      <c r="N2160" s="38">
        <f>+M2160*'Failure Data'!F$3</f>
        <v>36.399166666666666</v>
      </c>
    </row>
    <row r="2161" spans="1:14" x14ac:dyDescent="0.15">
      <c r="A2161" s="1">
        <v>2152</v>
      </c>
      <c r="B2161" s="3">
        <f t="shared" si="209"/>
        <v>543.11422552197257</v>
      </c>
      <c r="C2161" s="8"/>
      <c r="D2161" s="3">
        <f t="shared" si="210"/>
        <v>536.77437551908815</v>
      </c>
      <c r="F2161" s="3">
        <f t="shared" si="211"/>
        <v>-443.11422552197257</v>
      </c>
      <c r="G2161" s="3">
        <f t="shared" si="212"/>
        <v>6.3398500028844182</v>
      </c>
      <c r="H2161" s="3">
        <f t="shared" si="213"/>
        <v>536.77437551908815</v>
      </c>
      <c r="M2161" s="1">
        <f t="shared" si="208"/>
        <v>1410</v>
      </c>
      <c r="N2161" s="38">
        <f>+M2161*'Failure Data'!F$3</f>
        <v>36.424999999999997</v>
      </c>
    </row>
    <row r="2162" spans="1:14" x14ac:dyDescent="0.15">
      <c r="A2162" s="1">
        <v>2153</v>
      </c>
      <c r="B2162" s="3">
        <f t="shared" si="209"/>
        <v>543.36512900734454</v>
      </c>
      <c r="C2162" s="8"/>
      <c r="D2162" s="3">
        <f t="shared" si="210"/>
        <v>537.02527900446012</v>
      </c>
      <c r="F2162" s="3">
        <f t="shared" si="211"/>
        <v>-443.36512900734454</v>
      </c>
      <c r="G2162" s="3">
        <f t="shared" si="212"/>
        <v>6.3398500028844182</v>
      </c>
      <c r="H2162" s="3">
        <f t="shared" si="213"/>
        <v>537.02527900446012</v>
      </c>
      <c r="M2162" s="1">
        <f t="shared" si="208"/>
        <v>1411</v>
      </c>
      <c r="N2162" s="38">
        <f>+M2162*'Failure Data'!F$3</f>
        <v>36.450833333333335</v>
      </c>
    </row>
    <row r="2163" spans="1:14" x14ac:dyDescent="0.15">
      <c r="A2163" s="1">
        <v>2154</v>
      </c>
      <c r="B2163" s="3">
        <f t="shared" si="209"/>
        <v>543.61603249271661</v>
      </c>
      <c r="C2163" s="8"/>
      <c r="D2163" s="3">
        <f t="shared" si="210"/>
        <v>537.27618248983219</v>
      </c>
      <c r="F2163" s="3">
        <f t="shared" si="211"/>
        <v>-443.61603249271661</v>
      </c>
      <c r="G2163" s="3">
        <f t="shared" si="212"/>
        <v>6.3398500028844182</v>
      </c>
      <c r="H2163" s="3">
        <f t="shared" si="213"/>
        <v>537.27618248983219</v>
      </c>
      <c r="M2163" s="1">
        <f t="shared" si="208"/>
        <v>1412</v>
      </c>
      <c r="N2163" s="38">
        <f>+M2163*'Failure Data'!F$3</f>
        <v>36.476666666666667</v>
      </c>
    </row>
    <row r="2164" spans="1:14" x14ac:dyDescent="0.15">
      <c r="A2164" s="1">
        <v>2155</v>
      </c>
      <c r="B2164" s="3">
        <f t="shared" si="209"/>
        <v>543.86693597808858</v>
      </c>
      <c r="C2164" s="8"/>
      <c r="D2164" s="3">
        <f t="shared" si="210"/>
        <v>537.52708597520416</v>
      </c>
      <c r="F2164" s="3">
        <f t="shared" si="211"/>
        <v>-443.86693597808858</v>
      </c>
      <c r="G2164" s="3">
        <f t="shared" si="212"/>
        <v>6.3398500028844182</v>
      </c>
      <c r="H2164" s="3">
        <f t="shared" si="213"/>
        <v>537.52708597520416</v>
      </c>
      <c r="M2164" s="1">
        <f t="shared" si="208"/>
        <v>1413</v>
      </c>
      <c r="N2164" s="38">
        <f>+M2164*'Failure Data'!F$3</f>
        <v>36.502499999999998</v>
      </c>
    </row>
    <row r="2165" spans="1:14" x14ac:dyDescent="0.15">
      <c r="A2165" s="1">
        <v>2156</v>
      </c>
      <c r="B2165" s="3">
        <f t="shared" si="209"/>
        <v>544.11783946346054</v>
      </c>
      <c r="C2165" s="8"/>
      <c r="D2165" s="3">
        <f t="shared" si="210"/>
        <v>537.77798946057612</v>
      </c>
      <c r="F2165" s="3">
        <f t="shared" si="211"/>
        <v>-444.11783946346054</v>
      </c>
      <c r="G2165" s="3">
        <f t="shared" si="212"/>
        <v>6.3398500028844182</v>
      </c>
      <c r="H2165" s="3">
        <f t="shared" si="213"/>
        <v>537.77798946057612</v>
      </c>
      <c r="M2165" s="1">
        <f t="shared" si="208"/>
        <v>1414</v>
      </c>
      <c r="N2165" s="38">
        <f>+M2165*'Failure Data'!F$3</f>
        <v>36.528333333333336</v>
      </c>
    </row>
    <row r="2166" spans="1:14" x14ac:dyDescent="0.15">
      <c r="A2166" s="1">
        <v>2157</v>
      </c>
      <c r="B2166" s="3">
        <f t="shared" si="209"/>
        <v>544.36874294883251</v>
      </c>
      <c r="C2166" s="8"/>
      <c r="D2166" s="3">
        <f t="shared" si="210"/>
        <v>538.02889294594809</v>
      </c>
      <c r="F2166" s="3">
        <f t="shared" si="211"/>
        <v>-444.36874294883251</v>
      </c>
      <c r="G2166" s="3">
        <f t="shared" si="212"/>
        <v>6.3398500028844182</v>
      </c>
      <c r="H2166" s="3">
        <f t="shared" si="213"/>
        <v>538.02889294594809</v>
      </c>
      <c r="M2166" s="1">
        <f t="shared" si="208"/>
        <v>1415</v>
      </c>
      <c r="N2166" s="38">
        <f>+M2166*'Failure Data'!F$3</f>
        <v>36.554166666666667</v>
      </c>
    </row>
    <row r="2167" spans="1:14" x14ac:dyDescent="0.15">
      <c r="A2167" s="1">
        <v>2158</v>
      </c>
      <c r="B2167" s="3">
        <f t="shared" si="209"/>
        <v>544.61964643420458</v>
      </c>
      <c r="C2167" s="8"/>
      <c r="D2167" s="3">
        <f t="shared" si="210"/>
        <v>538.27979643132016</v>
      </c>
      <c r="F2167" s="3">
        <f t="shared" si="211"/>
        <v>-444.61964643420458</v>
      </c>
      <c r="G2167" s="3">
        <f t="shared" si="212"/>
        <v>6.3398500028844182</v>
      </c>
      <c r="H2167" s="3">
        <f t="shared" si="213"/>
        <v>538.27979643132016</v>
      </c>
      <c r="M2167" s="1">
        <f t="shared" si="208"/>
        <v>1416</v>
      </c>
      <c r="N2167" s="38">
        <f>+M2167*'Failure Data'!F$3</f>
        <v>36.58</v>
      </c>
    </row>
    <row r="2168" spans="1:14" x14ac:dyDescent="0.15">
      <c r="A2168" s="1">
        <v>2159</v>
      </c>
      <c r="B2168" s="3">
        <f t="shared" si="209"/>
        <v>544.87054991957655</v>
      </c>
      <c r="C2168" s="8"/>
      <c r="D2168" s="3">
        <f t="shared" si="210"/>
        <v>538.53069991669213</v>
      </c>
      <c r="F2168" s="3">
        <f t="shared" si="211"/>
        <v>-444.87054991957655</v>
      </c>
      <c r="G2168" s="3">
        <f t="shared" si="212"/>
        <v>6.3398500028844182</v>
      </c>
      <c r="H2168" s="3">
        <f t="shared" si="213"/>
        <v>538.53069991669213</v>
      </c>
      <c r="M2168" s="1">
        <f t="shared" si="208"/>
        <v>1417</v>
      </c>
      <c r="N2168" s="38">
        <f>+M2168*'Failure Data'!F$3</f>
        <v>36.605833333333337</v>
      </c>
    </row>
    <row r="2169" spans="1:14" x14ac:dyDescent="0.15">
      <c r="A2169" s="1">
        <v>2160</v>
      </c>
      <c r="B2169" s="3">
        <f t="shared" si="209"/>
        <v>545.12145340494851</v>
      </c>
      <c r="C2169" s="8"/>
      <c r="D2169" s="3">
        <f t="shared" si="210"/>
        <v>538.78160340206409</v>
      </c>
      <c r="F2169" s="3">
        <f t="shared" si="211"/>
        <v>-445.12145340494851</v>
      </c>
      <c r="G2169" s="3">
        <f t="shared" si="212"/>
        <v>6.3398500028844182</v>
      </c>
      <c r="H2169" s="3">
        <f t="shared" si="213"/>
        <v>538.78160340206409</v>
      </c>
      <c r="M2169" s="1">
        <f t="shared" si="208"/>
        <v>1418</v>
      </c>
      <c r="N2169" s="38">
        <f>+M2169*'Failure Data'!F$3</f>
        <v>36.631666666666668</v>
      </c>
    </row>
    <row r="2170" spans="1:14" x14ac:dyDescent="0.15">
      <c r="A2170" s="1">
        <v>2161</v>
      </c>
      <c r="B2170" s="3">
        <f t="shared" si="209"/>
        <v>545.37235689032048</v>
      </c>
      <c r="C2170" s="8"/>
      <c r="D2170" s="3">
        <f t="shared" si="210"/>
        <v>539.03250688743606</v>
      </c>
      <c r="F2170" s="3">
        <f t="shared" si="211"/>
        <v>-445.37235689032048</v>
      </c>
      <c r="G2170" s="3">
        <f t="shared" si="212"/>
        <v>6.3398500028844182</v>
      </c>
      <c r="H2170" s="3">
        <f t="shared" si="213"/>
        <v>539.03250688743606</v>
      </c>
      <c r="M2170" s="1">
        <f t="shared" si="208"/>
        <v>1419</v>
      </c>
      <c r="N2170" s="38">
        <f>+M2170*'Failure Data'!F$3</f>
        <v>36.657499999999999</v>
      </c>
    </row>
    <row r="2171" spans="1:14" x14ac:dyDescent="0.15">
      <c r="A2171" s="1">
        <v>2162</v>
      </c>
      <c r="B2171" s="3">
        <f t="shared" si="209"/>
        <v>545.62326037569255</v>
      </c>
      <c r="C2171" s="8"/>
      <c r="D2171" s="3">
        <f t="shared" si="210"/>
        <v>539.28341037280813</v>
      </c>
      <c r="F2171" s="3">
        <f t="shared" si="211"/>
        <v>-445.62326037569255</v>
      </c>
      <c r="G2171" s="3">
        <f t="shared" si="212"/>
        <v>6.3398500028844182</v>
      </c>
      <c r="H2171" s="3">
        <f t="shared" si="213"/>
        <v>539.28341037280813</v>
      </c>
      <c r="M2171" s="1">
        <f t="shared" si="208"/>
        <v>1420</v>
      </c>
      <c r="N2171" s="38">
        <f>+M2171*'Failure Data'!F$3</f>
        <v>36.68333333333333</v>
      </c>
    </row>
    <row r="2172" spans="1:14" x14ac:dyDescent="0.15">
      <c r="A2172" s="1">
        <v>2163</v>
      </c>
      <c r="B2172" s="3">
        <f t="shared" si="209"/>
        <v>545.87416386106452</v>
      </c>
      <c r="C2172" s="8"/>
      <c r="D2172" s="3">
        <f t="shared" si="210"/>
        <v>539.5343138581801</v>
      </c>
      <c r="F2172" s="3">
        <f t="shared" si="211"/>
        <v>-445.87416386106452</v>
      </c>
      <c r="G2172" s="3">
        <f t="shared" si="212"/>
        <v>6.3398500028844182</v>
      </c>
      <c r="H2172" s="3">
        <f t="shared" si="213"/>
        <v>539.5343138581801</v>
      </c>
      <c r="M2172" s="1">
        <f t="shared" si="208"/>
        <v>1421</v>
      </c>
      <c r="N2172" s="38">
        <f>+M2172*'Failure Data'!F$3</f>
        <v>36.709166666666668</v>
      </c>
    </row>
    <row r="2173" spans="1:14" x14ac:dyDescent="0.15">
      <c r="A2173" s="1">
        <v>2164</v>
      </c>
      <c r="B2173" s="3">
        <f t="shared" si="209"/>
        <v>546.12506734643648</v>
      </c>
      <c r="C2173" s="8"/>
      <c r="D2173" s="3">
        <f t="shared" si="210"/>
        <v>539.78521734355206</v>
      </c>
      <c r="F2173" s="3">
        <f t="shared" si="211"/>
        <v>-446.12506734643648</v>
      </c>
      <c r="G2173" s="3">
        <f t="shared" si="212"/>
        <v>6.3398500028844182</v>
      </c>
      <c r="H2173" s="3">
        <f t="shared" si="213"/>
        <v>539.78521734355206</v>
      </c>
      <c r="M2173" s="1">
        <f t="shared" si="208"/>
        <v>1422</v>
      </c>
      <c r="N2173" s="38">
        <f>+M2173*'Failure Data'!F$3</f>
        <v>36.734999999999999</v>
      </c>
    </row>
    <row r="2174" spans="1:14" x14ac:dyDescent="0.15">
      <c r="A2174" s="1">
        <v>2165</v>
      </c>
      <c r="B2174" s="3">
        <f t="shared" si="209"/>
        <v>546.37597083180844</v>
      </c>
      <c r="C2174" s="8"/>
      <c r="D2174" s="3">
        <f t="shared" si="210"/>
        <v>540.03612082892414</v>
      </c>
      <c r="F2174" s="3">
        <f t="shared" si="211"/>
        <v>-446.37597083180844</v>
      </c>
      <c r="G2174" s="3">
        <f t="shared" si="212"/>
        <v>6.3398500028843046</v>
      </c>
      <c r="H2174" s="3">
        <f t="shared" si="213"/>
        <v>540.03612082892414</v>
      </c>
      <c r="M2174" s="1">
        <f t="shared" si="208"/>
        <v>1423</v>
      </c>
      <c r="N2174" s="38">
        <f>+M2174*'Failure Data'!F$3</f>
        <v>36.760833333333331</v>
      </c>
    </row>
    <row r="2175" spans="1:14" x14ac:dyDescent="0.15">
      <c r="A2175" s="1">
        <v>2166</v>
      </c>
      <c r="B2175" s="3">
        <f t="shared" si="209"/>
        <v>546.62687431718052</v>
      </c>
      <c r="C2175" s="8"/>
      <c r="D2175" s="3">
        <f t="shared" si="210"/>
        <v>540.2870243142961</v>
      </c>
      <c r="F2175" s="3">
        <f t="shared" si="211"/>
        <v>-446.62687431718052</v>
      </c>
      <c r="G2175" s="3">
        <f t="shared" si="212"/>
        <v>6.3398500028844182</v>
      </c>
      <c r="H2175" s="3">
        <f t="shared" si="213"/>
        <v>540.2870243142961</v>
      </c>
      <c r="M2175" s="1">
        <f t="shared" si="208"/>
        <v>1424</v>
      </c>
      <c r="N2175" s="38">
        <f>+M2175*'Failure Data'!F$3</f>
        <v>36.786666666666669</v>
      </c>
    </row>
    <row r="2176" spans="1:14" x14ac:dyDescent="0.15">
      <c r="A2176" s="1">
        <v>2167</v>
      </c>
      <c r="B2176" s="3">
        <f t="shared" si="209"/>
        <v>546.87777780255249</v>
      </c>
      <c r="C2176" s="8"/>
      <c r="D2176" s="3">
        <f t="shared" si="210"/>
        <v>540.53792779966807</v>
      </c>
      <c r="F2176" s="3">
        <f t="shared" si="211"/>
        <v>-446.87777780255249</v>
      </c>
      <c r="G2176" s="3">
        <f t="shared" si="212"/>
        <v>6.3398500028844182</v>
      </c>
      <c r="H2176" s="3">
        <f t="shared" si="213"/>
        <v>540.53792779966807</v>
      </c>
      <c r="M2176" s="1">
        <f t="shared" si="208"/>
        <v>1425</v>
      </c>
      <c r="N2176" s="38">
        <f>+M2176*'Failure Data'!F$3</f>
        <v>36.8125</v>
      </c>
    </row>
    <row r="2177" spans="1:14" x14ac:dyDescent="0.15">
      <c r="A2177" s="1">
        <v>2168</v>
      </c>
      <c r="B2177" s="3">
        <f t="shared" si="209"/>
        <v>547.12868128792445</v>
      </c>
      <c r="C2177" s="8"/>
      <c r="D2177" s="3">
        <f t="shared" si="210"/>
        <v>540.78883128504003</v>
      </c>
      <c r="F2177" s="3">
        <f t="shared" si="211"/>
        <v>-447.12868128792445</v>
      </c>
      <c r="G2177" s="3">
        <f t="shared" si="212"/>
        <v>6.3398500028844182</v>
      </c>
      <c r="H2177" s="3">
        <f t="shared" si="213"/>
        <v>540.78883128504003</v>
      </c>
      <c r="M2177" s="1">
        <f t="shared" ref="M2177:M2240" si="214">M2176+1</f>
        <v>1426</v>
      </c>
      <c r="N2177" s="38">
        <f>+M2177*'Failure Data'!F$3</f>
        <v>36.838333333333331</v>
      </c>
    </row>
    <row r="2178" spans="1:14" x14ac:dyDescent="0.15">
      <c r="A2178" s="1">
        <v>2169</v>
      </c>
      <c r="B2178" s="3">
        <f t="shared" si="209"/>
        <v>547.37958477329641</v>
      </c>
      <c r="C2178" s="8"/>
      <c r="D2178" s="3">
        <f t="shared" si="210"/>
        <v>541.03973477041211</v>
      </c>
      <c r="F2178" s="3">
        <f t="shared" si="211"/>
        <v>-447.37958477329641</v>
      </c>
      <c r="G2178" s="3">
        <f t="shared" si="212"/>
        <v>6.3398500028843046</v>
      </c>
      <c r="H2178" s="3">
        <f t="shared" si="213"/>
        <v>541.03973477041211</v>
      </c>
      <c r="M2178" s="1">
        <f t="shared" si="214"/>
        <v>1427</v>
      </c>
      <c r="N2178" s="38">
        <f>+M2178*'Failure Data'!F$3</f>
        <v>36.864166666666669</v>
      </c>
    </row>
    <row r="2179" spans="1:14" x14ac:dyDescent="0.15">
      <c r="A2179" s="1">
        <v>2170</v>
      </c>
      <c r="B2179" s="3">
        <f t="shared" si="209"/>
        <v>547.63048825866849</v>
      </c>
      <c r="C2179" s="8"/>
      <c r="D2179" s="3">
        <f t="shared" si="210"/>
        <v>541.29063825578407</v>
      </c>
      <c r="F2179" s="3">
        <f t="shared" si="211"/>
        <v>-447.63048825866849</v>
      </c>
      <c r="G2179" s="3">
        <f t="shared" si="212"/>
        <v>6.3398500028844182</v>
      </c>
      <c r="H2179" s="3">
        <f t="shared" si="213"/>
        <v>541.29063825578407</v>
      </c>
      <c r="M2179" s="1">
        <f t="shared" si="214"/>
        <v>1428</v>
      </c>
      <c r="N2179" s="38">
        <f>+M2179*'Failure Data'!F$3</f>
        <v>36.89</v>
      </c>
    </row>
    <row r="2180" spans="1:14" x14ac:dyDescent="0.15">
      <c r="A2180" s="1">
        <v>2171</v>
      </c>
      <c r="B2180" s="3">
        <f t="shared" si="209"/>
        <v>547.88139174404046</v>
      </c>
      <c r="C2180" s="8"/>
      <c r="D2180" s="3">
        <f t="shared" si="210"/>
        <v>541.54154174115604</v>
      </c>
      <c r="F2180" s="3">
        <f t="shared" si="211"/>
        <v>-447.88139174404046</v>
      </c>
      <c r="G2180" s="3">
        <f t="shared" si="212"/>
        <v>6.3398500028844182</v>
      </c>
      <c r="H2180" s="3">
        <f t="shared" si="213"/>
        <v>541.54154174115604</v>
      </c>
      <c r="M2180" s="1">
        <f t="shared" si="214"/>
        <v>1429</v>
      </c>
      <c r="N2180" s="38">
        <f>+M2180*'Failure Data'!F$3</f>
        <v>36.915833333333332</v>
      </c>
    </row>
    <row r="2181" spans="1:14" x14ac:dyDescent="0.15">
      <c r="A2181" s="1">
        <v>2172</v>
      </c>
      <c r="B2181" s="3">
        <f t="shared" si="209"/>
        <v>548.13229522941242</v>
      </c>
      <c r="C2181" s="8"/>
      <c r="D2181" s="3">
        <f t="shared" si="210"/>
        <v>541.792445226528</v>
      </c>
      <c r="F2181" s="3">
        <f t="shared" si="211"/>
        <v>-448.13229522941242</v>
      </c>
      <c r="G2181" s="3">
        <f t="shared" si="212"/>
        <v>6.3398500028844182</v>
      </c>
      <c r="H2181" s="3">
        <f t="shared" si="213"/>
        <v>541.792445226528</v>
      </c>
      <c r="M2181" s="1">
        <f t="shared" si="214"/>
        <v>1430</v>
      </c>
      <c r="N2181" s="38">
        <f>+M2181*'Failure Data'!F$3</f>
        <v>36.941666666666663</v>
      </c>
    </row>
    <row r="2182" spans="1:14" x14ac:dyDescent="0.15">
      <c r="A2182" s="1">
        <v>2173</v>
      </c>
      <c r="B2182" s="3">
        <f t="shared" si="209"/>
        <v>548.3831987147845</v>
      </c>
      <c r="C2182" s="8"/>
      <c r="D2182" s="3">
        <f t="shared" si="210"/>
        <v>542.04334871190008</v>
      </c>
      <c r="F2182" s="3">
        <f t="shared" si="211"/>
        <v>-448.3831987147845</v>
      </c>
      <c r="G2182" s="3">
        <f t="shared" si="212"/>
        <v>6.3398500028844182</v>
      </c>
      <c r="H2182" s="3">
        <f t="shared" si="213"/>
        <v>542.04334871190008</v>
      </c>
      <c r="M2182" s="1">
        <f t="shared" si="214"/>
        <v>1431</v>
      </c>
      <c r="N2182" s="38">
        <f>+M2182*'Failure Data'!F$3</f>
        <v>36.967500000000001</v>
      </c>
    </row>
    <row r="2183" spans="1:14" x14ac:dyDescent="0.15">
      <c r="A2183" s="1">
        <v>2174</v>
      </c>
      <c r="B2183" s="3">
        <f t="shared" si="209"/>
        <v>548.63410220015646</v>
      </c>
      <c r="C2183" s="8"/>
      <c r="D2183" s="3">
        <f t="shared" si="210"/>
        <v>542.29425219727204</v>
      </c>
      <c r="F2183" s="3">
        <f t="shared" si="211"/>
        <v>-448.63410220015646</v>
      </c>
      <c r="G2183" s="3">
        <f t="shared" si="212"/>
        <v>6.3398500028844182</v>
      </c>
      <c r="H2183" s="3">
        <f t="shared" si="213"/>
        <v>542.29425219727204</v>
      </c>
      <c r="M2183" s="1">
        <f t="shared" si="214"/>
        <v>1432</v>
      </c>
      <c r="N2183" s="38">
        <f>+M2183*'Failure Data'!F$3</f>
        <v>36.993333333333332</v>
      </c>
    </row>
    <row r="2184" spans="1:14" x14ac:dyDescent="0.15">
      <c r="A2184" s="1">
        <v>2175</v>
      </c>
      <c r="B2184" s="3">
        <f t="shared" si="209"/>
        <v>548.88500568552843</v>
      </c>
      <c r="C2184" s="8"/>
      <c r="D2184" s="3">
        <f t="shared" si="210"/>
        <v>542.54515568264401</v>
      </c>
      <c r="F2184" s="3">
        <f t="shared" si="211"/>
        <v>-448.88500568552843</v>
      </c>
      <c r="G2184" s="3">
        <f t="shared" si="212"/>
        <v>6.3398500028844182</v>
      </c>
      <c r="H2184" s="3">
        <f t="shared" si="213"/>
        <v>542.54515568264401</v>
      </c>
      <c r="M2184" s="1">
        <f t="shared" si="214"/>
        <v>1433</v>
      </c>
      <c r="N2184" s="38">
        <f>+M2184*'Failure Data'!F$3</f>
        <v>37.019166666666663</v>
      </c>
    </row>
    <row r="2185" spans="1:14" x14ac:dyDescent="0.15">
      <c r="A2185" s="1">
        <v>2176</v>
      </c>
      <c r="B2185" s="3">
        <f t="shared" si="209"/>
        <v>549.13590917090039</v>
      </c>
      <c r="C2185" s="8"/>
      <c r="D2185" s="3">
        <f t="shared" si="210"/>
        <v>542.79605916801597</v>
      </c>
      <c r="F2185" s="3">
        <f t="shared" si="211"/>
        <v>-449.13590917090039</v>
      </c>
      <c r="G2185" s="3">
        <f t="shared" si="212"/>
        <v>6.3398500028844182</v>
      </c>
      <c r="H2185" s="3">
        <f t="shared" si="213"/>
        <v>542.79605916801597</v>
      </c>
      <c r="M2185" s="1">
        <f t="shared" si="214"/>
        <v>1434</v>
      </c>
      <c r="N2185" s="38">
        <f>+M2185*'Failure Data'!F$3</f>
        <v>37.045000000000002</v>
      </c>
    </row>
    <row r="2186" spans="1:14" x14ac:dyDescent="0.15">
      <c r="A2186" s="1">
        <v>2177</v>
      </c>
      <c r="B2186" s="3">
        <f t="shared" si="209"/>
        <v>549.38681265627247</v>
      </c>
      <c r="C2186" s="8"/>
      <c r="D2186" s="3">
        <f t="shared" si="210"/>
        <v>543.04696265338805</v>
      </c>
      <c r="F2186" s="3">
        <f t="shared" si="211"/>
        <v>-449.38681265627247</v>
      </c>
      <c r="G2186" s="3">
        <f t="shared" si="212"/>
        <v>6.3398500028844182</v>
      </c>
      <c r="H2186" s="3">
        <f t="shared" si="213"/>
        <v>543.04696265338805</v>
      </c>
      <c r="M2186" s="1">
        <f t="shared" si="214"/>
        <v>1435</v>
      </c>
      <c r="N2186" s="38">
        <f>+M2186*'Failure Data'!F$3</f>
        <v>37.070833333333333</v>
      </c>
    </row>
    <row r="2187" spans="1:14" x14ac:dyDescent="0.15">
      <c r="A2187" s="1">
        <v>2178</v>
      </c>
      <c r="B2187" s="3">
        <f t="shared" si="209"/>
        <v>549.63771614164443</v>
      </c>
      <c r="C2187" s="8"/>
      <c r="D2187" s="3">
        <f t="shared" si="210"/>
        <v>543.29786613876001</v>
      </c>
      <c r="F2187" s="3">
        <f t="shared" si="211"/>
        <v>-449.63771614164443</v>
      </c>
      <c r="G2187" s="3">
        <f t="shared" si="212"/>
        <v>6.3398500028844182</v>
      </c>
      <c r="H2187" s="3">
        <f t="shared" si="213"/>
        <v>543.29786613876001</v>
      </c>
      <c r="M2187" s="1">
        <f t="shared" si="214"/>
        <v>1436</v>
      </c>
      <c r="N2187" s="38">
        <f>+M2187*'Failure Data'!F$3</f>
        <v>37.096666666666664</v>
      </c>
    </row>
    <row r="2188" spans="1:14" x14ac:dyDescent="0.15">
      <c r="A2188" s="1">
        <v>2179</v>
      </c>
      <c r="B2188" s="3">
        <f t="shared" si="209"/>
        <v>549.8886196270164</v>
      </c>
      <c r="C2188" s="8"/>
      <c r="D2188" s="3">
        <f t="shared" si="210"/>
        <v>543.54876962413198</v>
      </c>
      <c r="F2188" s="3">
        <f t="shared" si="211"/>
        <v>-449.8886196270164</v>
      </c>
      <c r="G2188" s="3">
        <f t="shared" si="212"/>
        <v>6.3398500028844182</v>
      </c>
      <c r="H2188" s="3">
        <f t="shared" si="213"/>
        <v>543.54876962413198</v>
      </c>
      <c r="M2188" s="1">
        <f t="shared" si="214"/>
        <v>1437</v>
      </c>
      <c r="N2188" s="38">
        <f>+M2188*'Failure Data'!F$3</f>
        <v>37.122500000000002</v>
      </c>
    </row>
    <row r="2189" spans="1:14" x14ac:dyDescent="0.15">
      <c r="A2189" s="1">
        <v>2180</v>
      </c>
      <c r="B2189" s="3">
        <f t="shared" si="209"/>
        <v>550.13952311238836</v>
      </c>
      <c r="C2189" s="8"/>
      <c r="D2189" s="3">
        <f t="shared" si="210"/>
        <v>543.79967310950394</v>
      </c>
      <c r="F2189" s="3">
        <f t="shared" si="211"/>
        <v>-450.13952311238836</v>
      </c>
      <c r="G2189" s="3">
        <f t="shared" si="212"/>
        <v>6.3398500028844182</v>
      </c>
      <c r="H2189" s="3">
        <f t="shared" si="213"/>
        <v>543.79967310950394</v>
      </c>
      <c r="M2189" s="1">
        <f t="shared" si="214"/>
        <v>1438</v>
      </c>
      <c r="N2189" s="38">
        <f>+M2189*'Failure Data'!F$3</f>
        <v>37.148333333333333</v>
      </c>
    </row>
    <row r="2190" spans="1:14" x14ac:dyDescent="0.15">
      <c r="A2190" s="1">
        <v>2181</v>
      </c>
      <c r="B2190" s="3">
        <f t="shared" si="209"/>
        <v>550.39042659776044</v>
      </c>
      <c r="C2190" s="8"/>
      <c r="D2190" s="3">
        <f t="shared" si="210"/>
        <v>544.05057659487602</v>
      </c>
      <c r="F2190" s="3">
        <f t="shared" si="211"/>
        <v>-450.39042659776044</v>
      </c>
      <c r="G2190" s="3">
        <f t="shared" si="212"/>
        <v>6.3398500028844182</v>
      </c>
      <c r="H2190" s="3">
        <f t="shared" si="213"/>
        <v>544.05057659487602</v>
      </c>
      <c r="M2190" s="1">
        <f t="shared" si="214"/>
        <v>1439</v>
      </c>
      <c r="N2190" s="38">
        <f>+M2190*'Failure Data'!F$3</f>
        <v>37.174166666666665</v>
      </c>
    </row>
    <row r="2191" spans="1:14" x14ac:dyDescent="0.15">
      <c r="A2191" s="1">
        <v>2182</v>
      </c>
      <c r="B2191" s="3">
        <f t="shared" si="209"/>
        <v>550.6413300831324</v>
      </c>
      <c r="C2191" s="8"/>
      <c r="D2191" s="3">
        <f t="shared" si="210"/>
        <v>544.30148008024798</v>
      </c>
      <c r="F2191" s="3">
        <f t="shared" si="211"/>
        <v>-450.6413300831324</v>
      </c>
      <c r="G2191" s="3">
        <f t="shared" si="212"/>
        <v>6.3398500028844182</v>
      </c>
      <c r="H2191" s="3">
        <f t="shared" si="213"/>
        <v>544.30148008024798</v>
      </c>
      <c r="M2191" s="1">
        <f t="shared" si="214"/>
        <v>1440</v>
      </c>
      <c r="N2191" s="38">
        <f>+M2191*'Failure Data'!F$3</f>
        <v>37.200000000000003</v>
      </c>
    </row>
    <row r="2192" spans="1:14" x14ac:dyDescent="0.15">
      <c r="A2192" s="1">
        <v>2183</v>
      </c>
      <c r="B2192" s="3">
        <f t="shared" si="209"/>
        <v>550.89223356850437</v>
      </c>
      <c r="C2192" s="8"/>
      <c r="D2192" s="3">
        <f t="shared" si="210"/>
        <v>544.55238356561995</v>
      </c>
      <c r="F2192" s="3">
        <f t="shared" si="211"/>
        <v>-450.89223356850437</v>
      </c>
      <c r="G2192" s="3">
        <f t="shared" si="212"/>
        <v>6.3398500028844182</v>
      </c>
      <c r="H2192" s="3">
        <f t="shared" si="213"/>
        <v>544.55238356561995</v>
      </c>
      <c r="M2192" s="1">
        <f t="shared" si="214"/>
        <v>1441</v>
      </c>
      <c r="N2192" s="38">
        <f>+M2192*'Failure Data'!F$3</f>
        <v>37.225833333333334</v>
      </c>
    </row>
    <row r="2193" spans="1:14" x14ac:dyDescent="0.15">
      <c r="A2193" s="1">
        <v>2184</v>
      </c>
      <c r="B2193" s="3">
        <f t="shared" si="209"/>
        <v>551.14313705387633</v>
      </c>
      <c r="C2193" s="8"/>
      <c r="D2193" s="3">
        <f t="shared" si="210"/>
        <v>544.80328705099191</v>
      </c>
      <c r="F2193" s="3">
        <f t="shared" si="211"/>
        <v>-451.14313705387633</v>
      </c>
      <c r="G2193" s="3">
        <f t="shared" si="212"/>
        <v>6.3398500028844182</v>
      </c>
      <c r="H2193" s="3">
        <f t="shared" si="213"/>
        <v>544.80328705099191</v>
      </c>
      <c r="M2193" s="1">
        <f t="shared" si="214"/>
        <v>1442</v>
      </c>
      <c r="N2193" s="38">
        <f>+M2193*'Failure Data'!F$3</f>
        <v>37.251666666666665</v>
      </c>
    </row>
    <row r="2194" spans="1:14" x14ac:dyDescent="0.15">
      <c r="A2194" s="1">
        <v>2185</v>
      </c>
      <c r="B2194" s="3">
        <f t="shared" si="209"/>
        <v>551.39404053924841</v>
      </c>
      <c r="C2194" s="8"/>
      <c r="D2194" s="3">
        <f t="shared" si="210"/>
        <v>545.05419053636399</v>
      </c>
      <c r="F2194" s="3">
        <f t="shared" si="211"/>
        <v>-451.39404053924841</v>
      </c>
      <c r="G2194" s="3">
        <f t="shared" si="212"/>
        <v>6.3398500028844182</v>
      </c>
      <c r="H2194" s="3">
        <f t="shared" si="213"/>
        <v>545.05419053636399</v>
      </c>
      <c r="M2194" s="1">
        <f t="shared" si="214"/>
        <v>1443</v>
      </c>
      <c r="N2194" s="38">
        <f>+M2194*'Failure Data'!F$3</f>
        <v>37.277499999999996</v>
      </c>
    </row>
    <row r="2195" spans="1:14" x14ac:dyDescent="0.15">
      <c r="A2195" s="1">
        <v>2186</v>
      </c>
      <c r="B2195" s="3">
        <f t="shared" si="209"/>
        <v>551.64494402462037</v>
      </c>
      <c r="C2195" s="8"/>
      <c r="D2195" s="3">
        <f t="shared" si="210"/>
        <v>545.30509402173595</v>
      </c>
      <c r="F2195" s="3">
        <f t="shared" si="211"/>
        <v>-451.64494402462037</v>
      </c>
      <c r="G2195" s="3">
        <f t="shared" si="212"/>
        <v>6.3398500028844182</v>
      </c>
      <c r="H2195" s="3">
        <f t="shared" si="213"/>
        <v>545.30509402173595</v>
      </c>
      <c r="M2195" s="1">
        <f t="shared" si="214"/>
        <v>1444</v>
      </c>
      <c r="N2195" s="38">
        <f>+M2195*'Failure Data'!F$3</f>
        <v>37.303333333333335</v>
      </c>
    </row>
    <row r="2196" spans="1:14" x14ac:dyDescent="0.15">
      <c r="A2196" s="1">
        <v>2187</v>
      </c>
      <c r="B2196" s="3">
        <f t="shared" si="209"/>
        <v>551.89584750999234</v>
      </c>
      <c r="C2196" s="8"/>
      <c r="D2196" s="3">
        <f t="shared" si="210"/>
        <v>545.55599750710792</v>
      </c>
      <c r="F2196" s="3">
        <f t="shared" si="211"/>
        <v>-451.89584750999234</v>
      </c>
      <c r="G2196" s="3">
        <f t="shared" si="212"/>
        <v>6.3398500028844182</v>
      </c>
      <c r="H2196" s="3">
        <f t="shared" si="213"/>
        <v>545.55599750710792</v>
      </c>
      <c r="M2196" s="1">
        <f t="shared" si="214"/>
        <v>1445</v>
      </c>
      <c r="N2196" s="38">
        <f>+M2196*'Failure Data'!F$3</f>
        <v>37.329166666666666</v>
      </c>
    </row>
    <row r="2197" spans="1:14" x14ac:dyDescent="0.15">
      <c r="A2197" s="1">
        <v>2188</v>
      </c>
      <c r="B2197" s="3">
        <f t="shared" si="209"/>
        <v>552.1467509953643</v>
      </c>
      <c r="C2197" s="8"/>
      <c r="D2197" s="3">
        <f t="shared" si="210"/>
        <v>545.80690099248</v>
      </c>
      <c r="F2197" s="3">
        <f t="shared" si="211"/>
        <v>-452.1467509953643</v>
      </c>
      <c r="G2197" s="3">
        <f t="shared" si="212"/>
        <v>6.3398500028843046</v>
      </c>
      <c r="H2197" s="3">
        <f t="shared" si="213"/>
        <v>545.80690099248</v>
      </c>
      <c r="M2197" s="1">
        <f t="shared" si="214"/>
        <v>1446</v>
      </c>
      <c r="N2197" s="38">
        <f>+M2197*'Failure Data'!F$3</f>
        <v>37.354999999999997</v>
      </c>
    </row>
    <row r="2198" spans="1:14" x14ac:dyDescent="0.15">
      <c r="A2198" s="1">
        <v>2189</v>
      </c>
      <c r="B2198" s="3">
        <f t="shared" si="209"/>
        <v>552.39765448073638</v>
      </c>
      <c r="C2198" s="8"/>
      <c r="D2198" s="3">
        <f t="shared" si="210"/>
        <v>546.05780447785196</v>
      </c>
      <c r="F2198" s="3">
        <f t="shared" si="211"/>
        <v>-452.39765448073638</v>
      </c>
      <c r="G2198" s="3">
        <f t="shared" si="212"/>
        <v>6.3398500028844182</v>
      </c>
      <c r="H2198" s="3">
        <f t="shared" si="213"/>
        <v>546.05780447785196</v>
      </c>
      <c r="M2198" s="1">
        <f t="shared" si="214"/>
        <v>1447</v>
      </c>
      <c r="N2198" s="38">
        <f>+M2198*'Failure Data'!F$3</f>
        <v>37.380833333333335</v>
      </c>
    </row>
    <row r="2199" spans="1:14" x14ac:dyDescent="0.15">
      <c r="A2199" s="1">
        <v>2190</v>
      </c>
      <c r="B2199" s="3">
        <f t="shared" si="209"/>
        <v>552.64855796610834</v>
      </c>
      <c r="C2199" s="8"/>
      <c r="D2199" s="3">
        <f t="shared" si="210"/>
        <v>546.30870796322392</v>
      </c>
      <c r="F2199" s="3">
        <f t="shared" si="211"/>
        <v>-452.64855796610834</v>
      </c>
      <c r="G2199" s="3">
        <f t="shared" si="212"/>
        <v>6.3398500028844182</v>
      </c>
      <c r="H2199" s="3">
        <f t="shared" si="213"/>
        <v>546.30870796322392</v>
      </c>
      <c r="M2199" s="1">
        <f t="shared" si="214"/>
        <v>1448</v>
      </c>
      <c r="N2199" s="38">
        <f>+M2199*'Failure Data'!F$3</f>
        <v>37.406666666666666</v>
      </c>
    </row>
    <row r="2200" spans="1:14" x14ac:dyDescent="0.15">
      <c r="A2200" s="1">
        <v>2191</v>
      </c>
      <c r="B2200" s="3">
        <f t="shared" si="209"/>
        <v>552.89946145148031</v>
      </c>
      <c r="C2200" s="8"/>
      <c r="D2200" s="3">
        <f t="shared" si="210"/>
        <v>546.55961144859589</v>
      </c>
      <c r="F2200" s="3">
        <f t="shared" si="211"/>
        <v>-452.89946145148031</v>
      </c>
      <c r="G2200" s="3">
        <f t="shared" si="212"/>
        <v>6.3398500028844182</v>
      </c>
      <c r="H2200" s="3">
        <f t="shared" si="213"/>
        <v>546.55961144859589</v>
      </c>
      <c r="M2200" s="1">
        <f t="shared" si="214"/>
        <v>1449</v>
      </c>
      <c r="N2200" s="38">
        <f>+M2200*'Failure Data'!F$3</f>
        <v>37.432499999999997</v>
      </c>
    </row>
    <row r="2201" spans="1:14" x14ac:dyDescent="0.15">
      <c r="A2201" s="1">
        <v>2192</v>
      </c>
      <c r="B2201" s="3">
        <f t="shared" si="209"/>
        <v>553.15036493685227</v>
      </c>
      <c r="C2201" s="8"/>
      <c r="D2201" s="3">
        <f t="shared" si="210"/>
        <v>546.81051493396797</v>
      </c>
      <c r="F2201" s="3">
        <f t="shared" si="211"/>
        <v>-453.15036493685227</v>
      </c>
      <c r="G2201" s="3">
        <f t="shared" si="212"/>
        <v>6.3398500028843046</v>
      </c>
      <c r="H2201" s="3">
        <f t="shared" si="213"/>
        <v>546.81051493396797</v>
      </c>
      <c r="M2201" s="1">
        <f t="shared" si="214"/>
        <v>1450</v>
      </c>
      <c r="N2201" s="38">
        <f>+M2201*'Failure Data'!F$3</f>
        <v>37.458333333333336</v>
      </c>
    </row>
    <row r="2202" spans="1:14" x14ac:dyDescent="0.15">
      <c r="A2202" s="1">
        <v>2193</v>
      </c>
      <c r="B2202" s="3">
        <f t="shared" si="209"/>
        <v>553.40126842222435</v>
      </c>
      <c r="C2202" s="8"/>
      <c r="D2202" s="3">
        <f t="shared" si="210"/>
        <v>547.06141841933993</v>
      </c>
      <c r="F2202" s="3">
        <f t="shared" si="211"/>
        <v>-453.40126842222435</v>
      </c>
      <c r="G2202" s="3">
        <f t="shared" si="212"/>
        <v>6.3398500028844182</v>
      </c>
      <c r="H2202" s="3">
        <f t="shared" si="213"/>
        <v>547.06141841933993</v>
      </c>
      <c r="M2202" s="1">
        <f t="shared" si="214"/>
        <v>1451</v>
      </c>
      <c r="N2202" s="38">
        <f>+M2202*'Failure Data'!F$3</f>
        <v>37.484166666666667</v>
      </c>
    </row>
    <row r="2203" spans="1:14" x14ac:dyDescent="0.15">
      <c r="A2203" s="1">
        <v>2194</v>
      </c>
      <c r="B2203" s="3">
        <f t="shared" si="209"/>
        <v>553.65217190759631</v>
      </c>
      <c r="C2203" s="8"/>
      <c r="D2203" s="3">
        <f t="shared" si="210"/>
        <v>547.31232190471189</v>
      </c>
      <c r="F2203" s="3">
        <f t="shared" si="211"/>
        <v>-453.65217190759631</v>
      </c>
      <c r="G2203" s="3">
        <f t="shared" si="212"/>
        <v>6.3398500028844182</v>
      </c>
      <c r="H2203" s="3">
        <f t="shared" si="213"/>
        <v>547.31232190471189</v>
      </c>
      <c r="M2203" s="1">
        <f t="shared" si="214"/>
        <v>1452</v>
      </c>
      <c r="N2203" s="38">
        <f>+M2203*'Failure Data'!F$3</f>
        <v>37.51</v>
      </c>
    </row>
    <row r="2204" spans="1:14" x14ac:dyDescent="0.15">
      <c r="A2204" s="1">
        <v>2195</v>
      </c>
      <c r="B2204" s="3">
        <f t="shared" si="209"/>
        <v>553.90307539296828</v>
      </c>
      <c r="C2204" s="8"/>
      <c r="D2204" s="3">
        <f t="shared" si="210"/>
        <v>547.56322539008386</v>
      </c>
      <c r="F2204" s="3">
        <f t="shared" si="211"/>
        <v>-453.90307539296828</v>
      </c>
      <c r="G2204" s="3">
        <f t="shared" si="212"/>
        <v>6.3398500028844182</v>
      </c>
      <c r="H2204" s="3">
        <f t="shared" si="213"/>
        <v>547.56322539008386</v>
      </c>
      <c r="M2204" s="1">
        <f t="shared" si="214"/>
        <v>1453</v>
      </c>
      <c r="N2204" s="38">
        <f>+M2204*'Failure Data'!F$3</f>
        <v>37.535833333333336</v>
      </c>
    </row>
    <row r="2205" spans="1:14" x14ac:dyDescent="0.15">
      <c r="A2205" s="1">
        <v>2196</v>
      </c>
      <c r="B2205" s="3">
        <f t="shared" si="209"/>
        <v>554.15397887834035</v>
      </c>
      <c r="C2205" s="8"/>
      <c r="D2205" s="3">
        <f t="shared" si="210"/>
        <v>547.81412887545594</v>
      </c>
      <c r="F2205" s="3">
        <f t="shared" si="211"/>
        <v>-454.15397887834035</v>
      </c>
      <c r="G2205" s="3">
        <f t="shared" si="212"/>
        <v>6.3398500028844182</v>
      </c>
      <c r="H2205" s="3">
        <f t="shared" si="213"/>
        <v>547.81412887545594</v>
      </c>
      <c r="M2205" s="1">
        <f t="shared" si="214"/>
        <v>1454</v>
      </c>
      <c r="N2205" s="38">
        <f>+M2205*'Failure Data'!F$3</f>
        <v>37.561666666666667</v>
      </c>
    </row>
    <row r="2206" spans="1:14" x14ac:dyDescent="0.15">
      <c r="A2206" s="1">
        <v>2197</v>
      </c>
      <c r="B2206" s="3">
        <f t="shared" si="209"/>
        <v>554.40488236371232</v>
      </c>
      <c r="C2206" s="8"/>
      <c r="D2206" s="3">
        <f t="shared" si="210"/>
        <v>548.0650323608279</v>
      </c>
      <c r="F2206" s="3">
        <f t="shared" si="211"/>
        <v>-454.40488236371232</v>
      </c>
      <c r="G2206" s="3">
        <f t="shared" si="212"/>
        <v>6.3398500028844182</v>
      </c>
      <c r="H2206" s="3">
        <f t="shared" si="213"/>
        <v>548.0650323608279</v>
      </c>
      <c r="M2206" s="1">
        <f t="shared" si="214"/>
        <v>1455</v>
      </c>
      <c r="N2206" s="38">
        <f>+M2206*'Failure Data'!F$3</f>
        <v>37.587499999999999</v>
      </c>
    </row>
    <row r="2207" spans="1:14" x14ac:dyDescent="0.15">
      <c r="A2207" s="1">
        <v>2198</v>
      </c>
      <c r="B2207" s="3">
        <f t="shared" ref="B2207:B2270" si="215">+(B$4*A2207)+B$5</f>
        <v>554.65578584908428</v>
      </c>
      <c r="C2207" s="8"/>
      <c r="D2207" s="3">
        <f t="shared" ref="D2207:D2270" si="216">+(D$4*A2207)+D$5</f>
        <v>548.31593584619986</v>
      </c>
      <c r="F2207" s="3">
        <f t="shared" ref="F2207:F2270" si="217">+xmax-B2207</f>
        <v>-454.65578584908428</v>
      </c>
      <c r="G2207" s="3">
        <f t="shared" ref="G2207:G2270" si="218">+B2207-D2207</f>
        <v>6.3398500028844182</v>
      </c>
      <c r="H2207" s="3">
        <f t="shared" ref="H2207:H2270" si="219">D2207</f>
        <v>548.31593584619986</v>
      </c>
      <c r="M2207" s="1">
        <f t="shared" si="214"/>
        <v>1456</v>
      </c>
      <c r="N2207" s="38">
        <f>+M2207*'Failure Data'!F$3</f>
        <v>37.61333333333333</v>
      </c>
    </row>
    <row r="2208" spans="1:14" x14ac:dyDescent="0.15">
      <c r="A2208" s="1">
        <v>2199</v>
      </c>
      <c r="B2208" s="3">
        <f t="shared" si="215"/>
        <v>554.90668933445625</v>
      </c>
      <c r="C2208" s="8"/>
      <c r="D2208" s="3">
        <f t="shared" si="216"/>
        <v>548.56683933157183</v>
      </c>
      <c r="F2208" s="3">
        <f t="shared" si="217"/>
        <v>-454.90668933445625</v>
      </c>
      <c r="G2208" s="3">
        <f t="shared" si="218"/>
        <v>6.3398500028844182</v>
      </c>
      <c r="H2208" s="3">
        <f t="shared" si="219"/>
        <v>548.56683933157183</v>
      </c>
      <c r="M2208" s="1">
        <f t="shared" si="214"/>
        <v>1457</v>
      </c>
      <c r="N2208" s="38">
        <f>+M2208*'Failure Data'!F$3</f>
        <v>37.639166666666668</v>
      </c>
    </row>
    <row r="2209" spans="1:14" x14ac:dyDescent="0.15">
      <c r="A2209" s="1">
        <v>2200</v>
      </c>
      <c r="B2209" s="3">
        <f t="shared" si="215"/>
        <v>555.15759281982832</v>
      </c>
      <c r="C2209" s="8"/>
      <c r="D2209" s="3">
        <f t="shared" si="216"/>
        <v>548.81774281694391</v>
      </c>
      <c r="F2209" s="3">
        <f t="shared" si="217"/>
        <v>-455.15759281982832</v>
      </c>
      <c r="G2209" s="3">
        <f t="shared" si="218"/>
        <v>6.3398500028844182</v>
      </c>
      <c r="H2209" s="3">
        <f t="shared" si="219"/>
        <v>548.81774281694391</v>
      </c>
      <c r="M2209" s="1">
        <f t="shared" si="214"/>
        <v>1458</v>
      </c>
      <c r="N2209" s="38">
        <f>+M2209*'Failure Data'!F$3</f>
        <v>37.664999999999999</v>
      </c>
    </row>
    <row r="2210" spans="1:14" x14ac:dyDescent="0.15">
      <c r="A2210" s="1">
        <v>2201</v>
      </c>
      <c r="B2210" s="3">
        <f t="shared" si="215"/>
        <v>555.40849630520029</v>
      </c>
      <c r="C2210" s="8"/>
      <c r="D2210" s="3">
        <f t="shared" si="216"/>
        <v>549.06864630231587</v>
      </c>
      <c r="F2210" s="3">
        <f t="shared" si="217"/>
        <v>-455.40849630520029</v>
      </c>
      <c r="G2210" s="3">
        <f t="shared" si="218"/>
        <v>6.3398500028844182</v>
      </c>
      <c r="H2210" s="3">
        <f t="shared" si="219"/>
        <v>549.06864630231587</v>
      </c>
      <c r="M2210" s="1">
        <f t="shared" si="214"/>
        <v>1459</v>
      </c>
      <c r="N2210" s="38">
        <f>+M2210*'Failure Data'!F$3</f>
        <v>37.69083333333333</v>
      </c>
    </row>
    <row r="2211" spans="1:14" x14ac:dyDescent="0.15">
      <c r="A2211" s="1">
        <v>2202</v>
      </c>
      <c r="B2211" s="3">
        <f t="shared" si="215"/>
        <v>555.65939979057225</v>
      </c>
      <c r="C2211" s="8"/>
      <c r="D2211" s="3">
        <f t="shared" si="216"/>
        <v>549.31954978768783</v>
      </c>
      <c r="F2211" s="3">
        <f t="shared" si="217"/>
        <v>-455.65939979057225</v>
      </c>
      <c r="G2211" s="3">
        <f t="shared" si="218"/>
        <v>6.3398500028844182</v>
      </c>
      <c r="H2211" s="3">
        <f t="shared" si="219"/>
        <v>549.31954978768783</v>
      </c>
      <c r="M2211" s="1">
        <f t="shared" si="214"/>
        <v>1460</v>
      </c>
      <c r="N2211" s="38">
        <f>+M2211*'Failure Data'!F$3</f>
        <v>37.716666666666669</v>
      </c>
    </row>
    <row r="2212" spans="1:14" x14ac:dyDescent="0.15">
      <c r="A2212" s="1">
        <v>2203</v>
      </c>
      <c r="B2212" s="3">
        <f t="shared" si="215"/>
        <v>555.91030327594422</v>
      </c>
      <c r="C2212" s="8"/>
      <c r="D2212" s="3">
        <f t="shared" si="216"/>
        <v>549.5704532730598</v>
      </c>
      <c r="F2212" s="3">
        <f t="shared" si="217"/>
        <v>-455.91030327594422</v>
      </c>
      <c r="G2212" s="3">
        <f t="shared" si="218"/>
        <v>6.3398500028844182</v>
      </c>
      <c r="H2212" s="3">
        <f t="shared" si="219"/>
        <v>549.5704532730598</v>
      </c>
      <c r="M2212" s="1">
        <f t="shared" si="214"/>
        <v>1461</v>
      </c>
      <c r="N2212" s="38">
        <f>+M2212*'Failure Data'!F$3</f>
        <v>37.7425</v>
      </c>
    </row>
    <row r="2213" spans="1:14" x14ac:dyDescent="0.15">
      <c r="A2213" s="1">
        <v>2204</v>
      </c>
      <c r="B2213" s="3">
        <f t="shared" si="215"/>
        <v>556.16120676131629</v>
      </c>
      <c r="C2213" s="8"/>
      <c r="D2213" s="3">
        <f t="shared" si="216"/>
        <v>549.82135675843188</v>
      </c>
      <c r="F2213" s="3">
        <f t="shared" si="217"/>
        <v>-456.16120676131629</v>
      </c>
      <c r="G2213" s="3">
        <f t="shared" si="218"/>
        <v>6.3398500028844182</v>
      </c>
      <c r="H2213" s="3">
        <f t="shared" si="219"/>
        <v>549.82135675843188</v>
      </c>
      <c r="M2213" s="1">
        <f t="shared" si="214"/>
        <v>1462</v>
      </c>
      <c r="N2213" s="38">
        <f>+M2213*'Failure Data'!F$3</f>
        <v>37.768333333333331</v>
      </c>
    </row>
    <row r="2214" spans="1:14" x14ac:dyDescent="0.15">
      <c r="A2214" s="1">
        <v>2205</v>
      </c>
      <c r="B2214" s="3">
        <f t="shared" si="215"/>
        <v>556.41211024668826</v>
      </c>
      <c r="C2214" s="8"/>
      <c r="D2214" s="3">
        <f t="shared" si="216"/>
        <v>550.07226024380384</v>
      </c>
      <c r="F2214" s="3">
        <f t="shared" si="217"/>
        <v>-456.41211024668826</v>
      </c>
      <c r="G2214" s="3">
        <f t="shared" si="218"/>
        <v>6.3398500028844182</v>
      </c>
      <c r="H2214" s="3">
        <f t="shared" si="219"/>
        <v>550.07226024380384</v>
      </c>
      <c r="M2214" s="1">
        <f t="shared" si="214"/>
        <v>1463</v>
      </c>
      <c r="N2214" s="38">
        <f>+M2214*'Failure Data'!F$3</f>
        <v>37.794166666666669</v>
      </c>
    </row>
    <row r="2215" spans="1:14" x14ac:dyDescent="0.15">
      <c r="A2215" s="1">
        <v>2206</v>
      </c>
      <c r="B2215" s="3">
        <f t="shared" si="215"/>
        <v>556.66301373206022</v>
      </c>
      <c r="C2215" s="8"/>
      <c r="D2215" s="3">
        <f t="shared" si="216"/>
        <v>550.3231637291758</v>
      </c>
      <c r="F2215" s="3">
        <f t="shared" si="217"/>
        <v>-456.66301373206022</v>
      </c>
      <c r="G2215" s="3">
        <f t="shared" si="218"/>
        <v>6.3398500028844182</v>
      </c>
      <c r="H2215" s="3">
        <f t="shared" si="219"/>
        <v>550.3231637291758</v>
      </c>
      <c r="M2215" s="1">
        <f t="shared" si="214"/>
        <v>1464</v>
      </c>
      <c r="N2215" s="38">
        <f>+M2215*'Failure Data'!F$3</f>
        <v>37.82</v>
      </c>
    </row>
    <row r="2216" spans="1:14" x14ac:dyDescent="0.15">
      <c r="A2216" s="1">
        <v>2207</v>
      </c>
      <c r="B2216" s="3">
        <f t="shared" si="215"/>
        <v>556.91391721743219</v>
      </c>
      <c r="C2216" s="8"/>
      <c r="D2216" s="3">
        <f t="shared" si="216"/>
        <v>550.57406721454777</v>
      </c>
      <c r="F2216" s="3">
        <f t="shared" si="217"/>
        <v>-456.91391721743219</v>
      </c>
      <c r="G2216" s="3">
        <f t="shared" si="218"/>
        <v>6.3398500028844182</v>
      </c>
      <c r="H2216" s="3">
        <f t="shared" si="219"/>
        <v>550.57406721454777</v>
      </c>
      <c r="M2216" s="1">
        <f t="shared" si="214"/>
        <v>1465</v>
      </c>
      <c r="N2216" s="38">
        <f>+M2216*'Failure Data'!F$3</f>
        <v>37.845833333333331</v>
      </c>
    </row>
    <row r="2217" spans="1:14" x14ac:dyDescent="0.15">
      <c r="A2217" s="1">
        <v>2208</v>
      </c>
      <c r="B2217" s="3">
        <f t="shared" si="215"/>
        <v>557.16482070280426</v>
      </c>
      <c r="C2217" s="8"/>
      <c r="D2217" s="3">
        <f t="shared" si="216"/>
        <v>550.82497069991985</v>
      </c>
      <c r="F2217" s="3">
        <f t="shared" si="217"/>
        <v>-457.16482070280426</v>
      </c>
      <c r="G2217" s="3">
        <f t="shared" si="218"/>
        <v>6.3398500028844182</v>
      </c>
      <c r="H2217" s="3">
        <f t="shared" si="219"/>
        <v>550.82497069991985</v>
      </c>
      <c r="M2217" s="1">
        <f t="shared" si="214"/>
        <v>1466</v>
      </c>
      <c r="N2217" s="38">
        <f>+M2217*'Failure Data'!F$3</f>
        <v>37.87166666666667</v>
      </c>
    </row>
    <row r="2218" spans="1:14" x14ac:dyDescent="0.15">
      <c r="A2218" s="1">
        <v>2209</v>
      </c>
      <c r="B2218" s="3">
        <f t="shared" si="215"/>
        <v>557.41572418817623</v>
      </c>
      <c r="C2218" s="8"/>
      <c r="D2218" s="3">
        <f t="shared" si="216"/>
        <v>551.07587418529181</v>
      </c>
      <c r="F2218" s="3">
        <f t="shared" si="217"/>
        <v>-457.41572418817623</v>
      </c>
      <c r="G2218" s="3">
        <f t="shared" si="218"/>
        <v>6.3398500028844182</v>
      </c>
      <c r="H2218" s="3">
        <f t="shared" si="219"/>
        <v>551.07587418529181</v>
      </c>
      <c r="M2218" s="1">
        <f t="shared" si="214"/>
        <v>1467</v>
      </c>
      <c r="N2218" s="38">
        <f>+M2218*'Failure Data'!F$3</f>
        <v>37.897500000000001</v>
      </c>
    </row>
    <row r="2219" spans="1:14" x14ac:dyDescent="0.15">
      <c r="A2219" s="1">
        <v>2210</v>
      </c>
      <c r="B2219" s="3">
        <f t="shared" si="215"/>
        <v>557.66662767354819</v>
      </c>
      <c r="C2219" s="8"/>
      <c r="D2219" s="3">
        <f t="shared" si="216"/>
        <v>551.32677767066377</v>
      </c>
      <c r="F2219" s="3">
        <f t="shared" si="217"/>
        <v>-457.66662767354819</v>
      </c>
      <c r="G2219" s="3">
        <f t="shared" si="218"/>
        <v>6.3398500028844182</v>
      </c>
      <c r="H2219" s="3">
        <f t="shared" si="219"/>
        <v>551.32677767066377</v>
      </c>
      <c r="M2219" s="1">
        <f t="shared" si="214"/>
        <v>1468</v>
      </c>
      <c r="N2219" s="38">
        <f>+M2219*'Failure Data'!F$3</f>
        <v>37.923333333333332</v>
      </c>
    </row>
    <row r="2220" spans="1:14" x14ac:dyDescent="0.15">
      <c r="A2220" s="1">
        <v>2211</v>
      </c>
      <c r="B2220" s="3">
        <f t="shared" si="215"/>
        <v>557.91753115892016</v>
      </c>
      <c r="C2220" s="8"/>
      <c r="D2220" s="3">
        <f t="shared" si="216"/>
        <v>551.57768115603585</v>
      </c>
      <c r="F2220" s="3">
        <f t="shared" si="217"/>
        <v>-457.91753115892016</v>
      </c>
      <c r="G2220" s="3">
        <f t="shared" si="218"/>
        <v>6.3398500028843046</v>
      </c>
      <c r="H2220" s="3">
        <f t="shared" si="219"/>
        <v>551.57768115603585</v>
      </c>
      <c r="M2220" s="1">
        <f t="shared" si="214"/>
        <v>1469</v>
      </c>
      <c r="N2220" s="38">
        <f>+M2220*'Failure Data'!F$3</f>
        <v>37.949166666666663</v>
      </c>
    </row>
    <row r="2221" spans="1:14" x14ac:dyDescent="0.15">
      <c r="A2221" s="1">
        <v>2212</v>
      </c>
      <c r="B2221" s="3">
        <f t="shared" si="215"/>
        <v>558.16843464429223</v>
      </c>
      <c r="C2221" s="8"/>
      <c r="D2221" s="3">
        <f t="shared" si="216"/>
        <v>551.82858464140782</v>
      </c>
      <c r="F2221" s="3">
        <f t="shared" si="217"/>
        <v>-458.16843464429223</v>
      </c>
      <c r="G2221" s="3">
        <f t="shared" si="218"/>
        <v>6.3398500028844182</v>
      </c>
      <c r="H2221" s="3">
        <f t="shared" si="219"/>
        <v>551.82858464140782</v>
      </c>
      <c r="M2221" s="1">
        <f t="shared" si="214"/>
        <v>1470</v>
      </c>
      <c r="N2221" s="38">
        <f>+M2221*'Failure Data'!F$3</f>
        <v>37.975000000000001</v>
      </c>
    </row>
    <row r="2222" spans="1:14" x14ac:dyDescent="0.15">
      <c r="A2222" s="1">
        <v>2213</v>
      </c>
      <c r="B2222" s="3">
        <f t="shared" si="215"/>
        <v>558.4193381296642</v>
      </c>
      <c r="C2222" s="8"/>
      <c r="D2222" s="3">
        <f t="shared" si="216"/>
        <v>552.07948812677978</v>
      </c>
      <c r="F2222" s="3">
        <f t="shared" si="217"/>
        <v>-458.4193381296642</v>
      </c>
      <c r="G2222" s="3">
        <f t="shared" si="218"/>
        <v>6.3398500028844182</v>
      </c>
      <c r="H2222" s="3">
        <f t="shared" si="219"/>
        <v>552.07948812677978</v>
      </c>
      <c r="M2222" s="1">
        <f t="shared" si="214"/>
        <v>1471</v>
      </c>
      <c r="N2222" s="38">
        <f>+M2222*'Failure Data'!F$3</f>
        <v>38.000833333333333</v>
      </c>
    </row>
    <row r="2223" spans="1:14" x14ac:dyDescent="0.15">
      <c r="A2223" s="1">
        <v>2214</v>
      </c>
      <c r="B2223" s="3">
        <f t="shared" si="215"/>
        <v>558.67024161503616</v>
      </c>
      <c r="C2223" s="8"/>
      <c r="D2223" s="3">
        <f t="shared" si="216"/>
        <v>552.33039161215174</v>
      </c>
      <c r="F2223" s="3">
        <f t="shared" si="217"/>
        <v>-458.67024161503616</v>
      </c>
      <c r="G2223" s="3">
        <f t="shared" si="218"/>
        <v>6.3398500028844182</v>
      </c>
      <c r="H2223" s="3">
        <f t="shared" si="219"/>
        <v>552.33039161215174</v>
      </c>
      <c r="M2223" s="1">
        <f t="shared" si="214"/>
        <v>1472</v>
      </c>
      <c r="N2223" s="38">
        <f>+M2223*'Failure Data'!F$3</f>
        <v>38.026666666666664</v>
      </c>
    </row>
    <row r="2224" spans="1:14" x14ac:dyDescent="0.15">
      <c r="A2224" s="1">
        <v>2215</v>
      </c>
      <c r="B2224" s="3">
        <f t="shared" si="215"/>
        <v>558.92114510040813</v>
      </c>
      <c r="C2224" s="8"/>
      <c r="D2224" s="3">
        <f t="shared" si="216"/>
        <v>552.58129509752382</v>
      </c>
      <c r="F2224" s="3">
        <f t="shared" si="217"/>
        <v>-458.92114510040813</v>
      </c>
      <c r="G2224" s="3">
        <f t="shared" si="218"/>
        <v>6.3398500028843046</v>
      </c>
      <c r="H2224" s="3">
        <f t="shared" si="219"/>
        <v>552.58129509752382</v>
      </c>
      <c r="M2224" s="1">
        <f t="shared" si="214"/>
        <v>1473</v>
      </c>
      <c r="N2224" s="38">
        <f>+M2224*'Failure Data'!F$3</f>
        <v>38.052500000000002</v>
      </c>
    </row>
    <row r="2225" spans="1:14" x14ac:dyDescent="0.15">
      <c r="A2225" s="1">
        <v>2216</v>
      </c>
      <c r="B2225" s="3">
        <f t="shared" si="215"/>
        <v>559.1720485857802</v>
      </c>
      <c r="C2225" s="8"/>
      <c r="D2225" s="3">
        <f t="shared" si="216"/>
        <v>552.83219858289578</v>
      </c>
      <c r="F2225" s="3">
        <f t="shared" si="217"/>
        <v>-459.1720485857802</v>
      </c>
      <c r="G2225" s="3">
        <f t="shared" si="218"/>
        <v>6.3398500028844182</v>
      </c>
      <c r="H2225" s="3">
        <f t="shared" si="219"/>
        <v>552.83219858289578</v>
      </c>
      <c r="M2225" s="1">
        <f t="shared" si="214"/>
        <v>1474</v>
      </c>
      <c r="N2225" s="38">
        <f>+M2225*'Failure Data'!F$3</f>
        <v>38.078333333333333</v>
      </c>
    </row>
    <row r="2226" spans="1:14" x14ac:dyDescent="0.15">
      <c r="A2226" s="1">
        <v>2217</v>
      </c>
      <c r="B2226" s="3">
        <f t="shared" si="215"/>
        <v>559.42295207115217</v>
      </c>
      <c r="C2226" s="8"/>
      <c r="D2226" s="3">
        <f t="shared" si="216"/>
        <v>553.08310206826775</v>
      </c>
      <c r="F2226" s="3">
        <f t="shared" si="217"/>
        <v>-459.42295207115217</v>
      </c>
      <c r="G2226" s="3">
        <f t="shared" si="218"/>
        <v>6.3398500028844182</v>
      </c>
      <c r="H2226" s="3">
        <f t="shared" si="219"/>
        <v>553.08310206826775</v>
      </c>
      <c r="M2226" s="1">
        <f t="shared" si="214"/>
        <v>1475</v>
      </c>
      <c r="N2226" s="38">
        <f>+M2226*'Failure Data'!F$3</f>
        <v>38.104166666666664</v>
      </c>
    </row>
    <row r="2227" spans="1:14" x14ac:dyDescent="0.15">
      <c r="A2227" s="1">
        <v>2218</v>
      </c>
      <c r="B2227" s="3">
        <f t="shared" si="215"/>
        <v>559.67385555652413</v>
      </c>
      <c r="C2227" s="8"/>
      <c r="D2227" s="3">
        <f t="shared" si="216"/>
        <v>553.33400555363971</v>
      </c>
      <c r="F2227" s="3">
        <f t="shared" si="217"/>
        <v>-459.67385555652413</v>
      </c>
      <c r="G2227" s="3">
        <f t="shared" si="218"/>
        <v>6.3398500028844182</v>
      </c>
      <c r="H2227" s="3">
        <f t="shared" si="219"/>
        <v>553.33400555363971</v>
      </c>
      <c r="M2227" s="1">
        <f t="shared" si="214"/>
        <v>1476</v>
      </c>
      <c r="N2227" s="38">
        <f>+M2227*'Failure Data'!F$3</f>
        <v>38.130000000000003</v>
      </c>
    </row>
    <row r="2228" spans="1:14" x14ac:dyDescent="0.15">
      <c r="A2228" s="1">
        <v>2219</v>
      </c>
      <c r="B2228" s="3">
        <f t="shared" si="215"/>
        <v>559.92475904189621</v>
      </c>
      <c r="C2228" s="8"/>
      <c r="D2228" s="3">
        <f t="shared" si="216"/>
        <v>553.58490903901179</v>
      </c>
      <c r="F2228" s="3">
        <f t="shared" si="217"/>
        <v>-459.92475904189621</v>
      </c>
      <c r="G2228" s="3">
        <f t="shared" si="218"/>
        <v>6.3398500028844182</v>
      </c>
      <c r="H2228" s="3">
        <f t="shared" si="219"/>
        <v>553.58490903901179</v>
      </c>
      <c r="M2228" s="1">
        <f t="shared" si="214"/>
        <v>1477</v>
      </c>
      <c r="N2228" s="38">
        <f>+M2228*'Failure Data'!F$3</f>
        <v>38.155833333333334</v>
      </c>
    </row>
    <row r="2229" spans="1:14" x14ac:dyDescent="0.15">
      <c r="A2229" s="1">
        <v>2220</v>
      </c>
      <c r="B2229" s="3">
        <f t="shared" si="215"/>
        <v>560.17566252726817</v>
      </c>
      <c r="C2229" s="8"/>
      <c r="D2229" s="3">
        <f t="shared" si="216"/>
        <v>553.83581252438375</v>
      </c>
      <c r="F2229" s="3">
        <f t="shared" si="217"/>
        <v>-460.17566252726817</v>
      </c>
      <c r="G2229" s="3">
        <f t="shared" si="218"/>
        <v>6.3398500028844182</v>
      </c>
      <c r="H2229" s="3">
        <f t="shared" si="219"/>
        <v>553.83581252438375</v>
      </c>
      <c r="M2229" s="1">
        <f t="shared" si="214"/>
        <v>1478</v>
      </c>
      <c r="N2229" s="38">
        <f>+M2229*'Failure Data'!F$3</f>
        <v>38.181666666666665</v>
      </c>
    </row>
    <row r="2230" spans="1:14" x14ac:dyDescent="0.15">
      <c r="A2230" s="1">
        <v>2221</v>
      </c>
      <c r="B2230" s="3">
        <f t="shared" si="215"/>
        <v>560.42656601264014</v>
      </c>
      <c r="C2230" s="8"/>
      <c r="D2230" s="3">
        <f t="shared" si="216"/>
        <v>554.08671600975572</v>
      </c>
      <c r="F2230" s="3">
        <f t="shared" si="217"/>
        <v>-460.42656601264014</v>
      </c>
      <c r="G2230" s="3">
        <f t="shared" si="218"/>
        <v>6.3398500028844182</v>
      </c>
      <c r="H2230" s="3">
        <f t="shared" si="219"/>
        <v>554.08671600975572</v>
      </c>
      <c r="M2230" s="1">
        <f t="shared" si="214"/>
        <v>1479</v>
      </c>
      <c r="N2230" s="38">
        <f>+M2230*'Failure Data'!F$3</f>
        <v>38.207500000000003</v>
      </c>
    </row>
    <row r="2231" spans="1:14" x14ac:dyDescent="0.15">
      <c r="A2231" s="1">
        <v>2222</v>
      </c>
      <c r="B2231" s="3">
        <f t="shared" si="215"/>
        <v>560.6774694980121</v>
      </c>
      <c r="C2231" s="8"/>
      <c r="D2231" s="3">
        <f t="shared" si="216"/>
        <v>554.33761949512768</v>
      </c>
      <c r="F2231" s="3">
        <f t="shared" si="217"/>
        <v>-460.6774694980121</v>
      </c>
      <c r="G2231" s="3">
        <f t="shared" si="218"/>
        <v>6.3398500028844182</v>
      </c>
      <c r="H2231" s="3">
        <f t="shared" si="219"/>
        <v>554.33761949512768</v>
      </c>
      <c r="M2231" s="1">
        <f t="shared" si="214"/>
        <v>1480</v>
      </c>
      <c r="N2231" s="38">
        <f>+M2231*'Failure Data'!F$3</f>
        <v>38.233333333333334</v>
      </c>
    </row>
    <row r="2232" spans="1:14" x14ac:dyDescent="0.15">
      <c r="A2232" s="1">
        <v>2223</v>
      </c>
      <c r="B2232" s="3">
        <f t="shared" si="215"/>
        <v>560.92837298338418</v>
      </c>
      <c r="C2232" s="8"/>
      <c r="D2232" s="3">
        <f t="shared" si="216"/>
        <v>554.58852298049976</v>
      </c>
      <c r="F2232" s="3">
        <f t="shared" si="217"/>
        <v>-460.92837298338418</v>
      </c>
      <c r="G2232" s="3">
        <f t="shared" si="218"/>
        <v>6.3398500028844182</v>
      </c>
      <c r="H2232" s="3">
        <f t="shared" si="219"/>
        <v>554.58852298049976</v>
      </c>
      <c r="M2232" s="1">
        <f t="shared" si="214"/>
        <v>1481</v>
      </c>
      <c r="N2232" s="38">
        <f>+M2232*'Failure Data'!F$3</f>
        <v>38.259166666666665</v>
      </c>
    </row>
    <row r="2233" spans="1:14" x14ac:dyDescent="0.15">
      <c r="A2233" s="1">
        <v>2224</v>
      </c>
      <c r="B2233" s="3">
        <f t="shared" si="215"/>
        <v>561.17927646875614</v>
      </c>
      <c r="C2233" s="8"/>
      <c r="D2233" s="3">
        <f t="shared" si="216"/>
        <v>554.83942646587172</v>
      </c>
      <c r="F2233" s="3">
        <f t="shared" si="217"/>
        <v>-461.17927646875614</v>
      </c>
      <c r="G2233" s="3">
        <f t="shared" si="218"/>
        <v>6.3398500028844182</v>
      </c>
      <c r="H2233" s="3">
        <f t="shared" si="219"/>
        <v>554.83942646587172</v>
      </c>
      <c r="M2233" s="1">
        <f t="shared" si="214"/>
        <v>1482</v>
      </c>
      <c r="N2233" s="38">
        <f>+M2233*'Failure Data'!F$3</f>
        <v>38.284999999999997</v>
      </c>
    </row>
    <row r="2234" spans="1:14" x14ac:dyDescent="0.15">
      <c r="A2234" s="1">
        <v>2225</v>
      </c>
      <c r="B2234" s="3">
        <f t="shared" si="215"/>
        <v>561.43017995412811</v>
      </c>
      <c r="C2234" s="8"/>
      <c r="D2234" s="3">
        <f t="shared" si="216"/>
        <v>555.09032995124369</v>
      </c>
      <c r="F2234" s="3">
        <f t="shared" si="217"/>
        <v>-461.43017995412811</v>
      </c>
      <c r="G2234" s="3">
        <f t="shared" si="218"/>
        <v>6.3398500028844182</v>
      </c>
      <c r="H2234" s="3">
        <f t="shared" si="219"/>
        <v>555.09032995124369</v>
      </c>
      <c r="M2234" s="1">
        <f t="shared" si="214"/>
        <v>1483</v>
      </c>
      <c r="N2234" s="38">
        <f>+M2234*'Failure Data'!F$3</f>
        <v>38.310833333333335</v>
      </c>
    </row>
    <row r="2235" spans="1:14" x14ac:dyDescent="0.15">
      <c r="A2235" s="1">
        <v>2226</v>
      </c>
      <c r="B2235" s="3">
        <f t="shared" si="215"/>
        <v>561.68108343950007</v>
      </c>
      <c r="C2235" s="8"/>
      <c r="D2235" s="3">
        <f t="shared" si="216"/>
        <v>555.34123343661565</v>
      </c>
      <c r="F2235" s="3">
        <f t="shared" si="217"/>
        <v>-461.68108343950007</v>
      </c>
      <c r="G2235" s="3">
        <f t="shared" si="218"/>
        <v>6.3398500028844182</v>
      </c>
      <c r="H2235" s="3">
        <f t="shared" si="219"/>
        <v>555.34123343661565</v>
      </c>
      <c r="M2235" s="1">
        <f t="shared" si="214"/>
        <v>1484</v>
      </c>
      <c r="N2235" s="38">
        <f>+M2235*'Failure Data'!F$3</f>
        <v>38.336666666666666</v>
      </c>
    </row>
    <row r="2236" spans="1:14" x14ac:dyDescent="0.15">
      <c r="A2236" s="1">
        <v>2227</v>
      </c>
      <c r="B2236" s="3">
        <f t="shared" si="215"/>
        <v>561.93198692487215</v>
      </c>
      <c r="C2236" s="8"/>
      <c r="D2236" s="3">
        <f t="shared" si="216"/>
        <v>555.59213692198773</v>
      </c>
      <c r="F2236" s="3">
        <f t="shared" si="217"/>
        <v>-461.93198692487215</v>
      </c>
      <c r="G2236" s="3">
        <f t="shared" si="218"/>
        <v>6.3398500028844182</v>
      </c>
      <c r="H2236" s="3">
        <f t="shared" si="219"/>
        <v>555.59213692198773</v>
      </c>
      <c r="M2236" s="1">
        <f t="shared" si="214"/>
        <v>1485</v>
      </c>
      <c r="N2236" s="38">
        <f>+M2236*'Failure Data'!F$3</f>
        <v>38.362499999999997</v>
      </c>
    </row>
    <row r="2237" spans="1:14" x14ac:dyDescent="0.15">
      <c r="A2237" s="1">
        <v>2228</v>
      </c>
      <c r="B2237" s="3">
        <f t="shared" si="215"/>
        <v>562.18289041024411</v>
      </c>
      <c r="C2237" s="8"/>
      <c r="D2237" s="3">
        <f t="shared" si="216"/>
        <v>555.84304040735969</v>
      </c>
      <c r="F2237" s="3">
        <f t="shared" si="217"/>
        <v>-462.18289041024411</v>
      </c>
      <c r="G2237" s="3">
        <f t="shared" si="218"/>
        <v>6.3398500028844182</v>
      </c>
      <c r="H2237" s="3">
        <f t="shared" si="219"/>
        <v>555.84304040735969</v>
      </c>
      <c r="M2237" s="1">
        <f t="shared" si="214"/>
        <v>1486</v>
      </c>
      <c r="N2237" s="38">
        <f>+M2237*'Failure Data'!F$3</f>
        <v>38.388333333333335</v>
      </c>
    </row>
    <row r="2238" spans="1:14" x14ac:dyDescent="0.15">
      <c r="A2238" s="1">
        <v>2229</v>
      </c>
      <c r="B2238" s="3">
        <f t="shared" si="215"/>
        <v>562.43379389561608</v>
      </c>
      <c r="C2238" s="8"/>
      <c r="D2238" s="3">
        <f t="shared" si="216"/>
        <v>556.09394389273166</v>
      </c>
      <c r="F2238" s="3">
        <f t="shared" si="217"/>
        <v>-462.43379389561608</v>
      </c>
      <c r="G2238" s="3">
        <f t="shared" si="218"/>
        <v>6.3398500028844182</v>
      </c>
      <c r="H2238" s="3">
        <f t="shared" si="219"/>
        <v>556.09394389273166</v>
      </c>
      <c r="M2238" s="1">
        <f t="shared" si="214"/>
        <v>1487</v>
      </c>
      <c r="N2238" s="38">
        <f>+M2238*'Failure Data'!F$3</f>
        <v>38.414166666666667</v>
      </c>
    </row>
    <row r="2239" spans="1:14" x14ac:dyDescent="0.15">
      <c r="A2239" s="1">
        <v>2230</v>
      </c>
      <c r="B2239" s="3">
        <f t="shared" si="215"/>
        <v>562.68469738098804</v>
      </c>
      <c r="C2239" s="8"/>
      <c r="D2239" s="3">
        <f t="shared" si="216"/>
        <v>556.34484737810362</v>
      </c>
      <c r="F2239" s="3">
        <f t="shared" si="217"/>
        <v>-462.68469738098804</v>
      </c>
      <c r="G2239" s="3">
        <f t="shared" si="218"/>
        <v>6.3398500028844182</v>
      </c>
      <c r="H2239" s="3">
        <f t="shared" si="219"/>
        <v>556.34484737810362</v>
      </c>
      <c r="M2239" s="1">
        <f t="shared" si="214"/>
        <v>1488</v>
      </c>
      <c r="N2239" s="38">
        <f>+M2239*'Failure Data'!F$3</f>
        <v>38.44</v>
      </c>
    </row>
    <row r="2240" spans="1:14" x14ac:dyDescent="0.15">
      <c r="A2240" s="1">
        <v>2231</v>
      </c>
      <c r="B2240" s="3">
        <f t="shared" si="215"/>
        <v>562.93560086636012</v>
      </c>
      <c r="C2240" s="8"/>
      <c r="D2240" s="3">
        <f t="shared" si="216"/>
        <v>556.5957508634757</v>
      </c>
      <c r="F2240" s="3">
        <f t="shared" si="217"/>
        <v>-462.93560086636012</v>
      </c>
      <c r="G2240" s="3">
        <f t="shared" si="218"/>
        <v>6.3398500028844182</v>
      </c>
      <c r="H2240" s="3">
        <f t="shared" si="219"/>
        <v>556.5957508634757</v>
      </c>
      <c r="M2240" s="1">
        <f t="shared" si="214"/>
        <v>1489</v>
      </c>
      <c r="N2240" s="38">
        <f>+M2240*'Failure Data'!F$3</f>
        <v>38.465833333333336</v>
      </c>
    </row>
    <row r="2241" spans="1:14" x14ac:dyDescent="0.15">
      <c r="A2241" s="1">
        <v>2232</v>
      </c>
      <c r="B2241" s="3">
        <f t="shared" si="215"/>
        <v>563.18650435173208</v>
      </c>
      <c r="C2241" s="8"/>
      <c r="D2241" s="3">
        <f t="shared" si="216"/>
        <v>556.84665434884766</v>
      </c>
      <c r="F2241" s="3">
        <f t="shared" si="217"/>
        <v>-463.18650435173208</v>
      </c>
      <c r="G2241" s="3">
        <f t="shared" si="218"/>
        <v>6.3398500028844182</v>
      </c>
      <c r="H2241" s="3">
        <f t="shared" si="219"/>
        <v>556.84665434884766</v>
      </c>
      <c r="M2241" s="1">
        <f t="shared" ref="M2241:M2304" si="220">M2240+1</f>
        <v>1490</v>
      </c>
      <c r="N2241" s="38">
        <f>+M2241*'Failure Data'!F$3</f>
        <v>38.491666666666667</v>
      </c>
    </row>
    <row r="2242" spans="1:14" x14ac:dyDescent="0.15">
      <c r="A2242" s="1">
        <v>2233</v>
      </c>
      <c r="B2242" s="3">
        <f t="shared" si="215"/>
        <v>563.43740783710405</v>
      </c>
      <c r="C2242" s="8"/>
      <c r="D2242" s="3">
        <f t="shared" si="216"/>
        <v>557.09755783421963</v>
      </c>
      <c r="F2242" s="3">
        <f t="shared" si="217"/>
        <v>-463.43740783710405</v>
      </c>
      <c r="G2242" s="3">
        <f t="shared" si="218"/>
        <v>6.3398500028844182</v>
      </c>
      <c r="H2242" s="3">
        <f t="shared" si="219"/>
        <v>557.09755783421963</v>
      </c>
      <c r="M2242" s="1">
        <f t="shared" si="220"/>
        <v>1491</v>
      </c>
      <c r="N2242" s="38">
        <f>+M2242*'Failure Data'!F$3</f>
        <v>38.517499999999998</v>
      </c>
    </row>
    <row r="2243" spans="1:14" x14ac:dyDescent="0.15">
      <c r="A2243" s="1">
        <v>2234</v>
      </c>
      <c r="B2243" s="3">
        <f t="shared" si="215"/>
        <v>563.68831132247601</v>
      </c>
      <c r="C2243" s="8"/>
      <c r="D2243" s="3">
        <f t="shared" si="216"/>
        <v>557.34846131959159</v>
      </c>
      <c r="F2243" s="3">
        <f t="shared" si="217"/>
        <v>-463.68831132247601</v>
      </c>
      <c r="G2243" s="3">
        <f t="shared" si="218"/>
        <v>6.3398500028844182</v>
      </c>
      <c r="H2243" s="3">
        <f t="shared" si="219"/>
        <v>557.34846131959159</v>
      </c>
      <c r="M2243" s="1">
        <f t="shared" si="220"/>
        <v>1492</v>
      </c>
      <c r="N2243" s="38">
        <f>+M2243*'Failure Data'!F$3</f>
        <v>38.543333333333337</v>
      </c>
    </row>
    <row r="2244" spans="1:14" x14ac:dyDescent="0.15">
      <c r="A2244" s="1">
        <v>2235</v>
      </c>
      <c r="B2244" s="3">
        <f t="shared" si="215"/>
        <v>563.93921480784809</v>
      </c>
      <c r="C2244" s="8"/>
      <c r="D2244" s="3">
        <f t="shared" si="216"/>
        <v>557.59936480496367</v>
      </c>
      <c r="F2244" s="3">
        <f t="shared" si="217"/>
        <v>-463.93921480784809</v>
      </c>
      <c r="G2244" s="3">
        <f t="shared" si="218"/>
        <v>6.3398500028844182</v>
      </c>
      <c r="H2244" s="3">
        <f t="shared" si="219"/>
        <v>557.59936480496367</v>
      </c>
      <c r="M2244" s="1">
        <f t="shared" si="220"/>
        <v>1493</v>
      </c>
      <c r="N2244" s="38">
        <f>+M2244*'Failure Data'!F$3</f>
        <v>38.569166666666668</v>
      </c>
    </row>
    <row r="2245" spans="1:14" x14ac:dyDescent="0.15">
      <c r="A2245" s="1">
        <v>2236</v>
      </c>
      <c r="B2245" s="3">
        <f t="shared" si="215"/>
        <v>564.19011829322005</v>
      </c>
      <c r="C2245" s="8"/>
      <c r="D2245" s="3">
        <f t="shared" si="216"/>
        <v>557.85026829033563</v>
      </c>
      <c r="F2245" s="3">
        <f t="shared" si="217"/>
        <v>-464.19011829322005</v>
      </c>
      <c r="G2245" s="3">
        <f t="shared" si="218"/>
        <v>6.3398500028844182</v>
      </c>
      <c r="H2245" s="3">
        <f t="shared" si="219"/>
        <v>557.85026829033563</v>
      </c>
      <c r="M2245" s="1">
        <f t="shared" si="220"/>
        <v>1494</v>
      </c>
      <c r="N2245" s="38">
        <f>+M2245*'Failure Data'!F$3</f>
        <v>38.594999999999999</v>
      </c>
    </row>
    <row r="2246" spans="1:14" x14ac:dyDescent="0.15">
      <c r="A2246" s="1">
        <v>2237</v>
      </c>
      <c r="B2246" s="3">
        <f t="shared" si="215"/>
        <v>564.44102177859202</v>
      </c>
      <c r="C2246" s="8"/>
      <c r="D2246" s="3">
        <f t="shared" si="216"/>
        <v>558.1011717757076</v>
      </c>
      <c r="F2246" s="3">
        <f t="shared" si="217"/>
        <v>-464.44102177859202</v>
      </c>
      <c r="G2246" s="3">
        <f t="shared" si="218"/>
        <v>6.3398500028844182</v>
      </c>
      <c r="H2246" s="3">
        <f t="shared" si="219"/>
        <v>558.1011717757076</v>
      </c>
      <c r="M2246" s="1">
        <f t="shared" si="220"/>
        <v>1495</v>
      </c>
      <c r="N2246" s="38">
        <f>+M2246*'Failure Data'!F$3</f>
        <v>38.62083333333333</v>
      </c>
    </row>
    <row r="2247" spans="1:14" x14ac:dyDescent="0.15">
      <c r="A2247" s="1">
        <v>2238</v>
      </c>
      <c r="B2247" s="3">
        <f t="shared" si="215"/>
        <v>564.69192526396398</v>
      </c>
      <c r="C2247" s="8"/>
      <c r="D2247" s="3">
        <f t="shared" si="216"/>
        <v>558.35207526107968</v>
      </c>
      <c r="F2247" s="3">
        <f t="shared" si="217"/>
        <v>-464.69192526396398</v>
      </c>
      <c r="G2247" s="3">
        <f t="shared" si="218"/>
        <v>6.3398500028843046</v>
      </c>
      <c r="H2247" s="3">
        <f t="shared" si="219"/>
        <v>558.35207526107968</v>
      </c>
      <c r="M2247" s="1">
        <f t="shared" si="220"/>
        <v>1496</v>
      </c>
      <c r="N2247" s="38">
        <f>+M2247*'Failure Data'!F$3</f>
        <v>38.646666666666668</v>
      </c>
    </row>
    <row r="2248" spans="1:14" x14ac:dyDescent="0.15">
      <c r="A2248" s="1">
        <v>2239</v>
      </c>
      <c r="B2248" s="3">
        <f t="shared" si="215"/>
        <v>564.94282874933606</v>
      </c>
      <c r="C2248" s="8"/>
      <c r="D2248" s="3">
        <f t="shared" si="216"/>
        <v>558.60297874645164</v>
      </c>
      <c r="F2248" s="3">
        <f t="shared" si="217"/>
        <v>-464.94282874933606</v>
      </c>
      <c r="G2248" s="3">
        <f t="shared" si="218"/>
        <v>6.3398500028844182</v>
      </c>
      <c r="H2248" s="3">
        <f t="shared" si="219"/>
        <v>558.60297874645164</v>
      </c>
      <c r="M2248" s="1">
        <f t="shared" si="220"/>
        <v>1497</v>
      </c>
      <c r="N2248" s="38">
        <f>+M2248*'Failure Data'!F$3</f>
        <v>38.672499999999999</v>
      </c>
    </row>
    <row r="2249" spans="1:14" x14ac:dyDescent="0.15">
      <c r="A2249" s="1">
        <v>2240</v>
      </c>
      <c r="B2249" s="3">
        <f t="shared" si="215"/>
        <v>565.19373223470802</v>
      </c>
      <c r="C2249" s="8"/>
      <c r="D2249" s="3">
        <f t="shared" si="216"/>
        <v>558.8538822318236</v>
      </c>
      <c r="F2249" s="3">
        <f t="shared" si="217"/>
        <v>-465.19373223470802</v>
      </c>
      <c r="G2249" s="3">
        <f t="shared" si="218"/>
        <v>6.3398500028844182</v>
      </c>
      <c r="H2249" s="3">
        <f t="shared" si="219"/>
        <v>558.8538822318236</v>
      </c>
      <c r="M2249" s="1">
        <f t="shared" si="220"/>
        <v>1498</v>
      </c>
      <c r="N2249" s="38">
        <f>+M2249*'Failure Data'!F$3</f>
        <v>38.698333333333331</v>
      </c>
    </row>
    <row r="2250" spans="1:14" x14ac:dyDescent="0.15">
      <c r="A2250" s="1">
        <v>2241</v>
      </c>
      <c r="B2250" s="3">
        <f t="shared" si="215"/>
        <v>565.44463572007999</v>
      </c>
      <c r="C2250" s="8"/>
      <c r="D2250" s="3">
        <f t="shared" si="216"/>
        <v>559.10478571719557</v>
      </c>
      <c r="F2250" s="3">
        <f t="shared" si="217"/>
        <v>-465.44463572007999</v>
      </c>
      <c r="G2250" s="3">
        <f t="shared" si="218"/>
        <v>6.3398500028844182</v>
      </c>
      <c r="H2250" s="3">
        <f t="shared" si="219"/>
        <v>559.10478571719557</v>
      </c>
      <c r="M2250" s="1">
        <f t="shared" si="220"/>
        <v>1499</v>
      </c>
      <c r="N2250" s="38">
        <f>+M2250*'Failure Data'!F$3</f>
        <v>38.724166666666669</v>
      </c>
    </row>
    <row r="2251" spans="1:14" x14ac:dyDescent="0.15">
      <c r="A2251" s="1">
        <v>2242</v>
      </c>
      <c r="B2251" s="3">
        <f t="shared" si="215"/>
        <v>565.69553920545195</v>
      </c>
      <c r="C2251" s="8"/>
      <c r="D2251" s="3">
        <f t="shared" si="216"/>
        <v>559.35568920256765</v>
      </c>
      <c r="F2251" s="3">
        <f t="shared" si="217"/>
        <v>-465.69553920545195</v>
      </c>
      <c r="G2251" s="3">
        <f t="shared" si="218"/>
        <v>6.3398500028843046</v>
      </c>
      <c r="H2251" s="3">
        <f t="shared" si="219"/>
        <v>559.35568920256765</v>
      </c>
      <c r="M2251" s="1">
        <f t="shared" si="220"/>
        <v>1500</v>
      </c>
      <c r="N2251" s="38">
        <f>+M2251*'Failure Data'!F$3</f>
        <v>38.75</v>
      </c>
    </row>
    <row r="2252" spans="1:14" x14ac:dyDescent="0.15">
      <c r="A2252" s="1">
        <v>2243</v>
      </c>
      <c r="B2252" s="3">
        <f t="shared" si="215"/>
        <v>565.94644269082403</v>
      </c>
      <c r="C2252" s="8"/>
      <c r="D2252" s="3">
        <f t="shared" si="216"/>
        <v>559.60659268793961</v>
      </c>
      <c r="F2252" s="3">
        <f t="shared" si="217"/>
        <v>-465.94644269082403</v>
      </c>
      <c r="G2252" s="3">
        <f t="shared" si="218"/>
        <v>6.3398500028844182</v>
      </c>
      <c r="H2252" s="3">
        <f t="shared" si="219"/>
        <v>559.60659268793961</v>
      </c>
      <c r="M2252" s="1">
        <f t="shared" si="220"/>
        <v>1501</v>
      </c>
      <c r="N2252" s="38">
        <f>+M2252*'Failure Data'!F$3</f>
        <v>38.775833333333331</v>
      </c>
    </row>
    <row r="2253" spans="1:14" x14ac:dyDescent="0.15">
      <c r="A2253" s="1">
        <v>2244</v>
      </c>
      <c r="B2253" s="3">
        <f t="shared" si="215"/>
        <v>566.19734617619599</v>
      </c>
      <c r="C2253" s="8"/>
      <c r="D2253" s="3">
        <f t="shared" si="216"/>
        <v>559.85749617331157</v>
      </c>
      <c r="F2253" s="3">
        <f t="shared" si="217"/>
        <v>-466.19734617619599</v>
      </c>
      <c r="G2253" s="3">
        <f t="shared" si="218"/>
        <v>6.3398500028844182</v>
      </c>
      <c r="H2253" s="3">
        <f t="shared" si="219"/>
        <v>559.85749617331157</v>
      </c>
      <c r="M2253" s="1">
        <f t="shared" si="220"/>
        <v>1502</v>
      </c>
      <c r="N2253" s="38">
        <f>+M2253*'Failure Data'!F$3</f>
        <v>38.801666666666669</v>
      </c>
    </row>
    <row r="2254" spans="1:14" x14ac:dyDescent="0.15">
      <c r="A2254" s="1">
        <v>2245</v>
      </c>
      <c r="B2254" s="3">
        <f t="shared" si="215"/>
        <v>566.44824966156796</v>
      </c>
      <c r="C2254" s="8"/>
      <c r="D2254" s="3">
        <f t="shared" si="216"/>
        <v>560.10839965868354</v>
      </c>
      <c r="F2254" s="3">
        <f t="shared" si="217"/>
        <v>-466.44824966156796</v>
      </c>
      <c r="G2254" s="3">
        <f t="shared" si="218"/>
        <v>6.3398500028844182</v>
      </c>
      <c r="H2254" s="3">
        <f t="shared" si="219"/>
        <v>560.10839965868354</v>
      </c>
      <c r="M2254" s="1">
        <f t="shared" si="220"/>
        <v>1503</v>
      </c>
      <c r="N2254" s="38">
        <f>+M2254*'Failure Data'!F$3</f>
        <v>38.827500000000001</v>
      </c>
    </row>
    <row r="2255" spans="1:14" x14ac:dyDescent="0.15">
      <c r="A2255" s="1">
        <v>2246</v>
      </c>
      <c r="B2255" s="3">
        <f t="shared" si="215"/>
        <v>566.69915314694003</v>
      </c>
      <c r="C2255" s="8"/>
      <c r="D2255" s="3">
        <f t="shared" si="216"/>
        <v>560.35930314405562</v>
      </c>
      <c r="F2255" s="3">
        <f t="shared" si="217"/>
        <v>-466.69915314694003</v>
      </c>
      <c r="G2255" s="3">
        <f t="shared" si="218"/>
        <v>6.3398500028844182</v>
      </c>
      <c r="H2255" s="3">
        <f t="shared" si="219"/>
        <v>560.35930314405562</v>
      </c>
      <c r="M2255" s="1">
        <f t="shared" si="220"/>
        <v>1504</v>
      </c>
      <c r="N2255" s="38">
        <f>+M2255*'Failure Data'!F$3</f>
        <v>38.853333333333332</v>
      </c>
    </row>
    <row r="2256" spans="1:14" x14ac:dyDescent="0.15">
      <c r="A2256" s="1">
        <v>2247</v>
      </c>
      <c r="B2256" s="3">
        <f t="shared" si="215"/>
        <v>566.950056632312</v>
      </c>
      <c r="C2256" s="8"/>
      <c r="D2256" s="3">
        <f t="shared" si="216"/>
        <v>560.61020662942758</v>
      </c>
      <c r="F2256" s="3">
        <f t="shared" si="217"/>
        <v>-466.950056632312</v>
      </c>
      <c r="G2256" s="3">
        <f t="shared" si="218"/>
        <v>6.3398500028844182</v>
      </c>
      <c r="H2256" s="3">
        <f t="shared" si="219"/>
        <v>560.61020662942758</v>
      </c>
      <c r="M2256" s="1">
        <f t="shared" si="220"/>
        <v>1505</v>
      </c>
      <c r="N2256" s="38">
        <f>+M2256*'Failure Data'!F$3</f>
        <v>38.879166666666663</v>
      </c>
    </row>
    <row r="2257" spans="1:14" x14ac:dyDescent="0.15">
      <c r="A2257" s="1">
        <v>2248</v>
      </c>
      <c r="B2257" s="3">
        <f t="shared" si="215"/>
        <v>567.20096011768396</v>
      </c>
      <c r="C2257" s="8"/>
      <c r="D2257" s="3">
        <f t="shared" si="216"/>
        <v>560.86111011479954</v>
      </c>
      <c r="F2257" s="3">
        <f t="shared" si="217"/>
        <v>-467.20096011768396</v>
      </c>
      <c r="G2257" s="3">
        <f t="shared" si="218"/>
        <v>6.3398500028844182</v>
      </c>
      <c r="H2257" s="3">
        <f t="shared" si="219"/>
        <v>560.86111011479954</v>
      </c>
      <c r="M2257" s="1">
        <f t="shared" si="220"/>
        <v>1506</v>
      </c>
      <c r="N2257" s="38">
        <f>+M2257*'Failure Data'!F$3</f>
        <v>38.905000000000001</v>
      </c>
    </row>
    <row r="2258" spans="1:14" x14ac:dyDescent="0.15">
      <c r="A2258" s="1">
        <v>2249</v>
      </c>
      <c r="B2258" s="3">
        <f t="shared" si="215"/>
        <v>567.45186360305593</v>
      </c>
      <c r="C2258" s="8"/>
      <c r="D2258" s="3">
        <f t="shared" si="216"/>
        <v>561.11201360017151</v>
      </c>
      <c r="F2258" s="3">
        <f t="shared" si="217"/>
        <v>-467.45186360305593</v>
      </c>
      <c r="G2258" s="3">
        <f t="shared" si="218"/>
        <v>6.3398500028844182</v>
      </c>
      <c r="H2258" s="3">
        <f t="shared" si="219"/>
        <v>561.11201360017151</v>
      </c>
      <c r="M2258" s="1">
        <f t="shared" si="220"/>
        <v>1507</v>
      </c>
      <c r="N2258" s="38">
        <f>+M2258*'Failure Data'!F$3</f>
        <v>38.930833333333332</v>
      </c>
    </row>
    <row r="2259" spans="1:14" x14ac:dyDescent="0.15">
      <c r="A2259" s="1">
        <v>2250</v>
      </c>
      <c r="B2259" s="3">
        <f t="shared" si="215"/>
        <v>567.702767088428</v>
      </c>
      <c r="C2259" s="8"/>
      <c r="D2259" s="3">
        <f t="shared" si="216"/>
        <v>561.36291708554359</v>
      </c>
      <c r="F2259" s="3">
        <f t="shared" si="217"/>
        <v>-467.702767088428</v>
      </c>
      <c r="G2259" s="3">
        <f t="shared" si="218"/>
        <v>6.3398500028844182</v>
      </c>
      <c r="H2259" s="3">
        <f t="shared" si="219"/>
        <v>561.36291708554359</v>
      </c>
      <c r="M2259" s="1">
        <f t="shared" si="220"/>
        <v>1508</v>
      </c>
      <c r="N2259" s="38">
        <f>+M2259*'Failure Data'!F$3</f>
        <v>38.956666666666663</v>
      </c>
    </row>
    <row r="2260" spans="1:14" x14ac:dyDescent="0.15">
      <c r="A2260" s="1">
        <v>2251</v>
      </c>
      <c r="B2260" s="3">
        <f t="shared" si="215"/>
        <v>567.95367057379997</v>
      </c>
      <c r="C2260" s="8"/>
      <c r="D2260" s="3">
        <f t="shared" si="216"/>
        <v>561.61382057091555</v>
      </c>
      <c r="F2260" s="3">
        <f t="shared" si="217"/>
        <v>-467.95367057379997</v>
      </c>
      <c r="G2260" s="3">
        <f t="shared" si="218"/>
        <v>6.3398500028844182</v>
      </c>
      <c r="H2260" s="3">
        <f t="shared" si="219"/>
        <v>561.61382057091555</v>
      </c>
      <c r="M2260" s="1">
        <f t="shared" si="220"/>
        <v>1509</v>
      </c>
      <c r="N2260" s="38">
        <f>+M2260*'Failure Data'!F$3</f>
        <v>38.982500000000002</v>
      </c>
    </row>
    <row r="2261" spans="1:14" x14ac:dyDescent="0.15">
      <c r="A2261" s="1">
        <v>2252</v>
      </c>
      <c r="B2261" s="3">
        <f t="shared" si="215"/>
        <v>568.20457405917193</v>
      </c>
      <c r="C2261" s="8"/>
      <c r="D2261" s="3">
        <f t="shared" si="216"/>
        <v>561.86472405628751</v>
      </c>
      <c r="F2261" s="3">
        <f t="shared" si="217"/>
        <v>-468.20457405917193</v>
      </c>
      <c r="G2261" s="3">
        <f t="shared" si="218"/>
        <v>6.3398500028844182</v>
      </c>
      <c r="H2261" s="3">
        <f t="shared" si="219"/>
        <v>561.86472405628751</v>
      </c>
      <c r="M2261" s="1">
        <f t="shared" si="220"/>
        <v>1510</v>
      </c>
      <c r="N2261" s="38">
        <f>+M2261*'Failure Data'!F$3</f>
        <v>39.008333333333333</v>
      </c>
    </row>
    <row r="2262" spans="1:14" x14ac:dyDescent="0.15">
      <c r="A2262" s="1">
        <v>2253</v>
      </c>
      <c r="B2262" s="3">
        <f t="shared" si="215"/>
        <v>568.4554775445439</v>
      </c>
      <c r="C2262" s="8"/>
      <c r="D2262" s="3">
        <f t="shared" si="216"/>
        <v>562.11562754165948</v>
      </c>
      <c r="F2262" s="3">
        <f t="shared" si="217"/>
        <v>-468.4554775445439</v>
      </c>
      <c r="G2262" s="3">
        <f t="shared" si="218"/>
        <v>6.3398500028844182</v>
      </c>
      <c r="H2262" s="3">
        <f t="shared" si="219"/>
        <v>562.11562754165948</v>
      </c>
      <c r="M2262" s="1">
        <f t="shared" si="220"/>
        <v>1511</v>
      </c>
      <c r="N2262" s="38">
        <f>+M2262*'Failure Data'!F$3</f>
        <v>39.034166666666664</v>
      </c>
    </row>
    <row r="2263" spans="1:14" x14ac:dyDescent="0.15">
      <c r="A2263" s="1">
        <v>2254</v>
      </c>
      <c r="B2263" s="3">
        <f t="shared" si="215"/>
        <v>568.70638102991597</v>
      </c>
      <c r="C2263" s="8"/>
      <c r="D2263" s="3">
        <f t="shared" si="216"/>
        <v>562.36653102703156</v>
      </c>
      <c r="F2263" s="3">
        <f t="shared" si="217"/>
        <v>-468.70638102991597</v>
      </c>
      <c r="G2263" s="3">
        <f t="shared" si="218"/>
        <v>6.3398500028844182</v>
      </c>
      <c r="H2263" s="3">
        <f t="shared" si="219"/>
        <v>562.36653102703156</v>
      </c>
      <c r="M2263" s="1">
        <f t="shared" si="220"/>
        <v>1512</v>
      </c>
      <c r="N2263" s="38">
        <f>+M2263*'Failure Data'!F$3</f>
        <v>39.06</v>
      </c>
    </row>
    <row r="2264" spans="1:14" x14ac:dyDescent="0.15">
      <c r="A2264" s="1">
        <v>2255</v>
      </c>
      <c r="B2264" s="3">
        <f t="shared" si="215"/>
        <v>568.95728451528794</v>
      </c>
      <c r="C2264" s="8"/>
      <c r="D2264" s="3">
        <f t="shared" si="216"/>
        <v>562.61743451240352</v>
      </c>
      <c r="F2264" s="3">
        <f t="shared" si="217"/>
        <v>-468.95728451528794</v>
      </c>
      <c r="G2264" s="3">
        <f t="shared" si="218"/>
        <v>6.3398500028844182</v>
      </c>
      <c r="H2264" s="3">
        <f t="shared" si="219"/>
        <v>562.61743451240352</v>
      </c>
      <c r="M2264" s="1">
        <f t="shared" si="220"/>
        <v>1513</v>
      </c>
      <c r="N2264" s="38">
        <f>+M2264*'Failure Data'!F$3</f>
        <v>39.085833333333333</v>
      </c>
    </row>
    <row r="2265" spans="1:14" x14ac:dyDescent="0.15">
      <c r="A2265" s="1">
        <v>2256</v>
      </c>
      <c r="B2265" s="3">
        <f t="shared" si="215"/>
        <v>569.2081880006599</v>
      </c>
      <c r="C2265" s="8"/>
      <c r="D2265" s="3">
        <f t="shared" si="216"/>
        <v>562.86833799777548</v>
      </c>
      <c r="F2265" s="3">
        <f t="shared" si="217"/>
        <v>-469.2081880006599</v>
      </c>
      <c r="G2265" s="3">
        <f t="shared" si="218"/>
        <v>6.3398500028844182</v>
      </c>
      <c r="H2265" s="3">
        <f t="shared" si="219"/>
        <v>562.86833799777548</v>
      </c>
      <c r="M2265" s="1">
        <f t="shared" si="220"/>
        <v>1514</v>
      </c>
      <c r="N2265" s="38">
        <f>+M2265*'Failure Data'!F$3</f>
        <v>39.111666666666665</v>
      </c>
    </row>
    <row r="2266" spans="1:14" x14ac:dyDescent="0.15">
      <c r="A2266" s="1">
        <v>2257</v>
      </c>
      <c r="B2266" s="3">
        <f t="shared" si="215"/>
        <v>569.45909148603187</v>
      </c>
      <c r="C2266" s="8"/>
      <c r="D2266" s="3">
        <f t="shared" si="216"/>
        <v>563.11924148314745</v>
      </c>
      <c r="F2266" s="3">
        <f t="shared" si="217"/>
        <v>-469.45909148603187</v>
      </c>
      <c r="G2266" s="3">
        <f t="shared" si="218"/>
        <v>6.3398500028844182</v>
      </c>
      <c r="H2266" s="3">
        <f t="shared" si="219"/>
        <v>563.11924148314745</v>
      </c>
      <c r="M2266" s="1">
        <f t="shared" si="220"/>
        <v>1515</v>
      </c>
      <c r="N2266" s="38">
        <f>+M2266*'Failure Data'!F$3</f>
        <v>39.137500000000003</v>
      </c>
    </row>
    <row r="2267" spans="1:14" x14ac:dyDescent="0.15">
      <c r="A2267" s="1">
        <v>2258</v>
      </c>
      <c r="B2267" s="3">
        <f t="shared" si="215"/>
        <v>569.70999497140394</v>
      </c>
      <c r="C2267" s="8"/>
      <c r="D2267" s="3">
        <f t="shared" si="216"/>
        <v>563.37014496851953</v>
      </c>
      <c r="F2267" s="3">
        <f t="shared" si="217"/>
        <v>-469.70999497140394</v>
      </c>
      <c r="G2267" s="3">
        <f t="shared" si="218"/>
        <v>6.3398500028844182</v>
      </c>
      <c r="H2267" s="3">
        <f t="shared" si="219"/>
        <v>563.37014496851953</v>
      </c>
      <c r="M2267" s="1">
        <f t="shared" si="220"/>
        <v>1516</v>
      </c>
      <c r="N2267" s="38">
        <f>+M2267*'Failure Data'!F$3</f>
        <v>39.163333333333334</v>
      </c>
    </row>
    <row r="2268" spans="1:14" x14ac:dyDescent="0.15">
      <c r="A2268" s="1">
        <v>2259</v>
      </c>
      <c r="B2268" s="3">
        <f t="shared" si="215"/>
        <v>569.96089845677591</v>
      </c>
      <c r="C2268" s="8"/>
      <c r="D2268" s="3">
        <f t="shared" si="216"/>
        <v>563.62104845389149</v>
      </c>
      <c r="F2268" s="3">
        <f t="shared" si="217"/>
        <v>-469.96089845677591</v>
      </c>
      <c r="G2268" s="3">
        <f t="shared" si="218"/>
        <v>6.3398500028844182</v>
      </c>
      <c r="H2268" s="3">
        <f t="shared" si="219"/>
        <v>563.62104845389149</v>
      </c>
      <c r="M2268" s="1">
        <f t="shared" si="220"/>
        <v>1517</v>
      </c>
      <c r="N2268" s="38">
        <f>+M2268*'Failure Data'!F$3</f>
        <v>39.189166666666665</v>
      </c>
    </row>
    <row r="2269" spans="1:14" x14ac:dyDescent="0.15">
      <c r="A2269" s="1">
        <v>2260</v>
      </c>
      <c r="B2269" s="3">
        <f t="shared" si="215"/>
        <v>570.21180194214787</v>
      </c>
      <c r="C2269" s="8"/>
      <c r="D2269" s="3">
        <f t="shared" si="216"/>
        <v>563.87195193926345</v>
      </c>
      <c r="F2269" s="3">
        <f t="shared" si="217"/>
        <v>-470.21180194214787</v>
      </c>
      <c r="G2269" s="3">
        <f t="shared" si="218"/>
        <v>6.3398500028844182</v>
      </c>
      <c r="H2269" s="3">
        <f t="shared" si="219"/>
        <v>563.87195193926345</v>
      </c>
      <c r="M2269" s="1">
        <f t="shared" si="220"/>
        <v>1518</v>
      </c>
      <c r="N2269" s="38">
        <f>+M2269*'Failure Data'!F$3</f>
        <v>39.214999999999996</v>
      </c>
    </row>
    <row r="2270" spans="1:14" x14ac:dyDescent="0.15">
      <c r="A2270" s="1">
        <v>2261</v>
      </c>
      <c r="B2270" s="3">
        <f t="shared" si="215"/>
        <v>570.46270542751984</v>
      </c>
      <c r="C2270" s="8"/>
      <c r="D2270" s="3">
        <f t="shared" si="216"/>
        <v>564.12285542463553</v>
      </c>
      <c r="F2270" s="3">
        <f t="shared" si="217"/>
        <v>-470.46270542751984</v>
      </c>
      <c r="G2270" s="3">
        <f t="shared" si="218"/>
        <v>6.3398500028843046</v>
      </c>
      <c r="H2270" s="3">
        <f t="shared" si="219"/>
        <v>564.12285542463553</v>
      </c>
      <c r="M2270" s="1">
        <f t="shared" si="220"/>
        <v>1519</v>
      </c>
      <c r="N2270" s="38">
        <f>+M2270*'Failure Data'!F$3</f>
        <v>39.240833333333335</v>
      </c>
    </row>
    <row r="2271" spans="1:14" x14ac:dyDescent="0.15">
      <c r="A2271" s="1">
        <v>2262</v>
      </c>
      <c r="B2271" s="3">
        <f t="shared" ref="B2271:B2334" si="221">+(B$4*A2271)+B$5</f>
        <v>570.71360891289191</v>
      </c>
      <c r="C2271" s="8"/>
      <c r="D2271" s="3">
        <f t="shared" ref="D2271:D2334" si="222">+(D$4*A2271)+D$5</f>
        <v>564.3737589100075</v>
      </c>
      <c r="F2271" s="3">
        <f t="shared" ref="F2271:F2334" si="223">+xmax-B2271</f>
        <v>-470.71360891289191</v>
      </c>
      <c r="G2271" s="3">
        <f t="shared" ref="G2271:G2334" si="224">+B2271-D2271</f>
        <v>6.3398500028844182</v>
      </c>
      <c r="H2271" s="3">
        <f t="shared" ref="H2271:H2334" si="225">D2271</f>
        <v>564.3737589100075</v>
      </c>
      <c r="M2271" s="1">
        <f t="shared" si="220"/>
        <v>1520</v>
      </c>
      <c r="N2271" s="38">
        <f>+M2271*'Failure Data'!F$3</f>
        <v>39.266666666666666</v>
      </c>
    </row>
    <row r="2272" spans="1:14" x14ac:dyDescent="0.15">
      <c r="A2272" s="1">
        <v>2263</v>
      </c>
      <c r="B2272" s="3">
        <f t="shared" si="221"/>
        <v>570.96451239826388</v>
      </c>
      <c r="C2272" s="8"/>
      <c r="D2272" s="3">
        <f t="shared" si="222"/>
        <v>564.62466239537946</v>
      </c>
      <c r="F2272" s="3">
        <f t="shared" si="223"/>
        <v>-470.96451239826388</v>
      </c>
      <c r="G2272" s="3">
        <f t="shared" si="224"/>
        <v>6.3398500028844182</v>
      </c>
      <c r="H2272" s="3">
        <f t="shared" si="225"/>
        <v>564.62466239537946</v>
      </c>
      <c r="M2272" s="1">
        <f t="shared" si="220"/>
        <v>1521</v>
      </c>
      <c r="N2272" s="38">
        <f>+M2272*'Failure Data'!F$3</f>
        <v>39.292499999999997</v>
      </c>
    </row>
    <row r="2273" spans="1:14" x14ac:dyDescent="0.15">
      <c r="A2273" s="1">
        <v>2264</v>
      </c>
      <c r="B2273" s="3">
        <f t="shared" si="221"/>
        <v>571.21541588363584</v>
      </c>
      <c r="C2273" s="8"/>
      <c r="D2273" s="3">
        <f t="shared" si="222"/>
        <v>564.87556588075142</v>
      </c>
      <c r="F2273" s="3">
        <f t="shared" si="223"/>
        <v>-471.21541588363584</v>
      </c>
      <c r="G2273" s="3">
        <f t="shared" si="224"/>
        <v>6.3398500028844182</v>
      </c>
      <c r="H2273" s="3">
        <f t="shared" si="225"/>
        <v>564.87556588075142</v>
      </c>
      <c r="M2273" s="1">
        <f t="shared" si="220"/>
        <v>1522</v>
      </c>
      <c r="N2273" s="38">
        <f>+M2273*'Failure Data'!F$3</f>
        <v>39.318333333333335</v>
      </c>
    </row>
    <row r="2274" spans="1:14" x14ac:dyDescent="0.15">
      <c r="A2274" s="1">
        <v>2265</v>
      </c>
      <c r="B2274" s="3">
        <f t="shared" si="221"/>
        <v>571.46631936900781</v>
      </c>
      <c r="C2274" s="8"/>
      <c r="D2274" s="3">
        <f t="shared" si="222"/>
        <v>565.1264693661235</v>
      </c>
      <c r="F2274" s="3">
        <f t="shared" si="223"/>
        <v>-471.46631936900781</v>
      </c>
      <c r="G2274" s="3">
        <f t="shared" si="224"/>
        <v>6.3398500028843046</v>
      </c>
      <c r="H2274" s="3">
        <f t="shared" si="225"/>
        <v>565.1264693661235</v>
      </c>
      <c r="M2274" s="1">
        <f t="shared" si="220"/>
        <v>1523</v>
      </c>
      <c r="N2274" s="38">
        <f>+M2274*'Failure Data'!F$3</f>
        <v>39.344166666666666</v>
      </c>
    </row>
    <row r="2275" spans="1:14" x14ac:dyDescent="0.15">
      <c r="A2275" s="1">
        <v>2266</v>
      </c>
      <c r="B2275" s="3">
        <f t="shared" si="221"/>
        <v>571.71722285437988</v>
      </c>
      <c r="C2275" s="8"/>
      <c r="D2275" s="3">
        <f t="shared" si="222"/>
        <v>565.37737285149547</v>
      </c>
      <c r="F2275" s="3">
        <f t="shared" si="223"/>
        <v>-471.71722285437988</v>
      </c>
      <c r="G2275" s="3">
        <f t="shared" si="224"/>
        <v>6.3398500028844182</v>
      </c>
      <c r="H2275" s="3">
        <f t="shared" si="225"/>
        <v>565.37737285149547</v>
      </c>
      <c r="M2275" s="1">
        <f t="shared" si="220"/>
        <v>1524</v>
      </c>
      <c r="N2275" s="38">
        <f>+M2275*'Failure Data'!F$3</f>
        <v>39.369999999999997</v>
      </c>
    </row>
    <row r="2276" spans="1:14" x14ac:dyDescent="0.15">
      <c r="A2276" s="1">
        <v>2267</v>
      </c>
      <c r="B2276" s="3">
        <f t="shared" si="221"/>
        <v>571.96812633975185</v>
      </c>
      <c r="C2276" s="8"/>
      <c r="D2276" s="3">
        <f t="shared" si="222"/>
        <v>565.62827633686743</v>
      </c>
      <c r="F2276" s="3">
        <f t="shared" si="223"/>
        <v>-471.96812633975185</v>
      </c>
      <c r="G2276" s="3">
        <f t="shared" si="224"/>
        <v>6.3398500028844182</v>
      </c>
      <c r="H2276" s="3">
        <f t="shared" si="225"/>
        <v>565.62827633686743</v>
      </c>
      <c r="M2276" s="1">
        <f t="shared" si="220"/>
        <v>1525</v>
      </c>
      <c r="N2276" s="38">
        <f>+M2276*'Failure Data'!F$3</f>
        <v>39.395833333333336</v>
      </c>
    </row>
    <row r="2277" spans="1:14" x14ac:dyDescent="0.15">
      <c r="A2277" s="1">
        <v>2268</v>
      </c>
      <c r="B2277" s="3">
        <f t="shared" si="221"/>
        <v>572.21902982512381</v>
      </c>
      <c r="C2277" s="8"/>
      <c r="D2277" s="3">
        <f t="shared" si="222"/>
        <v>565.87917982223939</v>
      </c>
      <c r="F2277" s="3">
        <f t="shared" si="223"/>
        <v>-472.21902982512381</v>
      </c>
      <c r="G2277" s="3">
        <f t="shared" si="224"/>
        <v>6.3398500028844182</v>
      </c>
      <c r="H2277" s="3">
        <f t="shared" si="225"/>
        <v>565.87917982223939</v>
      </c>
      <c r="M2277" s="1">
        <f t="shared" si="220"/>
        <v>1526</v>
      </c>
      <c r="N2277" s="38">
        <f>+M2277*'Failure Data'!F$3</f>
        <v>39.421666666666667</v>
      </c>
    </row>
    <row r="2278" spans="1:14" x14ac:dyDescent="0.15">
      <c r="A2278" s="1">
        <v>2269</v>
      </c>
      <c r="B2278" s="3">
        <f t="shared" si="221"/>
        <v>572.46993331049589</v>
      </c>
      <c r="C2278" s="8"/>
      <c r="D2278" s="3">
        <f t="shared" si="222"/>
        <v>566.13008330761147</v>
      </c>
      <c r="F2278" s="3">
        <f t="shared" si="223"/>
        <v>-472.46993331049589</v>
      </c>
      <c r="G2278" s="3">
        <f t="shared" si="224"/>
        <v>6.3398500028844182</v>
      </c>
      <c r="H2278" s="3">
        <f t="shared" si="225"/>
        <v>566.13008330761147</v>
      </c>
      <c r="M2278" s="1">
        <f t="shared" si="220"/>
        <v>1527</v>
      </c>
      <c r="N2278" s="38">
        <f>+M2278*'Failure Data'!F$3</f>
        <v>39.447499999999998</v>
      </c>
    </row>
    <row r="2279" spans="1:14" x14ac:dyDescent="0.15">
      <c r="A2279" s="1">
        <v>2270</v>
      </c>
      <c r="B2279" s="3">
        <f t="shared" si="221"/>
        <v>572.72083679586785</v>
      </c>
      <c r="C2279" s="8"/>
      <c r="D2279" s="3">
        <f t="shared" si="222"/>
        <v>566.38098679298344</v>
      </c>
      <c r="F2279" s="3">
        <f t="shared" si="223"/>
        <v>-472.72083679586785</v>
      </c>
      <c r="G2279" s="3">
        <f t="shared" si="224"/>
        <v>6.3398500028844182</v>
      </c>
      <c r="H2279" s="3">
        <f t="shared" si="225"/>
        <v>566.38098679298344</v>
      </c>
      <c r="M2279" s="1">
        <f t="shared" si="220"/>
        <v>1528</v>
      </c>
      <c r="N2279" s="38">
        <f>+M2279*'Failure Data'!F$3</f>
        <v>39.473333333333336</v>
      </c>
    </row>
    <row r="2280" spans="1:14" x14ac:dyDescent="0.15">
      <c r="A2280" s="1">
        <v>2271</v>
      </c>
      <c r="B2280" s="3">
        <f t="shared" si="221"/>
        <v>572.97174028123982</v>
      </c>
      <c r="C2280" s="8"/>
      <c r="D2280" s="3">
        <f t="shared" si="222"/>
        <v>566.6318902783554</v>
      </c>
      <c r="F2280" s="3">
        <f t="shared" si="223"/>
        <v>-472.97174028123982</v>
      </c>
      <c r="G2280" s="3">
        <f t="shared" si="224"/>
        <v>6.3398500028844182</v>
      </c>
      <c r="H2280" s="3">
        <f t="shared" si="225"/>
        <v>566.6318902783554</v>
      </c>
      <c r="M2280" s="1">
        <f t="shared" si="220"/>
        <v>1529</v>
      </c>
      <c r="N2280" s="38">
        <f>+M2280*'Failure Data'!F$3</f>
        <v>39.499166666666667</v>
      </c>
    </row>
    <row r="2281" spans="1:14" x14ac:dyDescent="0.15">
      <c r="A2281" s="1">
        <v>2272</v>
      </c>
      <c r="B2281" s="3">
        <f t="shared" si="221"/>
        <v>573.22264376661178</v>
      </c>
      <c r="C2281" s="8"/>
      <c r="D2281" s="3">
        <f t="shared" si="222"/>
        <v>566.88279376372736</v>
      </c>
      <c r="F2281" s="3">
        <f t="shared" si="223"/>
        <v>-473.22264376661178</v>
      </c>
      <c r="G2281" s="3">
        <f t="shared" si="224"/>
        <v>6.3398500028844182</v>
      </c>
      <c r="H2281" s="3">
        <f t="shared" si="225"/>
        <v>566.88279376372736</v>
      </c>
      <c r="M2281" s="1">
        <f t="shared" si="220"/>
        <v>1530</v>
      </c>
      <c r="N2281" s="38">
        <f>+M2281*'Failure Data'!F$3</f>
        <v>39.524999999999999</v>
      </c>
    </row>
    <row r="2282" spans="1:14" x14ac:dyDescent="0.15">
      <c r="A2282" s="1">
        <v>2273</v>
      </c>
      <c r="B2282" s="3">
        <f t="shared" si="221"/>
        <v>573.47354725198386</v>
      </c>
      <c r="C2282" s="8"/>
      <c r="D2282" s="3">
        <f t="shared" si="222"/>
        <v>567.13369724909944</v>
      </c>
      <c r="F2282" s="3">
        <f t="shared" si="223"/>
        <v>-473.47354725198386</v>
      </c>
      <c r="G2282" s="3">
        <f t="shared" si="224"/>
        <v>6.3398500028844182</v>
      </c>
      <c r="H2282" s="3">
        <f t="shared" si="225"/>
        <v>567.13369724909944</v>
      </c>
      <c r="M2282" s="1">
        <f t="shared" si="220"/>
        <v>1531</v>
      </c>
      <c r="N2282" s="38">
        <f>+M2282*'Failure Data'!F$3</f>
        <v>39.55083333333333</v>
      </c>
    </row>
    <row r="2283" spans="1:14" x14ac:dyDescent="0.15">
      <c r="A2283" s="1">
        <v>2274</v>
      </c>
      <c r="B2283" s="3">
        <f t="shared" si="221"/>
        <v>573.72445073735582</v>
      </c>
      <c r="C2283" s="8"/>
      <c r="D2283" s="3">
        <f t="shared" si="222"/>
        <v>567.38460073447141</v>
      </c>
      <c r="F2283" s="3">
        <f t="shared" si="223"/>
        <v>-473.72445073735582</v>
      </c>
      <c r="G2283" s="3">
        <f t="shared" si="224"/>
        <v>6.3398500028844182</v>
      </c>
      <c r="H2283" s="3">
        <f t="shared" si="225"/>
        <v>567.38460073447141</v>
      </c>
      <c r="M2283" s="1">
        <f t="shared" si="220"/>
        <v>1532</v>
      </c>
      <c r="N2283" s="38">
        <f>+M2283*'Failure Data'!F$3</f>
        <v>39.576666666666668</v>
      </c>
    </row>
    <row r="2284" spans="1:14" x14ac:dyDescent="0.15">
      <c r="A2284" s="1">
        <v>2275</v>
      </c>
      <c r="B2284" s="3">
        <f t="shared" si="221"/>
        <v>573.97535422272779</v>
      </c>
      <c r="C2284" s="8"/>
      <c r="D2284" s="3">
        <f t="shared" si="222"/>
        <v>567.63550421984337</v>
      </c>
      <c r="F2284" s="3">
        <f t="shared" si="223"/>
        <v>-473.97535422272779</v>
      </c>
      <c r="G2284" s="3">
        <f t="shared" si="224"/>
        <v>6.3398500028844182</v>
      </c>
      <c r="H2284" s="3">
        <f t="shared" si="225"/>
        <v>567.63550421984337</v>
      </c>
      <c r="M2284" s="1">
        <f t="shared" si="220"/>
        <v>1533</v>
      </c>
      <c r="N2284" s="38">
        <f>+M2284*'Failure Data'!F$3</f>
        <v>39.602499999999999</v>
      </c>
    </row>
    <row r="2285" spans="1:14" x14ac:dyDescent="0.15">
      <c r="A2285" s="1">
        <v>2276</v>
      </c>
      <c r="B2285" s="3">
        <f t="shared" si="221"/>
        <v>574.22625770809975</v>
      </c>
      <c r="C2285" s="8"/>
      <c r="D2285" s="3">
        <f t="shared" si="222"/>
        <v>567.88640770521533</v>
      </c>
      <c r="F2285" s="3">
        <f t="shared" si="223"/>
        <v>-474.22625770809975</v>
      </c>
      <c r="G2285" s="3">
        <f t="shared" si="224"/>
        <v>6.3398500028844182</v>
      </c>
      <c r="H2285" s="3">
        <f t="shared" si="225"/>
        <v>567.88640770521533</v>
      </c>
      <c r="M2285" s="1">
        <f t="shared" si="220"/>
        <v>1534</v>
      </c>
      <c r="N2285" s="38">
        <f>+M2285*'Failure Data'!F$3</f>
        <v>39.62833333333333</v>
      </c>
    </row>
    <row r="2286" spans="1:14" x14ac:dyDescent="0.15">
      <c r="A2286" s="1">
        <v>2277</v>
      </c>
      <c r="B2286" s="3">
        <f t="shared" si="221"/>
        <v>574.47716119347183</v>
      </c>
      <c r="C2286" s="8"/>
      <c r="D2286" s="3">
        <f t="shared" si="222"/>
        <v>568.13731119058741</v>
      </c>
      <c r="F2286" s="3">
        <f t="shared" si="223"/>
        <v>-474.47716119347183</v>
      </c>
      <c r="G2286" s="3">
        <f t="shared" si="224"/>
        <v>6.3398500028844182</v>
      </c>
      <c r="H2286" s="3">
        <f t="shared" si="225"/>
        <v>568.13731119058741</v>
      </c>
      <c r="M2286" s="1">
        <f t="shared" si="220"/>
        <v>1535</v>
      </c>
      <c r="N2286" s="38">
        <f>+M2286*'Failure Data'!F$3</f>
        <v>39.654166666666669</v>
      </c>
    </row>
    <row r="2287" spans="1:14" x14ac:dyDescent="0.15">
      <c r="A2287" s="1">
        <v>2278</v>
      </c>
      <c r="B2287" s="3">
        <f t="shared" si="221"/>
        <v>574.72806467884379</v>
      </c>
      <c r="C2287" s="8"/>
      <c r="D2287" s="3">
        <f t="shared" si="222"/>
        <v>568.38821467595938</v>
      </c>
      <c r="F2287" s="3">
        <f t="shared" si="223"/>
        <v>-474.72806467884379</v>
      </c>
      <c r="G2287" s="3">
        <f t="shared" si="224"/>
        <v>6.3398500028844182</v>
      </c>
      <c r="H2287" s="3">
        <f t="shared" si="225"/>
        <v>568.38821467595938</v>
      </c>
      <c r="M2287" s="1">
        <f t="shared" si="220"/>
        <v>1536</v>
      </c>
      <c r="N2287" s="38">
        <f>+M2287*'Failure Data'!F$3</f>
        <v>39.68</v>
      </c>
    </row>
    <row r="2288" spans="1:14" x14ac:dyDescent="0.15">
      <c r="A2288" s="1">
        <v>2279</v>
      </c>
      <c r="B2288" s="3">
        <f t="shared" si="221"/>
        <v>574.97896816421576</v>
      </c>
      <c r="C2288" s="8"/>
      <c r="D2288" s="3">
        <f t="shared" si="222"/>
        <v>568.63911816133134</v>
      </c>
      <c r="F2288" s="3">
        <f t="shared" si="223"/>
        <v>-474.97896816421576</v>
      </c>
      <c r="G2288" s="3">
        <f t="shared" si="224"/>
        <v>6.3398500028844182</v>
      </c>
      <c r="H2288" s="3">
        <f t="shared" si="225"/>
        <v>568.63911816133134</v>
      </c>
      <c r="M2288" s="1">
        <f t="shared" si="220"/>
        <v>1537</v>
      </c>
      <c r="N2288" s="38">
        <f>+M2288*'Failure Data'!F$3</f>
        <v>39.705833333333331</v>
      </c>
    </row>
    <row r="2289" spans="1:14" x14ac:dyDescent="0.15">
      <c r="A2289" s="1">
        <v>2280</v>
      </c>
      <c r="B2289" s="3">
        <f t="shared" si="221"/>
        <v>575.22987164958772</v>
      </c>
      <c r="C2289" s="8"/>
      <c r="D2289" s="3">
        <f t="shared" si="222"/>
        <v>568.8900216467033</v>
      </c>
      <c r="F2289" s="3">
        <f t="shared" si="223"/>
        <v>-475.22987164958772</v>
      </c>
      <c r="G2289" s="3">
        <f t="shared" si="224"/>
        <v>6.3398500028844182</v>
      </c>
      <c r="H2289" s="3">
        <f t="shared" si="225"/>
        <v>568.8900216467033</v>
      </c>
      <c r="M2289" s="1">
        <f t="shared" si="220"/>
        <v>1538</v>
      </c>
      <c r="N2289" s="38">
        <f>+M2289*'Failure Data'!F$3</f>
        <v>39.731666666666669</v>
      </c>
    </row>
    <row r="2290" spans="1:14" x14ac:dyDescent="0.15">
      <c r="A2290" s="1">
        <v>2281</v>
      </c>
      <c r="B2290" s="3">
        <f t="shared" si="221"/>
        <v>575.4807751349598</v>
      </c>
      <c r="C2290" s="8"/>
      <c r="D2290" s="3">
        <f t="shared" si="222"/>
        <v>569.14092513207538</v>
      </c>
      <c r="F2290" s="3">
        <f t="shared" si="223"/>
        <v>-475.4807751349598</v>
      </c>
      <c r="G2290" s="3">
        <f t="shared" si="224"/>
        <v>6.3398500028844182</v>
      </c>
      <c r="H2290" s="3">
        <f t="shared" si="225"/>
        <v>569.14092513207538</v>
      </c>
      <c r="M2290" s="1">
        <f t="shared" si="220"/>
        <v>1539</v>
      </c>
      <c r="N2290" s="38">
        <f>+M2290*'Failure Data'!F$3</f>
        <v>39.7575</v>
      </c>
    </row>
    <row r="2291" spans="1:14" x14ac:dyDescent="0.15">
      <c r="A2291" s="1">
        <v>2282</v>
      </c>
      <c r="B2291" s="3">
        <f t="shared" si="221"/>
        <v>575.73167862033176</v>
      </c>
      <c r="C2291" s="8"/>
      <c r="D2291" s="3">
        <f t="shared" si="222"/>
        <v>569.39182861744735</v>
      </c>
      <c r="F2291" s="3">
        <f t="shared" si="223"/>
        <v>-475.73167862033176</v>
      </c>
      <c r="G2291" s="3">
        <f t="shared" si="224"/>
        <v>6.3398500028844182</v>
      </c>
      <c r="H2291" s="3">
        <f t="shared" si="225"/>
        <v>569.39182861744735</v>
      </c>
      <c r="M2291" s="1">
        <f t="shared" si="220"/>
        <v>1540</v>
      </c>
      <c r="N2291" s="38">
        <f>+M2291*'Failure Data'!F$3</f>
        <v>39.783333333333331</v>
      </c>
    </row>
    <row r="2292" spans="1:14" x14ac:dyDescent="0.15">
      <c r="A2292" s="1">
        <v>2283</v>
      </c>
      <c r="B2292" s="3">
        <f t="shared" si="221"/>
        <v>575.98258210570373</v>
      </c>
      <c r="C2292" s="8"/>
      <c r="D2292" s="3">
        <f t="shared" si="222"/>
        <v>569.64273210281931</v>
      </c>
      <c r="F2292" s="3">
        <f t="shared" si="223"/>
        <v>-475.98258210570373</v>
      </c>
      <c r="G2292" s="3">
        <f t="shared" si="224"/>
        <v>6.3398500028844182</v>
      </c>
      <c r="H2292" s="3">
        <f t="shared" si="225"/>
        <v>569.64273210281931</v>
      </c>
      <c r="M2292" s="1">
        <f t="shared" si="220"/>
        <v>1541</v>
      </c>
      <c r="N2292" s="38">
        <f>+M2292*'Failure Data'!F$3</f>
        <v>39.80916666666667</v>
      </c>
    </row>
    <row r="2293" spans="1:14" x14ac:dyDescent="0.15">
      <c r="A2293" s="1">
        <v>2284</v>
      </c>
      <c r="B2293" s="3">
        <f t="shared" si="221"/>
        <v>576.23348559107569</v>
      </c>
      <c r="C2293" s="8"/>
      <c r="D2293" s="3">
        <f t="shared" si="222"/>
        <v>569.89363558819139</v>
      </c>
      <c r="F2293" s="3">
        <f t="shared" si="223"/>
        <v>-476.23348559107569</v>
      </c>
      <c r="G2293" s="3">
        <f t="shared" si="224"/>
        <v>6.3398500028843046</v>
      </c>
      <c r="H2293" s="3">
        <f t="shared" si="225"/>
        <v>569.89363558819139</v>
      </c>
      <c r="M2293" s="1">
        <f t="shared" si="220"/>
        <v>1542</v>
      </c>
      <c r="N2293" s="38">
        <f>+M2293*'Failure Data'!F$3</f>
        <v>39.835000000000001</v>
      </c>
    </row>
    <row r="2294" spans="1:14" x14ac:dyDescent="0.15">
      <c r="A2294" s="1">
        <v>2285</v>
      </c>
      <c r="B2294" s="3">
        <f t="shared" si="221"/>
        <v>576.48438907644777</v>
      </c>
      <c r="C2294" s="8"/>
      <c r="D2294" s="3">
        <f t="shared" si="222"/>
        <v>570.14453907356335</v>
      </c>
      <c r="F2294" s="3">
        <f t="shared" si="223"/>
        <v>-476.48438907644777</v>
      </c>
      <c r="G2294" s="3">
        <f t="shared" si="224"/>
        <v>6.3398500028844182</v>
      </c>
      <c r="H2294" s="3">
        <f t="shared" si="225"/>
        <v>570.14453907356335</v>
      </c>
      <c r="M2294" s="1">
        <f t="shared" si="220"/>
        <v>1543</v>
      </c>
      <c r="N2294" s="38">
        <f>+M2294*'Failure Data'!F$3</f>
        <v>39.860833333333332</v>
      </c>
    </row>
    <row r="2295" spans="1:14" x14ac:dyDescent="0.15">
      <c r="A2295" s="1">
        <v>2286</v>
      </c>
      <c r="B2295" s="3">
        <f t="shared" si="221"/>
        <v>576.73529256181973</v>
      </c>
      <c r="C2295" s="8"/>
      <c r="D2295" s="3">
        <f t="shared" si="222"/>
        <v>570.39544255893531</v>
      </c>
      <c r="F2295" s="3">
        <f t="shared" si="223"/>
        <v>-476.73529256181973</v>
      </c>
      <c r="G2295" s="3">
        <f t="shared" si="224"/>
        <v>6.3398500028844182</v>
      </c>
      <c r="H2295" s="3">
        <f t="shared" si="225"/>
        <v>570.39544255893531</v>
      </c>
      <c r="M2295" s="1">
        <f t="shared" si="220"/>
        <v>1544</v>
      </c>
      <c r="N2295" s="38">
        <f>+M2295*'Failure Data'!F$3</f>
        <v>39.886666666666663</v>
      </c>
    </row>
    <row r="2296" spans="1:14" x14ac:dyDescent="0.15">
      <c r="A2296" s="1">
        <v>2287</v>
      </c>
      <c r="B2296" s="3">
        <f t="shared" si="221"/>
        <v>576.9861960471917</v>
      </c>
      <c r="C2296" s="8"/>
      <c r="D2296" s="3">
        <f t="shared" si="222"/>
        <v>570.64634604430728</v>
      </c>
      <c r="F2296" s="3">
        <f t="shared" si="223"/>
        <v>-476.9861960471917</v>
      </c>
      <c r="G2296" s="3">
        <f t="shared" si="224"/>
        <v>6.3398500028844182</v>
      </c>
      <c r="H2296" s="3">
        <f t="shared" si="225"/>
        <v>570.64634604430728</v>
      </c>
      <c r="M2296" s="1">
        <f t="shared" si="220"/>
        <v>1545</v>
      </c>
      <c r="N2296" s="38">
        <f>+M2296*'Failure Data'!F$3</f>
        <v>39.912500000000001</v>
      </c>
    </row>
    <row r="2297" spans="1:14" x14ac:dyDescent="0.15">
      <c r="A2297" s="1">
        <v>2288</v>
      </c>
      <c r="B2297" s="3">
        <f t="shared" si="221"/>
        <v>577.23709953256366</v>
      </c>
      <c r="C2297" s="8"/>
      <c r="D2297" s="3">
        <f t="shared" si="222"/>
        <v>570.89724952967936</v>
      </c>
      <c r="F2297" s="3">
        <f t="shared" si="223"/>
        <v>-477.23709953256366</v>
      </c>
      <c r="G2297" s="3">
        <f t="shared" si="224"/>
        <v>6.3398500028843046</v>
      </c>
      <c r="H2297" s="3">
        <f t="shared" si="225"/>
        <v>570.89724952967936</v>
      </c>
      <c r="M2297" s="1">
        <f t="shared" si="220"/>
        <v>1546</v>
      </c>
      <c r="N2297" s="38">
        <f>+M2297*'Failure Data'!F$3</f>
        <v>39.938333333333333</v>
      </c>
    </row>
    <row r="2298" spans="1:14" x14ac:dyDescent="0.15">
      <c r="A2298" s="1">
        <v>2289</v>
      </c>
      <c r="B2298" s="3">
        <f t="shared" si="221"/>
        <v>577.48800301793574</v>
      </c>
      <c r="C2298" s="8"/>
      <c r="D2298" s="3">
        <f t="shared" si="222"/>
        <v>571.14815301505132</v>
      </c>
      <c r="F2298" s="3">
        <f t="shared" si="223"/>
        <v>-477.48800301793574</v>
      </c>
      <c r="G2298" s="3">
        <f t="shared" si="224"/>
        <v>6.3398500028844182</v>
      </c>
      <c r="H2298" s="3">
        <f t="shared" si="225"/>
        <v>571.14815301505132</v>
      </c>
      <c r="M2298" s="1">
        <f t="shared" si="220"/>
        <v>1547</v>
      </c>
      <c r="N2298" s="38">
        <f>+M2298*'Failure Data'!F$3</f>
        <v>39.964166666666664</v>
      </c>
    </row>
    <row r="2299" spans="1:14" x14ac:dyDescent="0.15">
      <c r="A2299" s="1">
        <v>2290</v>
      </c>
      <c r="B2299" s="3">
        <f t="shared" si="221"/>
        <v>577.7389065033077</v>
      </c>
      <c r="C2299" s="8"/>
      <c r="D2299" s="3">
        <f t="shared" si="222"/>
        <v>571.39905650042328</v>
      </c>
      <c r="F2299" s="3">
        <f t="shared" si="223"/>
        <v>-477.7389065033077</v>
      </c>
      <c r="G2299" s="3">
        <f t="shared" si="224"/>
        <v>6.3398500028844182</v>
      </c>
      <c r="H2299" s="3">
        <f t="shared" si="225"/>
        <v>571.39905650042328</v>
      </c>
      <c r="M2299" s="1">
        <f t="shared" si="220"/>
        <v>1548</v>
      </c>
      <c r="N2299" s="38">
        <f>+M2299*'Failure Data'!F$3</f>
        <v>39.99</v>
      </c>
    </row>
    <row r="2300" spans="1:14" x14ac:dyDescent="0.15">
      <c r="A2300" s="1">
        <v>2291</v>
      </c>
      <c r="B2300" s="3">
        <f t="shared" si="221"/>
        <v>577.98980998867967</v>
      </c>
      <c r="C2300" s="8"/>
      <c r="D2300" s="3">
        <f t="shared" si="222"/>
        <v>571.64995998579525</v>
      </c>
      <c r="F2300" s="3">
        <f t="shared" si="223"/>
        <v>-477.98980998867967</v>
      </c>
      <c r="G2300" s="3">
        <f t="shared" si="224"/>
        <v>6.3398500028844182</v>
      </c>
      <c r="H2300" s="3">
        <f t="shared" si="225"/>
        <v>571.64995998579525</v>
      </c>
      <c r="M2300" s="1">
        <f t="shared" si="220"/>
        <v>1549</v>
      </c>
      <c r="N2300" s="38">
        <f>+M2300*'Failure Data'!F$3</f>
        <v>40.015833333333333</v>
      </c>
    </row>
    <row r="2301" spans="1:14" x14ac:dyDescent="0.15">
      <c r="A2301" s="1">
        <v>2292</v>
      </c>
      <c r="B2301" s="3">
        <f t="shared" si="221"/>
        <v>578.24071347405174</v>
      </c>
      <c r="C2301" s="8"/>
      <c r="D2301" s="3">
        <f t="shared" si="222"/>
        <v>571.90086347116733</v>
      </c>
      <c r="F2301" s="3">
        <f t="shared" si="223"/>
        <v>-478.24071347405174</v>
      </c>
      <c r="G2301" s="3">
        <f t="shared" si="224"/>
        <v>6.3398500028844182</v>
      </c>
      <c r="H2301" s="3">
        <f t="shared" si="225"/>
        <v>571.90086347116733</v>
      </c>
      <c r="M2301" s="1">
        <f t="shared" si="220"/>
        <v>1550</v>
      </c>
      <c r="N2301" s="38">
        <f>+M2301*'Failure Data'!F$3</f>
        <v>40.041666666666664</v>
      </c>
    </row>
    <row r="2302" spans="1:14" x14ac:dyDescent="0.15">
      <c r="A2302" s="1">
        <v>2293</v>
      </c>
      <c r="B2302" s="3">
        <f t="shared" si="221"/>
        <v>578.49161695942371</v>
      </c>
      <c r="C2302" s="8"/>
      <c r="D2302" s="3">
        <f t="shared" si="222"/>
        <v>572.15176695653929</v>
      </c>
      <c r="F2302" s="3">
        <f t="shared" si="223"/>
        <v>-478.49161695942371</v>
      </c>
      <c r="G2302" s="3">
        <f t="shared" si="224"/>
        <v>6.3398500028844182</v>
      </c>
      <c r="H2302" s="3">
        <f t="shared" si="225"/>
        <v>572.15176695653929</v>
      </c>
      <c r="M2302" s="1">
        <f t="shared" si="220"/>
        <v>1551</v>
      </c>
      <c r="N2302" s="38">
        <f>+M2302*'Failure Data'!F$3</f>
        <v>40.067500000000003</v>
      </c>
    </row>
    <row r="2303" spans="1:14" x14ac:dyDescent="0.15">
      <c r="A2303" s="1">
        <v>2294</v>
      </c>
      <c r="B2303" s="3">
        <f t="shared" si="221"/>
        <v>578.74252044479567</v>
      </c>
      <c r="C2303" s="8"/>
      <c r="D2303" s="3">
        <f t="shared" si="222"/>
        <v>572.40267044191125</v>
      </c>
      <c r="F2303" s="3">
        <f t="shared" si="223"/>
        <v>-478.74252044479567</v>
      </c>
      <c r="G2303" s="3">
        <f t="shared" si="224"/>
        <v>6.3398500028844182</v>
      </c>
      <c r="H2303" s="3">
        <f t="shared" si="225"/>
        <v>572.40267044191125</v>
      </c>
      <c r="M2303" s="1">
        <f t="shared" si="220"/>
        <v>1552</v>
      </c>
      <c r="N2303" s="38">
        <f>+M2303*'Failure Data'!F$3</f>
        <v>40.093333333333334</v>
      </c>
    </row>
    <row r="2304" spans="1:14" x14ac:dyDescent="0.15">
      <c r="A2304" s="1">
        <v>2295</v>
      </c>
      <c r="B2304" s="3">
        <f t="shared" si="221"/>
        <v>578.99342393016764</v>
      </c>
      <c r="C2304" s="8"/>
      <c r="D2304" s="3">
        <f t="shared" si="222"/>
        <v>572.65357392728322</v>
      </c>
      <c r="F2304" s="3">
        <f t="shared" si="223"/>
        <v>-478.99342393016764</v>
      </c>
      <c r="G2304" s="3">
        <f t="shared" si="224"/>
        <v>6.3398500028844182</v>
      </c>
      <c r="H2304" s="3">
        <f t="shared" si="225"/>
        <v>572.65357392728322</v>
      </c>
      <c r="M2304" s="1">
        <f t="shared" si="220"/>
        <v>1553</v>
      </c>
      <c r="N2304" s="38">
        <f>+M2304*'Failure Data'!F$3</f>
        <v>40.119166666666665</v>
      </c>
    </row>
    <row r="2305" spans="1:14" x14ac:dyDescent="0.15">
      <c r="A2305" s="1">
        <v>2296</v>
      </c>
      <c r="B2305" s="3">
        <f t="shared" si="221"/>
        <v>579.24432741553971</v>
      </c>
      <c r="C2305" s="8"/>
      <c r="D2305" s="3">
        <f t="shared" si="222"/>
        <v>572.9044774126553</v>
      </c>
      <c r="F2305" s="3">
        <f t="shared" si="223"/>
        <v>-479.24432741553971</v>
      </c>
      <c r="G2305" s="3">
        <f t="shared" si="224"/>
        <v>6.3398500028844182</v>
      </c>
      <c r="H2305" s="3">
        <f t="shared" si="225"/>
        <v>572.9044774126553</v>
      </c>
      <c r="M2305" s="1">
        <f t="shared" ref="M2305:M2368" si="226">M2304+1</f>
        <v>1554</v>
      </c>
      <c r="N2305" s="38">
        <f>+M2305*'Failure Data'!F$3</f>
        <v>40.145000000000003</v>
      </c>
    </row>
    <row r="2306" spans="1:14" x14ac:dyDescent="0.15">
      <c r="A2306" s="1">
        <v>2297</v>
      </c>
      <c r="B2306" s="3">
        <f t="shared" si="221"/>
        <v>579.49523090091168</v>
      </c>
      <c r="C2306" s="8"/>
      <c r="D2306" s="3">
        <f t="shared" si="222"/>
        <v>573.15538089802726</v>
      </c>
      <c r="F2306" s="3">
        <f t="shared" si="223"/>
        <v>-479.49523090091168</v>
      </c>
      <c r="G2306" s="3">
        <f t="shared" si="224"/>
        <v>6.3398500028844182</v>
      </c>
      <c r="H2306" s="3">
        <f t="shared" si="225"/>
        <v>573.15538089802726</v>
      </c>
      <c r="M2306" s="1">
        <f t="shared" si="226"/>
        <v>1555</v>
      </c>
      <c r="N2306" s="38">
        <f>+M2306*'Failure Data'!F$3</f>
        <v>40.170833333333334</v>
      </c>
    </row>
    <row r="2307" spans="1:14" x14ac:dyDescent="0.15">
      <c r="A2307" s="1">
        <v>2298</v>
      </c>
      <c r="B2307" s="3">
        <f t="shared" si="221"/>
        <v>579.74613438628364</v>
      </c>
      <c r="C2307" s="8"/>
      <c r="D2307" s="3">
        <f t="shared" si="222"/>
        <v>573.40628438339922</v>
      </c>
      <c r="F2307" s="3">
        <f t="shared" si="223"/>
        <v>-479.74613438628364</v>
      </c>
      <c r="G2307" s="3">
        <f t="shared" si="224"/>
        <v>6.3398500028844182</v>
      </c>
      <c r="H2307" s="3">
        <f t="shared" si="225"/>
        <v>573.40628438339922</v>
      </c>
      <c r="M2307" s="1">
        <f t="shared" si="226"/>
        <v>1556</v>
      </c>
      <c r="N2307" s="38">
        <f>+M2307*'Failure Data'!F$3</f>
        <v>40.196666666666665</v>
      </c>
    </row>
    <row r="2308" spans="1:14" x14ac:dyDescent="0.15">
      <c r="A2308" s="1">
        <v>2299</v>
      </c>
      <c r="B2308" s="3">
        <f t="shared" si="221"/>
        <v>579.99703787165561</v>
      </c>
      <c r="C2308" s="8"/>
      <c r="D2308" s="3">
        <f t="shared" si="222"/>
        <v>573.65718786877119</v>
      </c>
      <c r="F2308" s="3">
        <f t="shared" si="223"/>
        <v>-479.99703787165561</v>
      </c>
      <c r="G2308" s="3">
        <f t="shared" si="224"/>
        <v>6.3398500028844182</v>
      </c>
      <c r="H2308" s="3">
        <f t="shared" si="225"/>
        <v>573.65718786877119</v>
      </c>
      <c r="M2308" s="1">
        <f t="shared" si="226"/>
        <v>1557</v>
      </c>
      <c r="N2308" s="38">
        <f>+M2308*'Failure Data'!F$3</f>
        <v>40.222499999999997</v>
      </c>
    </row>
    <row r="2309" spans="1:14" x14ac:dyDescent="0.15">
      <c r="A2309" s="1">
        <v>2300</v>
      </c>
      <c r="B2309" s="3">
        <f t="shared" si="221"/>
        <v>580.24794135702768</v>
      </c>
      <c r="C2309" s="8"/>
      <c r="D2309" s="3">
        <f t="shared" si="222"/>
        <v>573.90809135414327</v>
      </c>
      <c r="F2309" s="3">
        <f t="shared" si="223"/>
        <v>-480.24794135702768</v>
      </c>
      <c r="G2309" s="3">
        <f t="shared" si="224"/>
        <v>6.3398500028844182</v>
      </c>
      <c r="H2309" s="3">
        <f t="shared" si="225"/>
        <v>573.90809135414327</v>
      </c>
      <c r="M2309" s="1">
        <f t="shared" si="226"/>
        <v>1558</v>
      </c>
      <c r="N2309" s="38">
        <f>+M2309*'Failure Data'!F$3</f>
        <v>40.248333333333335</v>
      </c>
    </row>
    <row r="2310" spans="1:14" x14ac:dyDescent="0.15">
      <c r="A2310" s="1">
        <v>2301</v>
      </c>
      <c r="B2310" s="3">
        <f t="shared" si="221"/>
        <v>580.49884484239965</v>
      </c>
      <c r="C2310" s="8"/>
      <c r="D2310" s="3">
        <f t="shared" si="222"/>
        <v>574.15899483951523</v>
      </c>
      <c r="F2310" s="3">
        <f t="shared" si="223"/>
        <v>-480.49884484239965</v>
      </c>
      <c r="G2310" s="3">
        <f t="shared" si="224"/>
        <v>6.3398500028844182</v>
      </c>
      <c r="H2310" s="3">
        <f t="shared" si="225"/>
        <v>574.15899483951523</v>
      </c>
      <c r="M2310" s="1">
        <f t="shared" si="226"/>
        <v>1559</v>
      </c>
      <c r="N2310" s="38">
        <f>+M2310*'Failure Data'!F$3</f>
        <v>40.274166666666666</v>
      </c>
    </row>
    <row r="2311" spans="1:14" x14ac:dyDescent="0.15">
      <c r="A2311" s="1">
        <v>2302</v>
      </c>
      <c r="B2311" s="3">
        <f t="shared" si="221"/>
        <v>580.74974832777161</v>
      </c>
      <c r="C2311" s="8"/>
      <c r="D2311" s="3">
        <f t="shared" si="222"/>
        <v>574.40989832488719</v>
      </c>
      <c r="F2311" s="3">
        <f t="shared" si="223"/>
        <v>-480.74974832777161</v>
      </c>
      <c r="G2311" s="3">
        <f t="shared" si="224"/>
        <v>6.3398500028844182</v>
      </c>
      <c r="H2311" s="3">
        <f t="shared" si="225"/>
        <v>574.40989832488719</v>
      </c>
      <c r="M2311" s="1">
        <f t="shared" si="226"/>
        <v>1560</v>
      </c>
      <c r="N2311" s="38">
        <f>+M2311*'Failure Data'!F$3</f>
        <v>40.299999999999997</v>
      </c>
    </row>
    <row r="2312" spans="1:14" x14ac:dyDescent="0.15">
      <c r="A2312" s="1">
        <v>2303</v>
      </c>
      <c r="B2312" s="3">
        <f t="shared" si="221"/>
        <v>581.00065181314358</v>
      </c>
      <c r="C2312" s="8"/>
      <c r="D2312" s="3">
        <f t="shared" si="222"/>
        <v>574.66080181025916</v>
      </c>
      <c r="F2312" s="3">
        <f t="shared" si="223"/>
        <v>-481.00065181314358</v>
      </c>
      <c r="G2312" s="3">
        <f t="shared" si="224"/>
        <v>6.3398500028844182</v>
      </c>
      <c r="H2312" s="3">
        <f t="shared" si="225"/>
        <v>574.66080181025916</v>
      </c>
      <c r="M2312" s="1">
        <f t="shared" si="226"/>
        <v>1561</v>
      </c>
      <c r="N2312" s="38">
        <f>+M2312*'Failure Data'!F$3</f>
        <v>40.325833333333335</v>
      </c>
    </row>
    <row r="2313" spans="1:14" x14ac:dyDescent="0.15">
      <c r="A2313" s="1">
        <v>2304</v>
      </c>
      <c r="B2313" s="3">
        <f t="shared" si="221"/>
        <v>581.25155529851565</v>
      </c>
      <c r="C2313" s="8"/>
      <c r="D2313" s="3">
        <f t="shared" si="222"/>
        <v>574.91170529563124</v>
      </c>
      <c r="F2313" s="3">
        <f t="shared" si="223"/>
        <v>-481.25155529851565</v>
      </c>
      <c r="G2313" s="3">
        <f t="shared" si="224"/>
        <v>6.3398500028844182</v>
      </c>
      <c r="H2313" s="3">
        <f t="shared" si="225"/>
        <v>574.91170529563124</v>
      </c>
      <c r="M2313" s="1">
        <f t="shared" si="226"/>
        <v>1562</v>
      </c>
      <c r="N2313" s="38">
        <f>+M2313*'Failure Data'!F$3</f>
        <v>40.351666666666667</v>
      </c>
    </row>
    <row r="2314" spans="1:14" x14ac:dyDescent="0.15">
      <c r="A2314" s="1">
        <v>2305</v>
      </c>
      <c r="B2314" s="3">
        <f t="shared" si="221"/>
        <v>581.50245878388762</v>
      </c>
      <c r="C2314" s="8"/>
      <c r="D2314" s="3">
        <f t="shared" si="222"/>
        <v>575.1626087810032</v>
      </c>
      <c r="F2314" s="3">
        <f t="shared" si="223"/>
        <v>-481.50245878388762</v>
      </c>
      <c r="G2314" s="3">
        <f t="shared" si="224"/>
        <v>6.3398500028844182</v>
      </c>
      <c r="H2314" s="3">
        <f t="shared" si="225"/>
        <v>575.1626087810032</v>
      </c>
      <c r="M2314" s="1">
        <f t="shared" si="226"/>
        <v>1563</v>
      </c>
      <c r="N2314" s="38">
        <f>+M2314*'Failure Data'!F$3</f>
        <v>40.377499999999998</v>
      </c>
    </row>
    <row r="2315" spans="1:14" x14ac:dyDescent="0.15">
      <c r="A2315" s="1">
        <v>2306</v>
      </c>
      <c r="B2315" s="3">
        <f t="shared" si="221"/>
        <v>581.75336226925958</v>
      </c>
      <c r="C2315" s="8"/>
      <c r="D2315" s="3">
        <f t="shared" si="222"/>
        <v>575.41351226637516</v>
      </c>
      <c r="F2315" s="3">
        <f t="shared" si="223"/>
        <v>-481.75336226925958</v>
      </c>
      <c r="G2315" s="3">
        <f t="shared" si="224"/>
        <v>6.3398500028844182</v>
      </c>
      <c r="H2315" s="3">
        <f t="shared" si="225"/>
        <v>575.41351226637516</v>
      </c>
      <c r="M2315" s="1">
        <f t="shared" si="226"/>
        <v>1564</v>
      </c>
      <c r="N2315" s="38">
        <f>+M2315*'Failure Data'!F$3</f>
        <v>40.403333333333336</v>
      </c>
    </row>
    <row r="2316" spans="1:14" x14ac:dyDescent="0.15">
      <c r="A2316" s="1">
        <v>2307</v>
      </c>
      <c r="B2316" s="3">
        <f t="shared" si="221"/>
        <v>582.00426575463155</v>
      </c>
      <c r="C2316" s="8"/>
      <c r="D2316" s="3">
        <f t="shared" si="222"/>
        <v>575.66441575174724</v>
      </c>
      <c r="F2316" s="3">
        <f t="shared" si="223"/>
        <v>-482.00426575463155</v>
      </c>
      <c r="G2316" s="3">
        <f t="shared" si="224"/>
        <v>6.3398500028843046</v>
      </c>
      <c r="H2316" s="3">
        <f t="shared" si="225"/>
        <v>575.66441575174724</v>
      </c>
      <c r="M2316" s="1">
        <f t="shared" si="226"/>
        <v>1565</v>
      </c>
      <c r="N2316" s="38">
        <f>+M2316*'Failure Data'!F$3</f>
        <v>40.429166666666667</v>
      </c>
    </row>
    <row r="2317" spans="1:14" x14ac:dyDescent="0.15">
      <c r="A2317" s="1">
        <v>2308</v>
      </c>
      <c r="B2317" s="3">
        <f t="shared" si="221"/>
        <v>582.25516924000362</v>
      </c>
      <c r="C2317" s="8"/>
      <c r="D2317" s="3">
        <f t="shared" si="222"/>
        <v>575.91531923711921</v>
      </c>
      <c r="F2317" s="3">
        <f t="shared" si="223"/>
        <v>-482.25516924000362</v>
      </c>
      <c r="G2317" s="3">
        <f t="shared" si="224"/>
        <v>6.3398500028844182</v>
      </c>
      <c r="H2317" s="3">
        <f t="shared" si="225"/>
        <v>575.91531923711921</v>
      </c>
      <c r="M2317" s="1">
        <f t="shared" si="226"/>
        <v>1566</v>
      </c>
      <c r="N2317" s="38">
        <f>+M2317*'Failure Data'!F$3</f>
        <v>40.454999999999998</v>
      </c>
    </row>
    <row r="2318" spans="1:14" x14ac:dyDescent="0.15">
      <c r="A2318" s="1">
        <v>2309</v>
      </c>
      <c r="B2318" s="3">
        <f t="shared" si="221"/>
        <v>582.50607272537559</v>
      </c>
      <c r="C2318" s="8"/>
      <c r="D2318" s="3">
        <f t="shared" si="222"/>
        <v>576.16622272249117</v>
      </c>
      <c r="F2318" s="3">
        <f t="shared" si="223"/>
        <v>-482.50607272537559</v>
      </c>
      <c r="G2318" s="3">
        <f t="shared" si="224"/>
        <v>6.3398500028844182</v>
      </c>
      <c r="H2318" s="3">
        <f t="shared" si="225"/>
        <v>576.16622272249117</v>
      </c>
      <c r="M2318" s="1">
        <f t="shared" si="226"/>
        <v>1567</v>
      </c>
      <c r="N2318" s="38">
        <f>+M2318*'Failure Data'!F$3</f>
        <v>40.480833333333337</v>
      </c>
    </row>
    <row r="2319" spans="1:14" x14ac:dyDescent="0.15">
      <c r="A2319" s="1">
        <v>2310</v>
      </c>
      <c r="B2319" s="3">
        <f t="shared" si="221"/>
        <v>582.75697621074755</v>
      </c>
      <c r="C2319" s="8"/>
      <c r="D2319" s="3">
        <f t="shared" si="222"/>
        <v>576.41712620786313</v>
      </c>
      <c r="F2319" s="3">
        <f t="shared" si="223"/>
        <v>-482.75697621074755</v>
      </c>
      <c r="G2319" s="3">
        <f t="shared" si="224"/>
        <v>6.3398500028844182</v>
      </c>
      <c r="H2319" s="3">
        <f t="shared" si="225"/>
        <v>576.41712620786313</v>
      </c>
      <c r="M2319" s="1">
        <f t="shared" si="226"/>
        <v>1568</v>
      </c>
      <c r="N2319" s="38">
        <f>+M2319*'Failure Data'!F$3</f>
        <v>40.506666666666668</v>
      </c>
    </row>
    <row r="2320" spans="1:14" x14ac:dyDescent="0.15">
      <c r="A2320" s="1">
        <v>2311</v>
      </c>
      <c r="B2320" s="3">
        <f t="shared" si="221"/>
        <v>583.00787969611952</v>
      </c>
      <c r="C2320" s="8"/>
      <c r="D2320" s="3">
        <f t="shared" si="222"/>
        <v>576.66802969323521</v>
      </c>
      <c r="F2320" s="3">
        <f t="shared" si="223"/>
        <v>-483.00787969611952</v>
      </c>
      <c r="G2320" s="3">
        <f t="shared" si="224"/>
        <v>6.3398500028843046</v>
      </c>
      <c r="H2320" s="3">
        <f t="shared" si="225"/>
        <v>576.66802969323521</v>
      </c>
      <c r="M2320" s="1">
        <f t="shared" si="226"/>
        <v>1569</v>
      </c>
      <c r="N2320" s="38">
        <f>+M2320*'Failure Data'!F$3</f>
        <v>40.532499999999999</v>
      </c>
    </row>
    <row r="2321" spans="1:14" x14ac:dyDescent="0.15">
      <c r="A2321" s="1">
        <v>2312</v>
      </c>
      <c r="B2321" s="3">
        <f t="shared" si="221"/>
        <v>583.25878318149159</v>
      </c>
      <c r="C2321" s="8"/>
      <c r="D2321" s="3">
        <f t="shared" si="222"/>
        <v>576.91893317860718</v>
      </c>
      <c r="F2321" s="3">
        <f t="shared" si="223"/>
        <v>-483.25878318149159</v>
      </c>
      <c r="G2321" s="3">
        <f t="shared" si="224"/>
        <v>6.3398500028844182</v>
      </c>
      <c r="H2321" s="3">
        <f t="shared" si="225"/>
        <v>576.91893317860718</v>
      </c>
      <c r="M2321" s="1">
        <f t="shared" si="226"/>
        <v>1570</v>
      </c>
      <c r="N2321" s="38">
        <f>+M2321*'Failure Data'!F$3</f>
        <v>40.55833333333333</v>
      </c>
    </row>
    <row r="2322" spans="1:14" x14ac:dyDescent="0.15">
      <c r="A2322" s="1">
        <v>2313</v>
      </c>
      <c r="B2322" s="3">
        <f t="shared" si="221"/>
        <v>583.50968666686356</v>
      </c>
      <c r="C2322" s="8"/>
      <c r="D2322" s="3">
        <f t="shared" si="222"/>
        <v>577.16983666397914</v>
      </c>
      <c r="F2322" s="3">
        <f t="shared" si="223"/>
        <v>-483.50968666686356</v>
      </c>
      <c r="G2322" s="3">
        <f t="shared" si="224"/>
        <v>6.3398500028844182</v>
      </c>
      <c r="H2322" s="3">
        <f t="shared" si="225"/>
        <v>577.16983666397914</v>
      </c>
      <c r="M2322" s="1">
        <f t="shared" si="226"/>
        <v>1571</v>
      </c>
      <c r="N2322" s="38">
        <f>+M2322*'Failure Data'!F$3</f>
        <v>40.584166666666668</v>
      </c>
    </row>
    <row r="2323" spans="1:14" x14ac:dyDescent="0.15">
      <c r="A2323" s="1">
        <v>2314</v>
      </c>
      <c r="B2323" s="3">
        <f t="shared" si="221"/>
        <v>583.76059015223552</v>
      </c>
      <c r="C2323" s="8"/>
      <c r="D2323" s="3">
        <f t="shared" si="222"/>
        <v>577.4207401493511</v>
      </c>
      <c r="F2323" s="3">
        <f t="shared" si="223"/>
        <v>-483.76059015223552</v>
      </c>
      <c r="G2323" s="3">
        <f t="shared" si="224"/>
        <v>6.3398500028844182</v>
      </c>
      <c r="H2323" s="3">
        <f t="shared" si="225"/>
        <v>577.4207401493511</v>
      </c>
      <c r="M2323" s="1">
        <f t="shared" si="226"/>
        <v>1572</v>
      </c>
      <c r="N2323" s="38">
        <f>+M2323*'Failure Data'!F$3</f>
        <v>40.61</v>
      </c>
    </row>
    <row r="2324" spans="1:14" x14ac:dyDescent="0.15">
      <c r="A2324" s="1">
        <v>2315</v>
      </c>
      <c r="B2324" s="3">
        <f t="shared" si="221"/>
        <v>584.01149363760749</v>
      </c>
      <c r="C2324" s="8"/>
      <c r="D2324" s="3">
        <f t="shared" si="222"/>
        <v>577.67164363472318</v>
      </c>
      <c r="F2324" s="3">
        <f t="shared" si="223"/>
        <v>-484.01149363760749</v>
      </c>
      <c r="G2324" s="3">
        <f t="shared" si="224"/>
        <v>6.3398500028843046</v>
      </c>
      <c r="H2324" s="3">
        <f t="shared" si="225"/>
        <v>577.67164363472318</v>
      </c>
      <c r="M2324" s="1">
        <f t="shared" si="226"/>
        <v>1573</v>
      </c>
      <c r="N2324" s="38">
        <f>+M2324*'Failure Data'!F$3</f>
        <v>40.635833333333331</v>
      </c>
    </row>
    <row r="2325" spans="1:14" x14ac:dyDescent="0.15">
      <c r="A2325" s="1">
        <v>2316</v>
      </c>
      <c r="B2325" s="3">
        <f t="shared" si="221"/>
        <v>584.26239712297956</v>
      </c>
      <c r="C2325" s="8"/>
      <c r="D2325" s="3">
        <f t="shared" si="222"/>
        <v>577.92254712009515</v>
      </c>
      <c r="F2325" s="3">
        <f t="shared" si="223"/>
        <v>-484.26239712297956</v>
      </c>
      <c r="G2325" s="3">
        <f t="shared" si="224"/>
        <v>6.3398500028844182</v>
      </c>
      <c r="H2325" s="3">
        <f t="shared" si="225"/>
        <v>577.92254712009515</v>
      </c>
      <c r="M2325" s="1">
        <f t="shared" si="226"/>
        <v>1574</v>
      </c>
      <c r="N2325" s="38">
        <f>+M2325*'Failure Data'!F$3</f>
        <v>40.661666666666669</v>
      </c>
    </row>
    <row r="2326" spans="1:14" x14ac:dyDescent="0.15">
      <c r="A2326" s="1">
        <v>2317</v>
      </c>
      <c r="B2326" s="3">
        <f t="shared" si="221"/>
        <v>584.51330060835153</v>
      </c>
      <c r="C2326" s="8"/>
      <c r="D2326" s="3">
        <f t="shared" si="222"/>
        <v>578.17345060546711</v>
      </c>
      <c r="F2326" s="3">
        <f t="shared" si="223"/>
        <v>-484.51330060835153</v>
      </c>
      <c r="G2326" s="3">
        <f t="shared" si="224"/>
        <v>6.3398500028844182</v>
      </c>
      <c r="H2326" s="3">
        <f t="shared" si="225"/>
        <v>578.17345060546711</v>
      </c>
      <c r="M2326" s="1">
        <f t="shared" si="226"/>
        <v>1575</v>
      </c>
      <c r="N2326" s="38">
        <f>+M2326*'Failure Data'!F$3</f>
        <v>40.6875</v>
      </c>
    </row>
    <row r="2327" spans="1:14" x14ac:dyDescent="0.15">
      <c r="A2327" s="1">
        <v>2318</v>
      </c>
      <c r="B2327" s="3">
        <f t="shared" si="221"/>
        <v>584.76420409372349</v>
      </c>
      <c r="C2327" s="8"/>
      <c r="D2327" s="3">
        <f t="shared" si="222"/>
        <v>578.42435409083907</v>
      </c>
      <c r="F2327" s="3">
        <f t="shared" si="223"/>
        <v>-484.76420409372349</v>
      </c>
      <c r="G2327" s="3">
        <f t="shared" si="224"/>
        <v>6.3398500028844182</v>
      </c>
      <c r="H2327" s="3">
        <f t="shared" si="225"/>
        <v>578.42435409083907</v>
      </c>
      <c r="M2327" s="1">
        <f t="shared" si="226"/>
        <v>1576</v>
      </c>
      <c r="N2327" s="38">
        <f>+M2327*'Failure Data'!F$3</f>
        <v>40.713333333333331</v>
      </c>
    </row>
    <row r="2328" spans="1:14" x14ac:dyDescent="0.15">
      <c r="A2328" s="1">
        <v>2319</v>
      </c>
      <c r="B2328" s="3">
        <f t="shared" si="221"/>
        <v>585.01510757909557</v>
      </c>
      <c r="C2328" s="8"/>
      <c r="D2328" s="3">
        <f t="shared" si="222"/>
        <v>578.67525757621115</v>
      </c>
      <c r="F2328" s="3">
        <f t="shared" si="223"/>
        <v>-485.01510757909557</v>
      </c>
      <c r="G2328" s="3">
        <f t="shared" si="224"/>
        <v>6.3398500028844182</v>
      </c>
      <c r="H2328" s="3">
        <f t="shared" si="225"/>
        <v>578.67525757621115</v>
      </c>
      <c r="M2328" s="1">
        <f t="shared" si="226"/>
        <v>1577</v>
      </c>
      <c r="N2328" s="38">
        <f>+M2328*'Failure Data'!F$3</f>
        <v>40.739166666666669</v>
      </c>
    </row>
    <row r="2329" spans="1:14" x14ac:dyDescent="0.15">
      <c r="A2329" s="1">
        <v>2320</v>
      </c>
      <c r="B2329" s="3">
        <f t="shared" si="221"/>
        <v>585.26601106446753</v>
      </c>
      <c r="C2329" s="8"/>
      <c r="D2329" s="3">
        <f t="shared" si="222"/>
        <v>578.92616106158312</v>
      </c>
      <c r="F2329" s="3">
        <f t="shared" si="223"/>
        <v>-485.26601106446753</v>
      </c>
      <c r="G2329" s="3">
        <f t="shared" si="224"/>
        <v>6.3398500028844182</v>
      </c>
      <c r="H2329" s="3">
        <f t="shared" si="225"/>
        <v>578.92616106158312</v>
      </c>
      <c r="M2329" s="1">
        <f t="shared" si="226"/>
        <v>1578</v>
      </c>
      <c r="N2329" s="38">
        <f>+M2329*'Failure Data'!F$3</f>
        <v>40.765000000000001</v>
      </c>
    </row>
    <row r="2330" spans="1:14" x14ac:dyDescent="0.15">
      <c r="A2330" s="1">
        <v>2321</v>
      </c>
      <c r="B2330" s="3">
        <f t="shared" si="221"/>
        <v>585.5169145498395</v>
      </c>
      <c r="C2330" s="8"/>
      <c r="D2330" s="3">
        <f t="shared" si="222"/>
        <v>579.17706454695508</v>
      </c>
      <c r="F2330" s="3">
        <f t="shared" si="223"/>
        <v>-485.5169145498395</v>
      </c>
      <c r="G2330" s="3">
        <f t="shared" si="224"/>
        <v>6.3398500028844182</v>
      </c>
      <c r="H2330" s="3">
        <f t="shared" si="225"/>
        <v>579.17706454695508</v>
      </c>
      <c r="M2330" s="1">
        <f t="shared" si="226"/>
        <v>1579</v>
      </c>
      <c r="N2330" s="38">
        <f>+M2330*'Failure Data'!F$3</f>
        <v>40.790833333333332</v>
      </c>
    </row>
    <row r="2331" spans="1:14" x14ac:dyDescent="0.15">
      <c r="A2331" s="1">
        <v>2322</v>
      </c>
      <c r="B2331" s="3">
        <f t="shared" si="221"/>
        <v>585.76781803521146</v>
      </c>
      <c r="C2331" s="8"/>
      <c r="D2331" s="3">
        <f t="shared" si="222"/>
        <v>579.42796803232704</v>
      </c>
      <c r="F2331" s="3">
        <f t="shared" si="223"/>
        <v>-485.76781803521146</v>
      </c>
      <c r="G2331" s="3">
        <f t="shared" si="224"/>
        <v>6.3398500028844182</v>
      </c>
      <c r="H2331" s="3">
        <f t="shared" si="225"/>
        <v>579.42796803232704</v>
      </c>
      <c r="M2331" s="1">
        <f t="shared" si="226"/>
        <v>1580</v>
      </c>
      <c r="N2331" s="38">
        <f>+M2331*'Failure Data'!F$3</f>
        <v>40.816666666666663</v>
      </c>
    </row>
    <row r="2332" spans="1:14" x14ac:dyDescent="0.15">
      <c r="A2332" s="1">
        <v>2323</v>
      </c>
      <c r="B2332" s="3">
        <f t="shared" si="221"/>
        <v>586.01872152058354</v>
      </c>
      <c r="C2332" s="8"/>
      <c r="D2332" s="3">
        <f t="shared" si="222"/>
        <v>579.67887151769912</v>
      </c>
      <c r="F2332" s="3">
        <f t="shared" si="223"/>
        <v>-486.01872152058354</v>
      </c>
      <c r="G2332" s="3">
        <f t="shared" si="224"/>
        <v>6.3398500028844182</v>
      </c>
      <c r="H2332" s="3">
        <f t="shared" si="225"/>
        <v>579.67887151769912</v>
      </c>
      <c r="M2332" s="1">
        <f t="shared" si="226"/>
        <v>1581</v>
      </c>
      <c r="N2332" s="38">
        <f>+M2332*'Failure Data'!F$3</f>
        <v>40.842500000000001</v>
      </c>
    </row>
    <row r="2333" spans="1:14" x14ac:dyDescent="0.15">
      <c r="A2333" s="1">
        <v>2324</v>
      </c>
      <c r="B2333" s="3">
        <f t="shared" si="221"/>
        <v>586.2696250059555</v>
      </c>
      <c r="C2333" s="8"/>
      <c r="D2333" s="3">
        <f t="shared" si="222"/>
        <v>579.92977500307109</v>
      </c>
      <c r="F2333" s="3">
        <f t="shared" si="223"/>
        <v>-486.2696250059555</v>
      </c>
      <c r="G2333" s="3">
        <f t="shared" si="224"/>
        <v>6.3398500028844182</v>
      </c>
      <c r="H2333" s="3">
        <f t="shared" si="225"/>
        <v>579.92977500307109</v>
      </c>
      <c r="M2333" s="1">
        <f t="shared" si="226"/>
        <v>1582</v>
      </c>
      <c r="N2333" s="38">
        <f>+M2333*'Failure Data'!F$3</f>
        <v>40.868333333333332</v>
      </c>
    </row>
    <row r="2334" spans="1:14" x14ac:dyDescent="0.15">
      <c r="A2334" s="1">
        <v>2325</v>
      </c>
      <c r="B2334" s="3">
        <f t="shared" si="221"/>
        <v>586.52052849132747</v>
      </c>
      <c r="C2334" s="8"/>
      <c r="D2334" s="3">
        <f t="shared" si="222"/>
        <v>580.18067848844305</v>
      </c>
      <c r="F2334" s="3">
        <f t="shared" si="223"/>
        <v>-486.52052849132747</v>
      </c>
      <c r="G2334" s="3">
        <f t="shared" si="224"/>
        <v>6.3398500028844182</v>
      </c>
      <c r="H2334" s="3">
        <f t="shared" si="225"/>
        <v>580.18067848844305</v>
      </c>
      <c r="M2334" s="1">
        <f t="shared" si="226"/>
        <v>1583</v>
      </c>
      <c r="N2334" s="38">
        <f>+M2334*'Failure Data'!F$3</f>
        <v>40.894166666666663</v>
      </c>
    </row>
    <row r="2335" spans="1:14" x14ac:dyDescent="0.15">
      <c r="A2335" s="1">
        <v>2326</v>
      </c>
      <c r="B2335" s="3">
        <f t="shared" ref="B2335:B2398" si="227">+(B$4*A2335)+B$5</f>
        <v>586.77143197669943</v>
      </c>
      <c r="C2335" s="8"/>
      <c r="D2335" s="3">
        <f t="shared" ref="D2335:D2398" si="228">+(D$4*A2335)+D$5</f>
        <v>580.43158197381501</v>
      </c>
      <c r="F2335" s="3">
        <f t="shared" ref="F2335:F2398" si="229">+xmax-B2335</f>
        <v>-486.77143197669943</v>
      </c>
      <c r="G2335" s="3">
        <f t="shared" ref="G2335:G2398" si="230">+B2335-D2335</f>
        <v>6.3398500028844182</v>
      </c>
      <c r="H2335" s="3">
        <f t="shared" ref="H2335:H2398" si="231">D2335</f>
        <v>580.43158197381501</v>
      </c>
      <c r="M2335" s="1">
        <f t="shared" si="226"/>
        <v>1584</v>
      </c>
      <c r="N2335" s="38">
        <f>+M2335*'Failure Data'!F$3</f>
        <v>40.92</v>
      </c>
    </row>
    <row r="2336" spans="1:14" x14ac:dyDescent="0.15">
      <c r="A2336" s="1">
        <v>2327</v>
      </c>
      <c r="B2336" s="3">
        <f t="shared" si="227"/>
        <v>587.02233546207151</v>
      </c>
      <c r="C2336" s="8"/>
      <c r="D2336" s="3">
        <f t="shared" si="228"/>
        <v>580.68248545918709</v>
      </c>
      <c r="F2336" s="3">
        <f t="shared" si="229"/>
        <v>-487.02233546207151</v>
      </c>
      <c r="G2336" s="3">
        <f t="shared" si="230"/>
        <v>6.3398500028844182</v>
      </c>
      <c r="H2336" s="3">
        <f t="shared" si="231"/>
        <v>580.68248545918709</v>
      </c>
      <c r="M2336" s="1">
        <f t="shared" si="226"/>
        <v>1585</v>
      </c>
      <c r="N2336" s="38">
        <f>+M2336*'Failure Data'!F$3</f>
        <v>40.945833333333333</v>
      </c>
    </row>
    <row r="2337" spans="1:14" x14ac:dyDescent="0.15">
      <c r="A2337" s="1">
        <v>2328</v>
      </c>
      <c r="B2337" s="3">
        <f t="shared" si="227"/>
        <v>587.27323894744347</v>
      </c>
      <c r="C2337" s="8"/>
      <c r="D2337" s="3">
        <f t="shared" si="228"/>
        <v>580.93338894455906</v>
      </c>
      <c r="F2337" s="3">
        <f t="shared" si="229"/>
        <v>-487.27323894744347</v>
      </c>
      <c r="G2337" s="3">
        <f t="shared" si="230"/>
        <v>6.3398500028844182</v>
      </c>
      <c r="H2337" s="3">
        <f t="shared" si="231"/>
        <v>580.93338894455906</v>
      </c>
      <c r="M2337" s="1">
        <f t="shared" si="226"/>
        <v>1586</v>
      </c>
      <c r="N2337" s="38">
        <f>+M2337*'Failure Data'!F$3</f>
        <v>40.971666666666664</v>
      </c>
    </row>
    <row r="2338" spans="1:14" x14ac:dyDescent="0.15">
      <c r="A2338" s="1">
        <v>2329</v>
      </c>
      <c r="B2338" s="3">
        <f t="shared" si="227"/>
        <v>587.52414243281544</v>
      </c>
      <c r="C2338" s="8"/>
      <c r="D2338" s="3">
        <f t="shared" si="228"/>
        <v>581.18429242993102</v>
      </c>
      <c r="F2338" s="3">
        <f t="shared" si="229"/>
        <v>-487.52414243281544</v>
      </c>
      <c r="G2338" s="3">
        <f t="shared" si="230"/>
        <v>6.3398500028844182</v>
      </c>
      <c r="H2338" s="3">
        <f t="shared" si="231"/>
        <v>581.18429242993102</v>
      </c>
      <c r="M2338" s="1">
        <f t="shared" si="226"/>
        <v>1587</v>
      </c>
      <c r="N2338" s="38">
        <f>+M2338*'Failure Data'!F$3</f>
        <v>40.997500000000002</v>
      </c>
    </row>
    <row r="2339" spans="1:14" x14ac:dyDescent="0.15">
      <c r="A2339" s="1">
        <v>2330</v>
      </c>
      <c r="B2339" s="3">
        <f t="shared" si="227"/>
        <v>587.7750459181874</v>
      </c>
      <c r="C2339" s="8"/>
      <c r="D2339" s="3">
        <f t="shared" si="228"/>
        <v>581.4351959153031</v>
      </c>
      <c r="F2339" s="3">
        <f t="shared" si="229"/>
        <v>-487.7750459181874</v>
      </c>
      <c r="G2339" s="3">
        <f t="shared" si="230"/>
        <v>6.3398500028843046</v>
      </c>
      <c r="H2339" s="3">
        <f t="shared" si="231"/>
        <v>581.4351959153031</v>
      </c>
      <c r="M2339" s="1">
        <f t="shared" si="226"/>
        <v>1588</v>
      </c>
      <c r="N2339" s="38">
        <f>+M2339*'Failure Data'!F$3</f>
        <v>41.023333333333333</v>
      </c>
    </row>
    <row r="2340" spans="1:14" x14ac:dyDescent="0.15">
      <c r="A2340" s="1">
        <v>2331</v>
      </c>
      <c r="B2340" s="3">
        <f t="shared" si="227"/>
        <v>588.02594940355948</v>
      </c>
      <c r="C2340" s="8"/>
      <c r="D2340" s="3">
        <f t="shared" si="228"/>
        <v>581.68609940067506</v>
      </c>
      <c r="F2340" s="3">
        <f t="shared" si="229"/>
        <v>-488.02594940355948</v>
      </c>
      <c r="G2340" s="3">
        <f t="shared" si="230"/>
        <v>6.3398500028844182</v>
      </c>
      <c r="H2340" s="3">
        <f t="shared" si="231"/>
        <v>581.68609940067506</v>
      </c>
      <c r="M2340" s="1">
        <f t="shared" si="226"/>
        <v>1589</v>
      </c>
      <c r="N2340" s="38">
        <f>+M2340*'Failure Data'!F$3</f>
        <v>41.049166666666665</v>
      </c>
    </row>
    <row r="2341" spans="1:14" x14ac:dyDescent="0.15">
      <c r="A2341" s="1">
        <v>2332</v>
      </c>
      <c r="B2341" s="3">
        <f t="shared" si="227"/>
        <v>588.27685288893144</v>
      </c>
      <c r="C2341" s="8"/>
      <c r="D2341" s="3">
        <f t="shared" si="228"/>
        <v>581.93700288604703</v>
      </c>
      <c r="F2341" s="3">
        <f t="shared" si="229"/>
        <v>-488.27685288893144</v>
      </c>
      <c r="G2341" s="3">
        <f t="shared" si="230"/>
        <v>6.3398500028844182</v>
      </c>
      <c r="H2341" s="3">
        <f t="shared" si="231"/>
        <v>581.93700288604703</v>
      </c>
      <c r="M2341" s="1">
        <f t="shared" si="226"/>
        <v>1590</v>
      </c>
      <c r="N2341" s="38">
        <f>+M2341*'Failure Data'!F$3</f>
        <v>41.075000000000003</v>
      </c>
    </row>
    <row r="2342" spans="1:14" x14ac:dyDescent="0.15">
      <c r="A2342" s="1">
        <v>2333</v>
      </c>
      <c r="B2342" s="3">
        <f t="shared" si="227"/>
        <v>588.52775637430341</v>
      </c>
      <c r="C2342" s="8"/>
      <c r="D2342" s="3">
        <f t="shared" si="228"/>
        <v>582.18790637141899</v>
      </c>
      <c r="F2342" s="3">
        <f t="shared" si="229"/>
        <v>-488.52775637430341</v>
      </c>
      <c r="G2342" s="3">
        <f t="shared" si="230"/>
        <v>6.3398500028844182</v>
      </c>
      <c r="H2342" s="3">
        <f t="shared" si="231"/>
        <v>582.18790637141899</v>
      </c>
      <c r="M2342" s="1">
        <f t="shared" si="226"/>
        <v>1591</v>
      </c>
      <c r="N2342" s="38">
        <f>+M2342*'Failure Data'!F$3</f>
        <v>41.100833333333334</v>
      </c>
    </row>
    <row r="2343" spans="1:14" x14ac:dyDescent="0.15">
      <c r="A2343" s="1">
        <v>2334</v>
      </c>
      <c r="B2343" s="3">
        <f t="shared" si="227"/>
        <v>588.77865985967537</v>
      </c>
      <c r="C2343" s="8"/>
      <c r="D2343" s="3">
        <f t="shared" si="228"/>
        <v>582.43880985679107</v>
      </c>
      <c r="F2343" s="3">
        <f t="shared" si="229"/>
        <v>-488.77865985967537</v>
      </c>
      <c r="G2343" s="3">
        <f t="shared" si="230"/>
        <v>6.3398500028843046</v>
      </c>
      <c r="H2343" s="3">
        <f t="shared" si="231"/>
        <v>582.43880985679107</v>
      </c>
      <c r="M2343" s="1">
        <f t="shared" si="226"/>
        <v>1592</v>
      </c>
      <c r="N2343" s="38">
        <f>+M2343*'Failure Data'!F$3</f>
        <v>41.126666666666665</v>
      </c>
    </row>
    <row r="2344" spans="1:14" x14ac:dyDescent="0.15">
      <c r="A2344" s="1">
        <v>2335</v>
      </c>
      <c r="B2344" s="3">
        <f t="shared" si="227"/>
        <v>589.02956334504745</v>
      </c>
      <c r="C2344" s="8"/>
      <c r="D2344" s="3">
        <f t="shared" si="228"/>
        <v>582.68971334216303</v>
      </c>
      <c r="F2344" s="3">
        <f t="shared" si="229"/>
        <v>-489.02956334504745</v>
      </c>
      <c r="G2344" s="3">
        <f t="shared" si="230"/>
        <v>6.3398500028844182</v>
      </c>
      <c r="H2344" s="3">
        <f t="shared" si="231"/>
        <v>582.68971334216303</v>
      </c>
      <c r="M2344" s="1">
        <f t="shared" si="226"/>
        <v>1593</v>
      </c>
      <c r="N2344" s="38">
        <f>+M2344*'Failure Data'!F$3</f>
        <v>41.152499999999996</v>
      </c>
    </row>
    <row r="2345" spans="1:14" x14ac:dyDescent="0.15">
      <c r="A2345" s="1">
        <v>2336</v>
      </c>
      <c r="B2345" s="3">
        <f t="shared" si="227"/>
        <v>589.28046683041941</v>
      </c>
      <c r="C2345" s="8"/>
      <c r="D2345" s="3">
        <f t="shared" si="228"/>
        <v>582.940616827535</v>
      </c>
      <c r="F2345" s="3">
        <f t="shared" si="229"/>
        <v>-489.28046683041941</v>
      </c>
      <c r="G2345" s="3">
        <f t="shared" si="230"/>
        <v>6.3398500028844182</v>
      </c>
      <c r="H2345" s="3">
        <f t="shared" si="231"/>
        <v>582.940616827535</v>
      </c>
      <c r="M2345" s="1">
        <f t="shared" si="226"/>
        <v>1594</v>
      </c>
      <c r="N2345" s="38">
        <f>+M2345*'Failure Data'!F$3</f>
        <v>41.178333333333335</v>
      </c>
    </row>
    <row r="2346" spans="1:14" x14ac:dyDescent="0.15">
      <c r="A2346" s="1">
        <v>2337</v>
      </c>
      <c r="B2346" s="3">
        <f t="shared" si="227"/>
        <v>589.53137031579138</v>
      </c>
      <c r="C2346" s="8"/>
      <c r="D2346" s="3">
        <f t="shared" si="228"/>
        <v>583.19152031290696</v>
      </c>
      <c r="F2346" s="3">
        <f t="shared" si="229"/>
        <v>-489.53137031579138</v>
      </c>
      <c r="G2346" s="3">
        <f t="shared" si="230"/>
        <v>6.3398500028844182</v>
      </c>
      <c r="H2346" s="3">
        <f t="shared" si="231"/>
        <v>583.19152031290696</v>
      </c>
      <c r="M2346" s="1">
        <f t="shared" si="226"/>
        <v>1595</v>
      </c>
      <c r="N2346" s="38">
        <f>+M2346*'Failure Data'!F$3</f>
        <v>41.204166666666666</v>
      </c>
    </row>
    <row r="2347" spans="1:14" x14ac:dyDescent="0.15">
      <c r="A2347" s="1">
        <v>2338</v>
      </c>
      <c r="B2347" s="3">
        <f t="shared" si="227"/>
        <v>589.78227380116334</v>
      </c>
      <c r="C2347" s="8"/>
      <c r="D2347" s="3">
        <f t="shared" si="228"/>
        <v>583.44242379827904</v>
      </c>
      <c r="F2347" s="3">
        <f t="shared" si="229"/>
        <v>-489.78227380116334</v>
      </c>
      <c r="G2347" s="3">
        <f t="shared" si="230"/>
        <v>6.3398500028843046</v>
      </c>
      <c r="H2347" s="3">
        <f t="shared" si="231"/>
        <v>583.44242379827904</v>
      </c>
      <c r="M2347" s="1">
        <f t="shared" si="226"/>
        <v>1596</v>
      </c>
      <c r="N2347" s="38">
        <f>+M2347*'Failure Data'!F$3</f>
        <v>41.23</v>
      </c>
    </row>
    <row r="2348" spans="1:14" x14ac:dyDescent="0.15">
      <c r="A2348" s="1">
        <v>2339</v>
      </c>
      <c r="B2348" s="3">
        <f t="shared" si="227"/>
        <v>590.03317728653542</v>
      </c>
      <c r="C2348" s="8"/>
      <c r="D2348" s="3">
        <f t="shared" si="228"/>
        <v>583.693327283651</v>
      </c>
      <c r="F2348" s="3">
        <f t="shared" si="229"/>
        <v>-490.03317728653542</v>
      </c>
      <c r="G2348" s="3">
        <f t="shared" si="230"/>
        <v>6.3398500028844182</v>
      </c>
      <c r="H2348" s="3">
        <f t="shared" si="231"/>
        <v>583.693327283651</v>
      </c>
      <c r="M2348" s="1">
        <f t="shared" si="226"/>
        <v>1597</v>
      </c>
      <c r="N2348" s="38">
        <f>+M2348*'Failure Data'!F$3</f>
        <v>41.255833333333335</v>
      </c>
    </row>
    <row r="2349" spans="1:14" x14ac:dyDescent="0.15">
      <c r="A2349" s="1">
        <v>2340</v>
      </c>
      <c r="B2349" s="3">
        <f t="shared" si="227"/>
        <v>590.28408077190738</v>
      </c>
      <c r="C2349" s="8"/>
      <c r="D2349" s="3">
        <f t="shared" si="228"/>
        <v>583.94423076902297</v>
      </c>
      <c r="F2349" s="3">
        <f t="shared" si="229"/>
        <v>-490.28408077190738</v>
      </c>
      <c r="G2349" s="3">
        <f t="shared" si="230"/>
        <v>6.3398500028844182</v>
      </c>
      <c r="H2349" s="3">
        <f t="shared" si="231"/>
        <v>583.94423076902297</v>
      </c>
      <c r="M2349" s="1">
        <f t="shared" si="226"/>
        <v>1598</v>
      </c>
      <c r="N2349" s="38">
        <f>+M2349*'Failure Data'!F$3</f>
        <v>41.281666666666666</v>
      </c>
    </row>
    <row r="2350" spans="1:14" x14ac:dyDescent="0.15">
      <c r="A2350" s="1">
        <v>2341</v>
      </c>
      <c r="B2350" s="3">
        <f t="shared" si="227"/>
        <v>590.53498425727935</v>
      </c>
      <c r="C2350" s="8"/>
      <c r="D2350" s="3">
        <f t="shared" si="228"/>
        <v>584.19513425439493</v>
      </c>
      <c r="F2350" s="3">
        <f t="shared" si="229"/>
        <v>-490.53498425727935</v>
      </c>
      <c r="G2350" s="3">
        <f t="shared" si="230"/>
        <v>6.3398500028844182</v>
      </c>
      <c r="H2350" s="3">
        <f t="shared" si="231"/>
        <v>584.19513425439493</v>
      </c>
      <c r="M2350" s="1">
        <f t="shared" si="226"/>
        <v>1599</v>
      </c>
      <c r="N2350" s="38">
        <f>+M2350*'Failure Data'!F$3</f>
        <v>41.307499999999997</v>
      </c>
    </row>
    <row r="2351" spans="1:14" x14ac:dyDescent="0.15">
      <c r="A2351" s="1">
        <v>2342</v>
      </c>
      <c r="B2351" s="3">
        <f t="shared" si="227"/>
        <v>590.78588774265143</v>
      </c>
      <c r="C2351" s="8"/>
      <c r="D2351" s="3">
        <f t="shared" si="228"/>
        <v>584.44603773976701</v>
      </c>
      <c r="F2351" s="3">
        <f t="shared" si="229"/>
        <v>-490.78588774265143</v>
      </c>
      <c r="G2351" s="3">
        <f t="shared" si="230"/>
        <v>6.3398500028844182</v>
      </c>
      <c r="H2351" s="3">
        <f t="shared" si="231"/>
        <v>584.44603773976701</v>
      </c>
      <c r="M2351" s="1">
        <f t="shared" si="226"/>
        <v>1600</v>
      </c>
      <c r="N2351" s="38">
        <f>+M2351*'Failure Data'!F$3</f>
        <v>41.333333333333336</v>
      </c>
    </row>
    <row r="2352" spans="1:14" x14ac:dyDescent="0.15">
      <c r="A2352" s="1">
        <v>2343</v>
      </c>
      <c r="B2352" s="3">
        <f t="shared" si="227"/>
        <v>591.03679122802339</v>
      </c>
      <c r="C2352" s="8"/>
      <c r="D2352" s="3">
        <f t="shared" si="228"/>
        <v>584.69694122513897</v>
      </c>
      <c r="F2352" s="3">
        <f t="shared" si="229"/>
        <v>-491.03679122802339</v>
      </c>
      <c r="G2352" s="3">
        <f t="shared" si="230"/>
        <v>6.3398500028844182</v>
      </c>
      <c r="H2352" s="3">
        <f t="shared" si="231"/>
        <v>584.69694122513897</v>
      </c>
      <c r="M2352" s="1">
        <f t="shared" si="226"/>
        <v>1601</v>
      </c>
      <c r="N2352" s="38">
        <f>+M2352*'Failure Data'!F$3</f>
        <v>41.359166666666667</v>
      </c>
    </row>
    <row r="2353" spans="1:14" x14ac:dyDescent="0.15">
      <c r="A2353" s="1">
        <v>2344</v>
      </c>
      <c r="B2353" s="3">
        <f t="shared" si="227"/>
        <v>591.28769471339535</v>
      </c>
      <c r="C2353" s="8"/>
      <c r="D2353" s="3">
        <f t="shared" si="228"/>
        <v>584.94784471051094</v>
      </c>
      <c r="F2353" s="3">
        <f t="shared" si="229"/>
        <v>-491.28769471339535</v>
      </c>
      <c r="G2353" s="3">
        <f t="shared" si="230"/>
        <v>6.3398500028844182</v>
      </c>
      <c r="H2353" s="3">
        <f t="shared" si="231"/>
        <v>584.94784471051094</v>
      </c>
      <c r="M2353" s="1">
        <f t="shared" si="226"/>
        <v>1602</v>
      </c>
      <c r="N2353" s="38">
        <f>+M2353*'Failure Data'!F$3</f>
        <v>41.384999999999998</v>
      </c>
    </row>
    <row r="2354" spans="1:14" x14ac:dyDescent="0.15">
      <c r="A2354" s="1">
        <v>2345</v>
      </c>
      <c r="B2354" s="3">
        <f t="shared" si="227"/>
        <v>591.53859819876732</v>
      </c>
      <c r="C2354" s="8"/>
      <c r="D2354" s="3">
        <f t="shared" si="228"/>
        <v>585.1987481958829</v>
      </c>
      <c r="F2354" s="3">
        <f t="shared" si="229"/>
        <v>-491.53859819876732</v>
      </c>
      <c r="G2354" s="3">
        <f t="shared" si="230"/>
        <v>6.3398500028844182</v>
      </c>
      <c r="H2354" s="3">
        <f t="shared" si="231"/>
        <v>585.1987481958829</v>
      </c>
      <c r="M2354" s="1">
        <f t="shared" si="226"/>
        <v>1603</v>
      </c>
      <c r="N2354" s="38">
        <f>+M2354*'Failure Data'!F$3</f>
        <v>41.410833333333336</v>
      </c>
    </row>
    <row r="2355" spans="1:14" x14ac:dyDescent="0.15">
      <c r="A2355" s="1">
        <v>2346</v>
      </c>
      <c r="B2355" s="3">
        <f t="shared" si="227"/>
        <v>591.7895016841394</v>
      </c>
      <c r="C2355" s="8"/>
      <c r="D2355" s="3">
        <f t="shared" si="228"/>
        <v>585.44965168125498</v>
      </c>
      <c r="F2355" s="3">
        <f t="shared" si="229"/>
        <v>-491.7895016841394</v>
      </c>
      <c r="G2355" s="3">
        <f t="shared" si="230"/>
        <v>6.3398500028844182</v>
      </c>
      <c r="H2355" s="3">
        <f t="shared" si="231"/>
        <v>585.44965168125498</v>
      </c>
      <c r="M2355" s="1">
        <f t="shared" si="226"/>
        <v>1604</v>
      </c>
      <c r="N2355" s="38">
        <f>+M2355*'Failure Data'!F$3</f>
        <v>41.436666666666667</v>
      </c>
    </row>
    <row r="2356" spans="1:14" x14ac:dyDescent="0.15">
      <c r="A2356" s="1">
        <v>2347</v>
      </c>
      <c r="B2356" s="3">
        <f t="shared" si="227"/>
        <v>592.04040516951136</v>
      </c>
      <c r="C2356" s="8"/>
      <c r="D2356" s="3">
        <f t="shared" si="228"/>
        <v>585.70055516662694</v>
      </c>
      <c r="F2356" s="3">
        <f t="shared" si="229"/>
        <v>-492.04040516951136</v>
      </c>
      <c r="G2356" s="3">
        <f t="shared" si="230"/>
        <v>6.3398500028844182</v>
      </c>
      <c r="H2356" s="3">
        <f t="shared" si="231"/>
        <v>585.70055516662694</v>
      </c>
      <c r="M2356" s="1">
        <f t="shared" si="226"/>
        <v>1605</v>
      </c>
      <c r="N2356" s="38">
        <f>+M2356*'Failure Data'!F$3</f>
        <v>41.462499999999999</v>
      </c>
    </row>
    <row r="2357" spans="1:14" x14ac:dyDescent="0.15">
      <c r="A2357" s="1">
        <v>2348</v>
      </c>
      <c r="B2357" s="3">
        <f t="shared" si="227"/>
        <v>592.29130865488332</v>
      </c>
      <c r="C2357" s="8"/>
      <c r="D2357" s="3">
        <f t="shared" si="228"/>
        <v>585.95145865199891</v>
      </c>
      <c r="F2357" s="3">
        <f t="shared" si="229"/>
        <v>-492.29130865488332</v>
      </c>
      <c r="G2357" s="3">
        <f t="shared" si="230"/>
        <v>6.3398500028844182</v>
      </c>
      <c r="H2357" s="3">
        <f t="shared" si="231"/>
        <v>585.95145865199891</v>
      </c>
      <c r="M2357" s="1">
        <f t="shared" si="226"/>
        <v>1606</v>
      </c>
      <c r="N2357" s="38">
        <f>+M2357*'Failure Data'!F$3</f>
        <v>41.48833333333333</v>
      </c>
    </row>
    <row r="2358" spans="1:14" x14ac:dyDescent="0.15">
      <c r="A2358" s="1">
        <v>2349</v>
      </c>
      <c r="B2358" s="3">
        <f t="shared" si="227"/>
        <v>592.54221214025529</v>
      </c>
      <c r="C2358" s="8"/>
      <c r="D2358" s="3">
        <f t="shared" si="228"/>
        <v>586.20236213737087</v>
      </c>
      <c r="F2358" s="3">
        <f t="shared" si="229"/>
        <v>-492.54221214025529</v>
      </c>
      <c r="G2358" s="3">
        <f t="shared" si="230"/>
        <v>6.3398500028844182</v>
      </c>
      <c r="H2358" s="3">
        <f t="shared" si="231"/>
        <v>586.20236213737087</v>
      </c>
      <c r="M2358" s="1">
        <f t="shared" si="226"/>
        <v>1607</v>
      </c>
      <c r="N2358" s="38">
        <f>+M2358*'Failure Data'!F$3</f>
        <v>41.514166666666668</v>
      </c>
    </row>
    <row r="2359" spans="1:14" x14ac:dyDescent="0.15">
      <c r="A2359" s="1">
        <v>2350</v>
      </c>
      <c r="B2359" s="3">
        <f t="shared" si="227"/>
        <v>592.79311562562737</v>
      </c>
      <c r="C2359" s="8"/>
      <c r="D2359" s="3">
        <f t="shared" si="228"/>
        <v>586.45326562274295</v>
      </c>
      <c r="F2359" s="3">
        <f t="shared" si="229"/>
        <v>-492.79311562562737</v>
      </c>
      <c r="G2359" s="3">
        <f t="shared" si="230"/>
        <v>6.3398500028844182</v>
      </c>
      <c r="H2359" s="3">
        <f t="shared" si="231"/>
        <v>586.45326562274295</v>
      </c>
      <c r="M2359" s="1">
        <f t="shared" si="226"/>
        <v>1608</v>
      </c>
      <c r="N2359" s="38">
        <f>+M2359*'Failure Data'!F$3</f>
        <v>41.54</v>
      </c>
    </row>
    <row r="2360" spans="1:14" x14ac:dyDescent="0.15">
      <c r="A2360" s="1">
        <v>2351</v>
      </c>
      <c r="B2360" s="3">
        <f t="shared" si="227"/>
        <v>593.04401911099933</v>
      </c>
      <c r="C2360" s="8"/>
      <c r="D2360" s="3">
        <f t="shared" si="228"/>
        <v>586.70416910811491</v>
      </c>
      <c r="F2360" s="3">
        <f t="shared" si="229"/>
        <v>-493.04401911099933</v>
      </c>
      <c r="G2360" s="3">
        <f t="shared" si="230"/>
        <v>6.3398500028844182</v>
      </c>
      <c r="H2360" s="3">
        <f t="shared" si="231"/>
        <v>586.70416910811491</v>
      </c>
      <c r="M2360" s="1">
        <f t="shared" si="226"/>
        <v>1609</v>
      </c>
      <c r="N2360" s="38">
        <f>+M2360*'Failure Data'!F$3</f>
        <v>41.56583333333333</v>
      </c>
    </row>
    <row r="2361" spans="1:14" x14ac:dyDescent="0.15">
      <c r="A2361" s="1">
        <v>2352</v>
      </c>
      <c r="B2361" s="3">
        <f t="shared" si="227"/>
        <v>593.29492259637129</v>
      </c>
      <c r="C2361" s="8"/>
      <c r="D2361" s="3">
        <f t="shared" si="228"/>
        <v>586.95507259348688</v>
      </c>
      <c r="F2361" s="3">
        <f t="shared" si="229"/>
        <v>-493.29492259637129</v>
      </c>
      <c r="G2361" s="3">
        <f t="shared" si="230"/>
        <v>6.3398500028844182</v>
      </c>
      <c r="H2361" s="3">
        <f t="shared" si="231"/>
        <v>586.95507259348688</v>
      </c>
      <c r="M2361" s="1">
        <f t="shared" si="226"/>
        <v>1610</v>
      </c>
      <c r="N2361" s="38">
        <f>+M2361*'Failure Data'!F$3</f>
        <v>41.591666666666669</v>
      </c>
    </row>
    <row r="2362" spans="1:14" x14ac:dyDescent="0.15">
      <c r="A2362" s="1">
        <v>2353</v>
      </c>
      <c r="B2362" s="3">
        <f t="shared" si="227"/>
        <v>593.54582608174326</v>
      </c>
      <c r="C2362" s="8"/>
      <c r="D2362" s="3">
        <f t="shared" si="228"/>
        <v>587.20597607885895</v>
      </c>
      <c r="F2362" s="3">
        <f t="shared" si="229"/>
        <v>-493.54582608174326</v>
      </c>
      <c r="G2362" s="3">
        <f t="shared" si="230"/>
        <v>6.3398500028843046</v>
      </c>
      <c r="H2362" s="3">
        <f t="shared" si="231"/>
        <v>587.20597607885895</v>
      </c>
      <c r="M2362" s="1">
        <f t="shared" si="226"/>
        <v>1611</v>
      </c>
      <c r="N2362" s="38">
        <f>+M2362*'Failure Data'!F$3</f>
        <v>41.6175</v>
      </c>
    </row>
    <row r="2363" spans="1:14" x14ac:dyDescent="0.15">
      <c r="A2363" s="1">
        <v>2354</v>
      </c>
      <c r="B2363" s="3">
        <f t="shared" si="227"/>
        <v>593.79672956711534</v>
      </c>
      <c r="C2363" s="8"/>
      <c r="D2363" s="3">
        <f t="shared" si="228"/>
        <v>587.45687956423092</v>
      </c>
      <c r="F2363" s="3">
        <f t="shared" si="229"/>
        <v>-493.79672956711534</v>
      </c>
      <c r="G2363" s="3">
        <f t="shared" si="230"/>
        <v>6.3398500028844182</v>
      </c>
      <c r="H2363" s="3">
        <f t="shared" si="231"/>
        <v>587.45687956423092</v>
      </c>
      <c r="M2363" s="1">
        <f t="shared" si="226"/>
        <v>1612</v>
      </c>
      <c r="N2363" s="38">
        <f>+M2363*'Failure Data'!F$3</f>
        <v>41.643333333333331</v>
      </c>
    </row>
    <row r="2364" spans="1:14" x14ac:dyDescent="0.15">
      <c r="A2364" s="1">
        <v>2355</v>
      </c>
      <c r="B2364" s="3">
        <f t="shared" si="227"/>
        <v>594.0476330524873</v>
      </c>
      <c r="C2364" s="8"/>
      <c r="D2364" s="3">
        <f t="shared" si="228"/>
        <v>587.70778304960288</v>
      </c>
      <c r="F2364" s="3">
        <f t="shared" si="229"/>
        <v>-494.0476330524873</v>
      </c>
      <c r="G2364" s="3">
        <f t="shared" si="230"/>
        <v>6.3398500028844182</v>
      </c>
      <c r="H2364" s="3">
        <f t="shared" si="231"/>
        <v>587.70778304960288</v>
      </c>
      <c r="M2364" s="1">
        <f t="shared" si="226"/>
        <v>1613</v>
      </c>
      <c r="N2364" s="38">
        <f>+M2364*'Failure Data'!F$3</f>
        <v>41.669166666666669</v>
      </c>
    </row>
    <row r="2365" spans="1:14" x14ac:dyDescent="0.15">
      <c r="A2365" s="1">
        <v>2356</v>
      </c>
      <c r="B2365" s="3">
        <f t="shared" si="227"/>
        <v>594.29853653785926</v>
      </c>
      <c r="C2365" s="8"/>
      <c r="D2365" s="3">
        <f t="shared" si="228"/>
        <v>587.95868653497485</v>
      </c>
      <c r="F2365" s="3">
        <f t="shared" si="229"/>
        <v>-494.29853653785926</v>
      </c>
      <c r="G2365" s="3">
        <f t="shared" si="230"/>
        <v>6.3398500028844182</v>
      </c>
      <c r="H2365" s="3">
        <f t="shared" si="231"/>
        <v>587.95868653497485</v>
      </c>
      <c r="M2365" s="1">
        <f t="shared" si="226"/>
        <v>1614</v>
      </c>
      <c r="N2365" s="38">
        <f>+M2365*'Failure Data'!F$3</f>
        <v>41.695</v>
      </c>
    </row>
    <row r="2366" spans="1:14" x14ac:dyDescent="0.15">
      <c r="A2366" s="1">
        <v>2357</v>
      </c>
      <c r="B2366" s="3">
        <f t="shared" si="227"/>
        <v>594.54944002323123</v>
      </c>
      <c r="C2366" s="8"/>
      <c r="D2366" s="3">
        <f t="shared" si="228"/>
        <v>588.20959002034692</v>
      </c>
      <c r="F2366" s="3">
        <f t="shared" si="229"/>
        <v>-494.54944002323123</v>
      </c>
      <c r="G2366" s="3">
        <f t="shared" si="230"/>
        <v>6.3398500028843046</v>
      </c>
      <c r="H2366" s="3">
        <f t="shared" si="231"/>
        <v>588.20959002034692</v>
      </c>
      <c r="M2366" s="1">
        <f t="shared" si="226"/>
        <v>1615</v>
      </c>
      <c r="N2366" s="38">
        <f>+M2366*'Failure Data'!F$3</f>
        <v>41.720833333333331</v>
      </c>
    </row>
    <row r="2367" spans="1:14" x14ac:dyDescent="0.15">
      <c r="A2367" s="1">
        <v>2358</v>
      </c>
      <c r="B2367" s="3">
        <f t="shared" si="227"/>
        <v>594.80034350860331</v>
      </c>
      <c r="C2367" s="8"/>
      <c r="D2367" s="3">
        <f t="shared" si="228"/>
        <v>588.46049350571889</v>
      </c>
      <c r="F2367" s="3">
        <f t="shared" si="229"/>
        <v>-494.80034350860331</v>
      </c>
      <c r="G2367" s="3">
        <f t="shared" si="230"/>
        <v>6.3398500028844182</v>
      </c>
      <c r="H2367" s="3">
        <f t="shared" si="231"/>
        <v>588.46049350571889</v>
      </c>
      <c r="M2367" s="1">
        <f t="shared" si="226"/>
        <v>1616</v>
      </c>
      <c r="N2367" s="38">
        <f>+M2367*'Failure Data'!F$3</f>
        <v>41.74666666666667</v>
      </c>
    </row>
    <row r="2368" spans="1:14" x14ac:dyDescent="0.15">
      <c r="A2368" s="1">
        <v>2359</v>
      </c>
      <c r="B2368" s="3">
        <f t="shared" si="227"/>
        <v>595.05124699397527</v>
      </c>
      <c r="C2368" s="8"/>
      <c r="D2368" s="3">
        <f t="shared" si="228"/>
        <v>588.71139699109085</v>
      </c>
      <c r="F2368" s="3">
        <f t="shared" si="229"/>
        <v>-495.05124699397527</v>
      </c>
      <c r="G2368" s="3">
        <f t="shared" si="230"/>
        <v>6.3398500028844182</v>
      </c>
      <c r="H2368" s="3">
        <f t="shared" si="231"/>
        <v>588.71139699109085</v>
      </c>
      <c r="M2368" s="1">
        <f t="shared" si="226"/>
        <v>1617</v>
      </c>
      <c r="N2368" s="38">
        <f>+M2368*'Failure Data'!F$3</f>
        <v>41.772500000000001</v>
      </c>
    </row>
    <row r="2369" spans="1:14" x14ac:dyDescent="0.15">
      <c r="A2369" s="1">
        <v>2360</v>
      </c>
      <c r="B2369" s="3">
        <f t="shared" si="227"/>
        <v>595.30215047934723</v>
      </c>
      <c r="C2369" s="8"/>
      <c r="D2369" s="3">
        <f t="shared" si="228"/>
        <v>588.96230047646281</v>
      </c>
      <c r="F2369" s="3">
        <f t="shared" si="229"/>
        <v>-495.30215047934723</v>
      </c>
      <c r="G2369" s="3">
        <f t="shared" si="230"/>
        <v>6.3398500028844182</v>
      </c>
      <c r="H2369" s="3">
        <f t="shared" si="231"/>
        <v>588.96230047646281</v>
      </c>
      <c r="M2369" s="1">
        <f t="shared" ref="M2369:M2432" si="232">M2368+1</f>
        <v>1618</v>
      </c>
      <c r="N2369" s="38">
        <f>+M2369*'Failure Data'!F$3</f>
        <v>41.798333333333332</v>
      </c>
    </row>
    <row r="2370" spans="1:14" x14ac:dyDescent="0.15">
      <c r="A2370" s="1">
        <v>2361</v>
      </c>
      <c r="B2370" s="3">
        <f t="shared" si="227"/>
        <v>595.5530539647192</v>
      </c>
      <c r="C2370" s="8"/>
      <c r="D2370" s="3">
        <f t="shared" si="228"/>
        <v>589.21320396183489</v>
      </c>
      <c r="F2370" s="3">
        <f t="shared" si="229"/>
        <v>-495.5530539647192</v>
      </c>
      <c r="G2370" s="3">
        <f t="shared" si="230"/>
        <v>6.3398500028843046</v>
      </c>
      <c r="H2370" s="3">
        <f t="shared" si="231"/>
        <v>589.21320396183489</v>
      </c>
      <c r="M2370" s="1">
        <f t="shared" si="232"/>
        <v>1619</v>
      </c>
      <c r="N2370" s="38">
        <f>+M2370*'Failure Data'!F$3</f>
        <v>41.824166666666663</v>
      </c>
    </row>
    <row r="2371" spans="1:14" x14ac:dyDescent="0.15">
      <c r="A2371" s="1">
        <v>2362</v>
      </c>
      <c r="B2371" s="3">
        <f t="shared" si="227"/>
        <v>595.80395745009127</v>
      </c>
      <c r="C2371" s="8"/>
      <c r="D2371" s="3">
        <f t="shared" si="228"/>
        <v>589.46410744720686</v>
      </c>
      <c r="F2371" s="3">
        <f t="shared" si="229"/>
        <v>-495.80395745009127</v>
      </c>
      <c r="G2371" s="3">
        <f t="shared" si="230"/>
        <v>6.3398500028844182</v>
      </c>
      <c r="H2371" s="3">
        <f t="shared" si="231"/>
        <v>589.46410744720686</v>
      </c>
      <c r="M2371" s="1">
        <f t="shared" si="232"/>
        <v>1620</v>
      </c>
      <c r="N2371" s="38">
        <f>+M2371*'Failure Data'!F$3</f>
        <v>41.85</v>
      </c>
    </row>
    <row r="2372" spans="1:14" x14ac:dyDescent="0.15">
      <c r="A2372" s="1">
        <v>2363</v>
      </c>
      <c r="B2372" s="3">
        <f t="shared" si="227"/>
        <v>596.05486093546324</v>
      </c>
      <c r="C2372" s="8"/>
      <c r="D2372" s="3">
        <f t="shared" si="228"/>
        <v>589.71501093257882</v>
      </c>
      <c r="F2372" s="3">
        <f t="shared" si="229"/>
        <v>-496.05486093546324</v>
      </c>
      <c r="G2372" s="3">
        <f t="shared" si="230"/>
        <v>6.3398500028844182</v>
      </c>
      <c r="H2372" s="3">
        <f t="shared" si="231"/>
        <v>589.71501093257882</v>
      </c>
      <c r="M2372" s="1">
        <f t="shared" si="232"/>
        <v>1621</v>
      </c>
      <c r="N2372" s="38">
        <f>+M2372*'Failure Data'!F$3</f>
        <v>41.875833333333333</v>
      </c>
    </row>
    <row r="2373" spans="1:14" x14ac:dyDescent="0.15">
      <c r="A2373" s="1">
        <v>2364</v>
      </c>
      <c r="B2373" s="3">
        <f t="shared" si="227"/>
        <v>596.3057644208352</v>
      </c>
      <c r="C2373" s="8"/>
      <c r="D2373" s="3">
        <f t="shared" si="228"/>
        <v>589.96591441795078</v>
      </c>
      <c r="F2373" s="3">
        <f t="shared" si="229"/>
        <v>-496.3057644208352</v>
      </c>
      <c r="G2373" s="3">
        <f t="shared" si="230"/>
        <v>6.3398500028844182</v>
      </c>
      <c r="H2373" s="3">
        <f t="shared" si="231"/>
        <v>589.96591441795078</v>
      </c>
      <c r="M2373" s="1">
        <f t="shared" si="232"/>
        <v>1622</v>
      </c>
      <c r="N2373" s="38">
        <f>+M2373*'Failure Data'!F$3</f>
        <v>41.901666666666664</v>
      </c>
    </row>
    <row r="2374" spans="1:14" x14ac:dyDescent="0.15">
      <c r="A2374" s="1">
        <v>2365</v>
      </c>
      <c r="B2374" s="3">
        <f t="shared" si="227"/>
        <v>596.55666790620728</v>
      </c>
      <c r="C2374" s="8"/>
      <c r="D2374" s="3">
        <f t="shared" si="228"/>
        <v>590.21681790332286</v>
      </c>
      <c r="F2374" s="3">
        <f t="shared" si="229"/>
        <v>-496.55666790620728</v>
      </c>
      <c r="G2374" s="3">
        <f t="shared" si="230"/>
        <v>6.3398500028844182</v>
      </c>
      <c r="H2374" s="3">
        <f t="shared" si="231"/>
        <v>590.21681790332286</v>
      </c>
      <c r="M2374" s="1">
        <f t="shared" si="232"/>
        <v>1623</v>
      </c>
      <c r="N2374" s="38">
        <f>+M2374*'Failure Data'!F$3</f>
        <v>41.927500000000002</v>
      </c>
    </row>
    <row r="2375" spans="1:14" x14ac:dyDescent="0.15">
      <c r="A2375" s="1">
        <v>2366</v>
      </c>
      <c r="B2375" s="3">
        <f t="shared" si="227"/>
        <v>596.80757139157924</v>
      </c>
      <c r="C2375" s="8"/>
      <c r="D2375" s="3">
        <f t="shared" si="228"/>
        <v>590.46772138869483</v>
      </c>
      <c r="F2375" s="3">
        <f t="shared" si="229"/>
        <v>-496.80757139157924</v>
      </c>
      <c r="G2375" s="3">
        <f t="shared" si="230"/>
        <v>6.3398500028844182</v>
      </c>
      <c r="H2375" s="3">
        <f t="shared" si="231"/>
        <v>590.46772138869483</v>
      </c>
      <c r="M2375" s="1">
        <f t="shared" si="232"/>
        <v>1624</v>
      </c>
      <c r="N2375" s="38">
        <f>+M2375*'Failure Data'!F$3</f>
        <v>41.953333333333333</v>
      </c>
    </row>
    <row r="2376" spans="1:14" x14ac:dyDescent="0.15">
      <c r="A2376" s="1">
        <v>2367</v>
      </c>
      <c r="B2376" s="3">
        <f t="shared" si="227"/>
        <v>597.05847487695121</v>
      </c>
      <c r="C2376" s="8"/>
      <c r="D2376" s="3">
        <f t="shared" si="228"/>
        <v>590.71862487406679</v>
      </c>
      <c r="F2376" s="3">
        <f t="shared" si="229"/>
        <v>-497.05847487695121</v>
      </c>
      <c r="G2376" s="3">
        <f t="shared" si="230"/>
        <v>6.3398500028844182</v>
      </c>
      <c r="H2376" s="3">
        <f t="shared" si="231"/>
        <v>590.71862487406679</v>
      </c>
      <c r="M2376" s="1">
        <f t="shared" si="232"/>
        <v>1625</v>
      </c>
      <c r="N2376" s="38">
        <f>+M2376*'Failure Data'!F$3</f>
        <v>41.979166666666664</v>
      </c>
    </row>
    <row r="2377" spans="1:14" x14ac:dyDescent="0.15">
      <c r="A2377" s="1">
        <v>2368</v>
      </c>
      <c r="B2377" s="3">
        <f t="shared" si="227"/>
        <v>597.30937836232317</v>
      </c>
      <c r="C2377" s="8"/>
      <c r="D2377" s="3">
        <f t="shared" si="228"/>
        <v>590.96952835943875</v>
      </c>
      <c r="F2377" s="3">
        <f t="shared" si="229"/>
        <v>-497.30937836232317</v>
      </c>
      <c r="G2377" s="3">
        <f t="shared" si="230"/>
        <v>6.3398500028844182</v>
      </c>
      <c r="H2377" s="3">
        <f t="shared" si="231"/>
        <v>590.96952835943875</v>
      </c>
      <c r="M2377" s="1">
        <f t="shared" si="232"/>
        <v>1626</v>
      </c>
      <c r="N2377" s="38">
        <f>+M2377*'Failure Data'!F$3</f>
        <v>42.005000000000003</v>
      </c>
    </row>
    <row r="2378" spans="1:14" x14ac:dyDescent="0.15">
      <c r="A2378" s="1">
        <v>2369</v>
      </c>
      <c r="B2378" s="3">
        <f t="shared" si="227"/>
        <v>597.56028184769525</v>
      </c>
      <c r="C2378" s="8"/>
      <c r="D2378" s="3">
        <f t="shared" si="228"/>
        <v>591.22043184481083</v>
      </c>
      <c r="F2378" s="3">
        <f t="shared" si="229"/>
        <v>-497.56028184769525</v>
      </c>
      <c r="G2378" s="3">
        <f t="shared" si="230"/>
        <v>6.3398500028844182</v>
      </c>
      <c r="H2378" s="3">
        <f t="shared" si="231"/>
        <v>591.22043184481083</v>
      </c>
      <c r="M2378" s="1">
        <f t="shared" si="232"/>
        <v>1627</v>
      </c>
      <c r="N2378" s="38">
        <f>+M2378*'Failure Data'!F$3</f>
        <v>42.030833333333334</v>
      </c>
    </row>
    <row r="2379" spans="1:14" x14ac:dyDescent="0.15">
      <c r="A2379" s="1">
        <v>2370</v>
      </c>
      <c r="B2379" s="3">
        <f t="shared" si="227"/>
        <v>597.81118533306721</v>
      </c>
      <c r="C2379" s="8"/>
      <c r="D2379" s="3">
        <f t="shared" si="228"/>
        <v>591.4713353301828</v>
      </c>
      <c r="F2379" s="3">
        <f t="shared" si="229"/>
        <v>-497.81118533306721</v>
      </c>
      <c r="G2379" s="3">
        <f t="shared" si="230"/>
        <v>6.3398500028844182</v>
      </c>
      <c r="H2379" s="3">
        <f t="shared" si="231"/>
        <v>591.4713353301828</v>
      </c>
      <c r="M2379" s="1">
        <f t="shared" si="232"/>
        <v>1628</v>
      </c>
      <c r="N2379" s="38">
        <f>+M2379*'Failure Data'!F$3</f>
        <v>42.056666666666665</v>
      </c>
    </row>
    <row r="2380" spans="1:14" x14ac:dyDescent="0.15">
      <c r="A2380" s="1">
        <v>2371</v>
      </c>
      <c r="B2380" s="3">
        <f t="shared" si="227"/>
        <v>598.06208881843918</v>
      </c>
      <c r="C2380" s="8"/>
      <c r="D2380" s="3">
        <f t="shared" si="228"/>
        <v>591.72223881555476</v>
      </c>
      <c r="F2380" s="3">
        <f t="shared" si="229"/>
        <v>-498.06208881843918</v>
      </c>
      <c r="G2380" s="3">
        <f t="shared" si="230"/>
        <v>6.3398500028844182</v>
      </c>
      <c r="H2380" s="3">
        <f t="shared" si="231"/>
        <v>591.72223881555476</v>
      </c>
      <c r="M2380" s="1">
        <f t="shared" si="232"/>
        <v>1629</v>
      </c>
      <c r="N2380" s="38">
        <f>+M2380*'Failure Data'!F$3</f>
        <v>42.082500000000003</v>
      </c>
    </row>
    <row r="2381" spans="1:14" x14ac:dyDescent="0.15">
      <c r="A2381" s="1">
        <v>2372</v>
      </c>
      <c r="B2381" s="3">
        <f t="shared" si="227"/>
        <v>598.31299230381114</v>
      </c>
      <c r="C2381" s="8"/>
      <c r="D2381" s="3">
        <f t="shared" si="228"/>
        <v>591.97314230092672</v>
      </c>
      <c r="F2381" s="3">
        <f t="shared" si="229"/>
        <v>-498.31299230381114</v>
      </c>
      <c r="G2381" s="3">
        <f t="shared" si="230"/>
        <v>6.3398500028844182</v>
      </c>
      <c r="H2381" s="3">
        <f t="shared" si="231"/>
        <v>591.97314230092672</v>
      </c>
      <c r="M2381" s="1">
        <f t="shared" si="232"/>
        <v>1630</v>
      </c>
      <c r="N2381" s="38">
        <f>+M2381*'Failure Data'!F$3</f>
        <v>42.108333333333334</v>
      </c>
    </row>
    <row r="2382" spans="1:14" x14ac:dyDescent="0.15">
      <c r="A2382" s="1">
        <v>2373</v>
      </c>
      <c r="B2382" s="3">
        <f t="shared" si="227"/>
        <v>598.56389578918322</v>
      </c>
      <c r="C2382" s="8"/>
      <c r="D2382" s="3">
        <f t="shared" si="228"/>
        <v>592.2240457862988</v>
      </c>
      <c r="F2382" s="3">
        <f t="shared" si="229"/>
        <v>-498.56389578918322</v>
      </c>
      <c r="G2382" s="3">
        <f t="shared" si="230"/>
        <v>6.3398500028844182</v>
      </c>
      <c r="H2382" s="3">
        <f t="shared" si="231"/>
        <v>592.2240457862988</v>
      </c>
      <c r="M2382" s="1">
        <f t="shared" si="232"/>
        <v>1631</v>
      </c>
      <c r="N2382" s="38">
        <f>+M2382*'Failure Data'!F$3</f>
        <v>42.134166666666665</v>
      </c>
    </row>
    <row r="2383" spans="1:14" x14ac:dyDescent="0.15">
      <c r="A2383" s="1">
        <v>2374</v>
      </c>
      <c r="B2383" s="3">
        <f t="shared" si="227"/>
        <v>598.81479927455518</v>
      </c>
      <c r="C2383" s="8"/>
      <c r="D2383" s="3">
        <f t="shared" si="228"/>
        <v>592.47494927167077</v>
      </c>
      <c r="F2383" s="3">
        <f t="shared" si="229"/>
        <v>-498.81479927455518</v>
      </c>
      <c r="G2383" s="3">
        <f t="shared" si="230"/>
        <v>6.3398500028844182</v>
      </c>
      <c r="H2383" s="3">
        <f t="shared" si="231"/>
        <v>592.47494927167077</v>
      </c>
      <c r="M2383" s="1">
        <f t="shared" si="232"/>
        <v>1632</v>
      </c>
      <c r="N2383" s="38">
        <f>+M2383*'Failure Data'!F$3</f>
        <v>42.16</v>
      </c>
    </row>
    <row r="2384" spans="1:14" x14ac:dyDescent="0.15">
      <c r="A2384" s="1">
        <v>2375</v>
      </c>
      <c r="B2384" s="3">
        <f t="shared" si="227"/>
        <v>599.06570275992715</v>
      </c>
      <c r="C2384" s="8"/>
      <c r="D2384" s="3">
        <f t="shared" si="228"/>
        <v>592.72585275704273</v>
      </c>
      <c r="F2384" s="3">
        <f t="shared" si="229"/>
        <v>-499.06570275992715</v>
      </c>
      <c r="G2384" s="3">
        <f t="shared" si="230"/>
        <v>6.3398500028844182</v>
      </c>
      <c r="H2384" s="3">
        <f t="shared" si="231"/>
        <v>592.72585275704273</v>
      </c>
      <c r="M2384" s="1">
        <f t="shared" si="232"/>
        <v>1633</v>
      </c>
      <c r="N2384" s="38">
        <f>+M2384*'Failure Data'!F$3</f>
        <v>42.185833333333335</v>
      </c>
    </row>
    <row r="2385" spans="1:14" x14ac:dyDescent="0.15">
      <c r="A2385" s="1">
        <v>2376</v>
      </c>
      <c r="B2385" s="3">
        <f t="shared" si="227"/>
        <v>599.31660624529911</v>
      </c>
      <c r="C2385" s="8"/>
      <c r="D2385" s="3">
        <f t="shared" si="228"/>
        <v>592.97675624241481</v>
      </c>
      <c r="F2385" s="3">
        <f t="shared" si="229"/>
        <v>-499.31660624529911</v>
      </c>
      <c r="G2385" s="3">
        <f t="shared" si="230"/>
        <v>6.3398500028843046</v>
      </c>
      <c r="H2385" s="3">
        <f t="shared" si="231"/>
        <v>592.97675624241481</v>
      </c>
      <c r="M2385" s="1">
        <f t="shared" si="232"/>
        <v>1634</v>
      </c>
      <c r="N2385" s="38">
        <f>+M2385*'Failure Data'!F$3</f>
        <v>42.211666666666666</v>
      </c>
    </row>
    <row r="2386" spans="1:14" x14ac:dyDescent="0.15">
      <c r="A2386" s="1">
        <v>2377</v>
      </c>
      <c r="B2386" s="3">
        <f t="shared" si="227"/>
        <v>599.56750973067119</v>
      </c>
      <c r="C2386" s="8"/>
      <c r="D2386" s="3">
        <f t="shared" si="228"/>
        <v>593.22765972778677</v>
      </c>
      <c r="F2386" s="3">
        <f t="shared" si="229"/>
        <v>-499.56750973067119</v>
      </c>
      <c r="G2386" s="3">
        <f t="shared" si="230"/>
        <v>6.3398500028844182</v>
      </c>
      <c r="H2386" s="3">
        <f t="shared" si="231"/>
        <v>593.22765972778677</v>
      </c>
      <c r="M2386" s="1">
        <f t="shared" si="232"/>
        <v>1635</v>
      </c>
      <c r="N2386" s="38">
        <f>+M2386*'Failure Data'!F$3</f>
        <v>42.237499999999997</v>
      </c>
    </row>
    <row r="2387" spans="1:14" x14ac:dyDescent="0.15">
      <c r="A2387" s="1">
        <v>2378</v>
      </c>
      <c r="B2387" s="3">
        <f t="shared" si="227"/>
        <v>599.81841321604315</v>
      </c>
      <c r="C2387" s="8"/>
      <c r="D2387" s="3">
        <f t="shared" si="228"/>
        <v>593.47856321315874</v>
      </c>
      <c r="F2387" s="3">
        <f t="shared" si="229"/>
        <v>-499.81841321604315</v>
      </c>
      <c r="G2387" s="3">
        <f t="shared" si="230"/>
        <v>6.3398500028844182</v>
      </c>
      <c r="H2387" s="3">
        <f t="shared" si="231"/>
        <v>593.47856321315874</v>
      </c>
      <c r="M2387" s="1">
        <f t="shared" si="232"/>
        <v>1636</v>
      </c>
      <c r="N2387" s="38">
        <f>+M2387*'Failure Data'!F$3</f>
        <v>42.263333333333335</v>
      </c>
    </row>
    <row r="2388" spans="1:14" x14ac:dyDescent="0.15">
      <c r="A2388" s="1">
        <v>2379</v>
      </c>
      <c r="B2388" s="3">
        <f t="shared" si="227"/>
        <v>600.06931670141512</v>
      </c>
      <c r="C2388" s="8"/>
      <c r="D2388" s="3">
        <f t="shared" si="228"/>
        <v>593.7294666985307</v>
      </c>
      <c r="F2388" s="3">
        <f t="shared" si="229"/>
        <v>-500.06931670141512</v>
      </c>
      <c r="G2388" s="3">
        <f t="shared" si="230"/>
        <v>6.3398500028844182</v>
      </c>
      <c r="H2388" s="3">
        <f t="shared" si="231"/>
        <v>593.7294666985307</v>
      </c>
      <c r="M2388" s="1">
        <f t="shared" si="232"/>
        <v>1637</v>
      </c>
      <c r="N2388" s="38">
        <f>+M2388*'Failure Data'!F$3</f>
        <v>42.289166666666667</v>
      </c>
    </row>
    <row r="2389" spans="1:14" x14ac:dyDescent="0.15">
      <c r="A2389" s="1">
        <v>2380</v>
      </c>
      <c r="B2389" s="3">
        <f t="shared" si="227"/>
        <v>600.32022018678708</v>
      </c>
      <c r="C2389" s="8"/>
      <c r="D2389" s="3">
        <f t="shared" si="228"/>
        <v>593.98037018390278</v>
      </c>
      <c r="F2389" s="3">
        <f t="shared" si="229"/>
        <v>-500.32022018678708</v>
      </c>
      <c r="G2389" s="3">
        <f t="shared" si="230"/>
        <v>6.3398500028843046</v>
      </c>
      <c r="H2389" s="3">
        <f t="shared" si="231"/>
        <v>593.98037018390278</v>
      </c>
      <c r="M2389" s="1">
        <f t="shared" si="232"/>
        <v>1638</v>
      </c>
      <c r="N2389" s="38">
        <f>+M2389*'Failure Data'!F$3</f>
        <v>42.314999999999998</v>
      </c>
    </row>
    <row r="2390" spans="1:14" x14ac:dyDescent="0.15">
      <c r="A2390" s="1">
        <v>2381</v>
      </c>
      <c r="B2390" s="3">
        <f t="shared" si="227"/>
        <v>600.57112367215916</v>
      </c>
      <c r="C2390" s="8"/>
      <c r="D2390" s="3">
        <f t="shared" si="228"/>
        <v>594.23127366927474</v>
      </c>
      <c r="F2390" s="3">
        <f t="shared" si="229"/>
        <v>-500.57112367215916</v>
      </c>
      <c r="G2390" s="3">
        <f t="shared" si="230"/>
        <v>6.3398500028844182</v>
      </c>
      <c r="H2390" s="3">
        <f t="shared" si="231"/>
        <v>594.23127366927474</v>
      </c>
      <c r="M2390" s="1">
        <f t="shared" si="232"/>
        <v>1639</v>
      </c>
      <c r="N2390" s="38">
        <f>+M2390*'Failure Data'!F$3</f>
        <v>42.340833333333336</v>
      </c>
    </row>
    <row r="2391" spans="1:14" x14ac:dyDescent="0.15">
      <c r="A2391" s="1">
        <v>2382</v>
      </c>
      <c r="B2391" s="3">
        <f t="shared" si="227"/>
        <v>600.82202715753112</v>
      </c>
      <c r="C2391" s="8"/>
      <c r="D2391" s="3">
        <f t="shared" si="228"/>
        <v>594.48217715464671</v>
      </c>
      <c r="F2391" s="3">
        <f t="shared" si="229"/>
        <v>-500.82202715753112</v>
      </c>
      <c r="G2391" s="3">
        <f t="shared" si="230"/>
        <v>6.3398500028844182</v>
      </c>
      <c r="H2391" s="3">
        <f t="shared" si="231"/>
        <v>594.48217715464671</v>
      </c>
      <c r="M2391" s="1">
        <f t="shared" si="232"/>
        <v>1640</v>
      </c>
      <c r="N2391" s="38">
        <f>+M2391*'Failure Data'!F$3</f>
        <v>42.366666666666667</v>
      </c>
    </row>
    <row r="2392" spans="1:14" x14ac:dyDescent="0.15">
      <c r="A2392" s="1">
        <v>2383</v>
      </c>
      <c r="B2392" s="3">
        <f t="shared" si="227"/>
        <v>601.07293064290309</v>
      </c>
      <c r="C2392" s="8"/>
      <c r="D2392" s="3">
        <f t="shared" si="228"/>
        <v>594.73308064001867</v>
      </c>
      <c r="F2392" s="3">
        <f t="shared" si="229"/>
        <v>-501.07293064290309</v>
      </c>
      <c r="G2392" s="3">
        <f t="shared" si="230"/>
        <v>6.3398500028844182</v>
      </c>
      <c r="H2392" s="3">
        <f t="shared" si="231"/>
        <v>594.73308064001867</v>
      </c>
      <c r="M2392" s="1">
        <f t="shared" si="232"/>
        <v>1641</v>
      </c>
      <c r="N2392" s="38">
        <f>+M2392*'Failure Data'!F$3</f>
        <v>42.392499999999998</v>
      </c>
    </row>
    <row r="2393" spans="1:14" x14ac:dyDescent="0.15">
      <c r="A2393" s="1">
        <v>2384</v>
      </c>
      <c r="B2393" s="3">
        <f t="shared" si="227"/>
        <v>601.32383412827505</v>
      </c>
      <c r="C2393" s="8"/>
      <c r="D2393" s="3">
        <f t="shared" si="228"/>
        <v>594.98398412539075</v>
      </c>
      <c r="F2393" s="3">
        <f t="shared" si="229"/>
        <v>-501.32383412827505</v>
      </c>
      <c r="G2393" s="3">
        <f t="shared" si="230"/>
        <v>6.3398500028843046</v>
      </c>
      <c r="H2393" s="3">
        <f t="shared" si="231"/>
        <v>594.98398412539075</v>
      </c>
      <c r="M2393" s="1">
        <f t="shared" si="232"/>
        <v>1642</v>
      </c>
      <c r="N2393" s="38">
        <f>+M2393*'Failure Data'!F$3</f>
        <v>42.418333333333337</v>
      </c>
    </row>
    <row r="2394" spans="1:14" x14ac:dyDescent="0.15">
      <c r="A2394" s="1">
        <v>2385</v>
      </c>
      <c r="B2394" s="3">
        <f t="shared" si="227"/>
        <v>601.57473761364713</v>
      </c>
      <c r="C2394" s="8"/>
      <c r="D2394" s="3">
        <f t="shared" si="228"/>
        <v>595.23488761076271</v>
      </c>
      <c r="F2394" s="3">
        <f t="shared" si="229"/>
        <v>-501.57473761364713</v>
      </c>
      <c r="G2394" s="3">
        <f t="shared" si="230"/>
        <v>6.3398500028844182</v>
      </c>
      <c r="H2394" s="3">
        <f t="shared" si="231"/>
        <v>595.23488761076271</v>
      </c>
      <c r="M2394" s="1">
        <f t="shared" si="232"/>
        <v>1643</v>
      </c>
      <c r="N2394" s="38">
        <f>+M2394*'Failure Data'!F$3</f>
        <v>42.444166666666668</v>
      </c>
    </row>
    <row r="2395" spans="1:14" x14ac:dyDescent="0.15">
      <c r="A2395" s="1">
        <v>2386</v>
      </c>
      <c r="B2395" s="3">
        <f t="shared" si="227"/>
        <v>601.82564109901909</v>
      </c>
      <c r="C2395" s="8"/>
      <c r="D2395" s="3">
        <f t="shared" si="228"/>
        <v>595.48579109613468</v>
      </c>
      <c r="F2395" s="3">
        <f t="shared" si="229"/>
        <v>-501.82564109901909</v>
      </c>
      <c r="G2395" s="3">
        <f t="shared" si="230"/>
        <v>6.3398500028844182</v>
      </c>
      <c r="H2395" s="3">
        <f t="shared" si="231"/>
        <v>595.48579109613468</v>
      </c>
      <c r="M2395" s="1">
        <f t="shared" si="232"/>
        <v>1644</v>
      </c>
      <c r="N2395" s="38">
        <f>+M2395*'Failure Data'!F$3</f>
        <v>42.47</v>
      </c>
    </row>
    <row r="2396" spans="1:14" x14ac:dyDescent="0.15">
      <c r="A2396" s="1">
        <v>2387</v>
      </c>
      <c r="B2396" s="3">
        <f t="shared" si="227"/>
        <v>602.07654458439106</v>
      </c>
      <c r="C2396" s="8"/>
      <c r="D2396" s="3">
        <f t="shared" si="228"/>
        <v>595.73669458150664</v>
      </c>
      <c r="F2396" s="3">
        <f t="shared" si="229"/>
        <v>-502.07654458439106</v>
      </c>
      <c r="G2396" s="3">
        <f t="shared" si="230"/>
        <v>6.3398500028844182</v>
      </c>
      <c r="H2396" s="3">
        <f t="shared" si="231"/>
        <v>595.73669458150664</v>
      </c>
      <c r="M2396" s="1">
        <f t="shared" si="232"/>
        <v>1645</v>
      </c>
      <c r="N2396" s="38">
        <f>+M2396*'Failure Data'!F$3</f>
        <v>42.49583333333333</v>
      </c>
    </row>
    <row r="2397" spans="1:14" x14ac:dyDescent="0.15">
      <c r="A2397" s="1">
        <v>2388</v>
      </c>
      <c r="B2397" s="3">
        <f t="shared" si="227"/>
        <v>602.32744806976302</v>
      </c>
      <c r="C2397" s="8"/>
      <c r="D2397" s="3">
        <f t="shared" si="228"/>
        <v>595.98759806687872</v>
      </c>
      <c r="F2397" s="3">
        <f t="shared" si="229"/>
        <v>-502.32744806976302</v>
      </c>
      <c r="G2397" s="3">
        <f t="shared" si="230"/>
        <v>6.3398500028843046</v>
      </c>
      <c r="H2397" s="3">
        <f t="shared" si="231"/>
        <v>595.98759806687872</v>
      </c>
      <c r="M2397" s="1">
        <f t="shared" si="232"/>
        <v>1646</v>
      </c>
      <c r="N2397" s="38">
        <f>+M2397*'Failure Data'!F$3</f>
        <v>42.521666666666668</v>
      </c>
    </row>
    <row r="2398" spans="1:14" x14ac:dyDescent="0.15">
      <c r="A2398" s="1">
        <v>2389</v>
      </c>
      <c r="B2398" s="3">
        <f t="shared" si="227"/>
        <v>602.5783515551351</v>
      </c>
      <c r="C2398" s="8"/>
      <c r="D2398" s="3">
        <f t="shared" si="228"/>
        <v>596.23850155225068</v>
      </c>
      <c r="F2398" s="3">
        <f t="shared" si="229"/>
        <v>-502.5783515551351</v>
      </c>
      <c r="G2398" s="3">
        <f t="shared" si="230"/>
        <v>6.3398500028844182</v>
      </c>
      <c r="H2398" s="3">
        <f t="shared" si="231"/>
        <v>596.23850155225068</v>
      </c>
      <c r="M2398" s="1">
        <f t="shared" si="232"/>
        <v>1647</v>
      </c>
      <c r="N2398" s="38">
        <f>+M2398*'Failure Data'!F$3</f>
        <v>42.547499999999999</v>
      </c>
    </row>
    <row r="2399" spans="1:14" x14ac:dyDescent="0.15">
      <c r="A2399" s="1">
        <v>2390</v>
      </c>
      <c r="B2399" s="3">
        <f t="shared" ref="B2399:B2462" si="233">+(B$4*A2399)+B$5</f>
        <v>602.82925504050706</v>
      </c>
      <c r="C2399" s="8"/>
      <c r="D2399" s="3">
        <f t="shared" ref="D2399:D2462" si="234">+(D$4*A2399)+D$5</f>
        <v>596.48940503762265</v>
      </c>
      <c r="F2399" s="3">
        <f t="shared" ref="F2399:F2462" si="235">+xmax-B2399</f>
        <v>-502.82925504050706</v>
      </c>
      <c r="G2399" s="3">
        <f t="shared" ref="G2399:G2462" si="236">+B2399-D2399</f>
        <v>6.3398500028844182</v>
      </c>
      <c r="H2399" s="3">
        <f t="shared" ref="H2399:H2462" si="237">D2399</f>
        <v>596.48940503762265</v>
      </c>
      <c r="M2399" s="1">
        <f t="shared" si="232"/>
        <v>1648</v>
      </c>
      <c r="N2399" s="38">
        <f>+M2399*'Failure Data'!F$3</f>
        <v>42.573333333333331</v>
      </c>
    </row>
    <row r="2400" spans="1:14" x14ac:dyDescent="0.15">
      <c r="A2400" s="1">
        <v>2391</v>
      </c>
      <c r="B2400" s="3">
        <f t="shared" si="233"/>
        <v>603.08015852587903</v>
      </c>
      <c r="C2400" s="8"/>
      <c r="D2400" s="3">
        <f t="shared" si="234"/>
        <v>596.74030852299461</v>
      </c>
      <c r="F2400" s="3">
        <f t="shared" si="235"/>
        <v>-503.08015852587903</v>
      </c>
      <c r="G2400" s="3">
        <f t="shared" si="236"/>
        <v>6.3398500028844182</v>
      </c>
      <c r="H2400" s="3">
        <f t="shared" si="237"/>
        <v>596.74030852299461</v>
      </c>
      <c r="M2400" s="1">
        <f t="shared" si="232"/>
        <v>1649</v>
      </c>
      <c r="N2400" s="38">
        <f>+M2400*'Failure Data'!F$3</f>
        <v>42.599166666666669</v>
      </c>
    </row>
    <row r="2401" spans="1:14" x14ac:dyDescent="0.15">
      <c r="A2401" s="1">
        <v>2392</v>
      </c>
      <c r="B2401" s="3">
        <f t="shared" si="233"/>
        <v>603.33106201125111</v>
      </c>
      <c r="C2401" s="8"/>
      <c r="D2401" s="3">
        <f t="shared" si="234"/>
        <v>596.99121200836669</v>
      </c>
      <c r="F2401" s="3">
        <f t="shared" si="235"/>
        <v>-503.33106201125111</v>
      </c>
      <c r="G2401" s="3">
        <f t="shared" si="236"/>
        <v>6.3398500028844182</v>
      </c>
      <c r="H2401" s="3">
        <f t="shared" si="237"/>
        <v>596.99121200836669</v>
      </c>
      <c r="M2401" s="1">
        <f t="shared" si="232"/>
        <v>1650</v>
      </c>
      <c r="N2401" s="38">
        <f>+M2401*'Failure Data'!F$3</f>
        <v>42.625</v>
      </c>
    </row>
    <row r="2402" spans="1:14" x14ac:dyDescent="0.15">
      <c r="A2402" s="1">
        <v>2393</v>
      </c>
      <c r="B2402" s="3">
        <f t="shared" si="233"/>
        <v>603.58196549662307</v>
      </c>
      <c r="C2402" s="8"/>
      <c r="D2402" s="3">
        <f t="shared" si="234"/>
        <v>597.24211549373865</v>
      </c>
      <c r="F2402" s="3">
        <f t="shared" si="235"/>
        <v>-503.58196549662307</v>
      </c>
      <c r="G2402" s="3">
        <f t="shared" si="236"/>
        <v>6.3398500028844182</v>
      </c>
      <c r="H2402" s="3">
        <f t="shared" si="237"/>
        <v>597.24211549373865</v>
      </c>
      <c r="M2402" s="1">
        <f t="shared" si="232"/>
        <v>1651</v>
      </c>
      <c r="N2402" s="38">
        <f>+M2402*'Failure Data'!F$3</f>
        <v>42.650833333333331</v>
      </c>
    </row>
    <row r="2403" spans="1:14" x14ac:dyDescent="0.15">
      <c r="A2403" s="1">
        <v>2394</v>
      </c>
      <c r="B2403" s="3">
        <f t="shared" si="233"/>
        <v>603.83286898199503</v>
      </c>
      <c r="C2403" s="8"/>
      <c r="D2403" s="3">
        <f t="shared" si="234"/>
        <v>597.49301897911062</v>
      </c>
      <c r="F2403" s="3">
        <f t="shared" si="235"/>
        <v>-503.83286898199503</v>
      </c>
      <c r="G2403" s="3">
        <f t="shared" si="236"/>
        <v>6.3398500028844182</v>
      </c>
      <c r="H2403" s="3">
        <f t="shared" si="237"/>
        <v>597.49301897911062</v>
      </c>
      <c r="M2403" s="1">
        <f t="shared" si="232"/>
        <v>1652</v>
      </c>
      <c r="N2403" s="38">
        <f>+M2403*'Failure Data'!F$3</f>
        <v>42.676666666666669</v>
      </c>
    </row>
    <row r="2404" spans="1:14" x14ac:dyDescent="0.15">
      <c r="A2404" s="1">
        <v>2395</v>
      </c>
      <c r="B2404" s="3">
        <f t="shared" si="233"/>
        <v>604.083772467367</v>
      </c>
      <c r="C2404" s="8"/>
      <c r="D2404" s="3">
        <f t="shared" si="234"/>
        <v>597.74392246448258</v>
      </c>
      <c r="F2404" s="3">
        <f t="shared" si="235"/>
        <v>-504.083772467367</v>
      </c>
      <c r="G2404" s="3">
        <f t="shared" si="236"/>
        <v>6.3398500028844182</v>
      </c>
      <c r="H2404" s="3">
        <f t="shared" si="237"/>
        <v>597.74392246448258</v>
      </c>
      <c r="M2404" s="1">
        <f t="shared" si="232"/>
        <v>1653</v>
      </c>
      <c r="N2404" s="38">
        <f>+M2404*'Failure Data'!F$3</f>
        <v>42.702500000000001</v>
      </c>
    </row>
    <row r="2405" spans="1:14" x14ac:dyDescent="0.15">
      <c r="A2405" s="1">
        <v>2396</v>
      </c>
      <c r="B2405" s="3">
        <f t="shared" si="233"/>
        <v>604.33467595273908</v>
      </c>
      <c r="C2405" s="8"/>
      <c r="D2405" s="3">
        <f t="shared" si="234"/>
        <v>597.99482594985466</v>
      </c>
      <c r="F2405" s="3">
        <f t="shared" si="235"/>
        <v>-504.33467595273908</v>
      </c>
      <c r="G2405" s="3">
        <f t="shared" si="236"/>
        <v>6.3398500028844182</v>
      </c>
      <c r="H2405" s="3">
        <f t="shared" si="237"/>
        <v>597.99482594985466</v>
      </c>
      <c r="M2405" s="1">
        <f t="shared" si="232"/>
        <v>1654</v>
      </c>
      <c r="N2405" s="38">
        <f>+M2405*'Failure Data'!F$3</f>
        <v>42.728333333333332</v>
      </c>
    </row>
    <row r="2406" spans="1:14" x14ac:dyDescent="0.15">
      <c r="A2406" s="1">
        <v>2397</v>
      </c>
      <c r="B2406" s="3">
        <f t="shared" si="233"/>
        <v>604.58557943811104</v>
      </c>
      <c r="C2406" s="8"/>
      <c r="D2406" s="3">
        <f t="shared" si="234"/>
        <v>598.24572943522662</v>
      </c>
      <c r="F2406" s="3">
        <f t="shared" si="235"/>
        <v>-504.58557943811104</v>
      </c>
      <c r="G2406" s="3">
        <f t="shared" si="236"/>
        <v>6.3398500028844182</v>
      </c>
      <c r="H2406" s="3">
        <f t="shared" si="237"/>
        <v>598.24572943522662</v>
      </c>
      <c r="M2406" s="1">
        <f t="shared" si="232"/>
        <v>1655</v>
      </c>
      <c r="N2406" s="38">
        <f>+M2406*'Failure Data'!F$3</f>
        <v>42.754166666666663</v>
      </c>
    </row>
    <row r="2407" spans="1:14" x14ac:dyDescent="0.15">
      <c r="A2407" s="1">
        <v>2398</v>
      </c>
      <c r="B2407" s="3">
        <f t="shared" si="233"/>
        <v>604.836482923483</v>
      </c>
      <c r="C2407" s="8"/>
      <c r="D2407" s="3">
        <f t="shared" si="234"/>
        <v>598.49663292059859</v>
      </c>
      <c r="F2407" s="3">
        <f t="shared" si="235"/>
        <v>-504.836482923483</v>
      </c>
      <c r="G2407" s="3">
        <f t="shared" si="236"/>
        <v>6.3398500028844182</v>
      </c>
      <c r="H2407" s="3">
        <f t="shared" si="237"/>
        <v>598.49663292059859</v>
      </c>
      <c r="M2407" s="1">
        <f t="shared" si="232"/>
        <v>1656</v>
      </c>
      <c r="N2407" s="38">
        <f>+M2407*'Failure Data'!F$3</f>
        <v>42.78</v>
      </c>
    </row>
    <row r="2408" spans="1:14" x14ac:dyDescent="0.15">
      <c r="A2408" s="1">
        <v>2399</v>
      </c>
      <c r="B2408" s="3">
        <f t="shared" si="233"/>
        <v>605.08738640885497</v>
      </c>
      <c r="C2408" s="8"/>
      <c r="D2408" s="3">
        <f t="shared" si="234"/>
        <v>598.74753640597066</v>
      </c>
      <c r="F2408" s="3">
        <f t="shared" si="235"/>
        <v>-505.08738640885497</v>
      </c>
      <c r="G2408" s="3">
        <f t="shared" si="236"/>
        <v>6.3398500028843046</v>
      </c>
      <c r="H2408" s="3">
        <f t="shared" si="237"/>
        <v>598.74753640597066</v>
      </c>
      <c r="M2408" s="1">
        <f t="shared" si="232"/>
        <v>1657</v>
      </c>
      <c r="N2408" s="38">
        <f>+M2408*'Failure Data'!F$3</f>
        <v>42.805833333333332</v>
      </c>
    </row>
    <row r="2409" spans="1:14" x14ac:dyDescent="0.15">
      <c r="A2409" s="1">
        <v>2400</v>
      </c>
      <c r="B2409" s="3">
        <f t="shared" si="233"/>
        <v>605.33828989422705</v>
      </c>
      <c r="C2409" s="8"/>
      <c r="D2409" s="3">
        <f t="shared" si="234"/>
        <v>598.99843989134263</v>
      </c>
      <c r="F2409" s="3">
        <f t="shared" si="235"/>
        <v>-505.33828989422705</v>
      </c>
      <c r="G2409" s="3">
        <f t="shared" si="236"/>
        <v>6.3398500028844182</v>
      </c>
      <c r="H2409" s="3">
        <f t="shared" si="237"/>
        <v>598.99843989134263</v>
      </c>
      <c r="M2409" s="1">
        <f t="shared" si="232"/>
        <v>1658</v>
      </c>
      <c r="N2409" s="38">
        <f>+M2409*'Failure Data'!F$3</f>
        <v>42.831666666666663</v>
      </c>
    </row>
    <row r="2410" spans="1:14" x14ac:dyDescent="0.15">
      <c r="A2410" s="1">
        <v>2401</v>
      </c>
      <c r="B2410" s="3">
        <f t="shared" si="233"/>
        <v>605.58919337959901</v>
      </c>
      <c r="C2410" s="8"/>
      <c r="D2410" s="3">
        <f t="shared" si="234"/>
        <v>599.24934337671459</v>
      </c>
      <c r="F2410" s="3">
        <f t="shared" si="235"/>
        <v>-505.58919337959901</v>
      </c>
      <c r="G2410" s="3">
        <f t="shared" si="236"/>
        <v>6.3398500028844182</v>
      </c>
      <c r="H2410" s="3">
        <f t="shared" si="237"/>
        <v>599.24934337671459</v>
      </c>
      <c r="M2410" s="1">
        <f t="shared" si="232"/>
        <v>1659</v>
      </c>
      <c r="N2410" s="38">
        <f>+M2410*'Failure Data'!F$3</f>
        <v>42.857500000000002</v>
      </c>
    </row>
    <row r="2411" spans="1:14" x14ac:dyDescent="0.15">
      <c r="A2411" s="1">
        <v>2402</v>
      </c>
      <c r="B2411" s="3">
        <f t="shared" si="233"/>
        <v>605.84009686497097</v>
      </c>
      <c r="C2411" s="8"/>
      <c r="D2411" s="3">
        <f t="shared" si="234"/>
        <v>599.50024686208656</v>
      </c>
      <c r="F2411" s="3">
        <f t="shared" si="235"/>
        <v>-505.84009686497097</v>
      </c>
      <c r="G2411" s="3">
        <f t="shared" si="236"/>
        <v>6.3398500028844182</v>
      </c>
      <c r="H2411" s="3">
        <f t="shared" si="237"/>
        <v>599.50024686208656</v>
      </c>
      <c r="M2411" s="1">
        <f t="shared" si="232"/>
        <v>1660</v>
      </c>
      <c r="N2411" s="38">
        <f>+M2411*'Failure Data'!F$3</f>
        <v>42.883333333333333</v>
      </c>
    </row>
    <row r="2412" spans="1:14" x14ac:dyDescent="0.15">
      <c r="A2412" s="1">
        <v>2403</v>
      </c>
      <c r="B2412" s="3">
        <f t="shared" si="233"/>
        <v>606.09100035034294</v>
      </c>
      <c r="C2412" s="8"/>
      <c r="D2412" s="3">
        <f t="shared" si="234"/>
        <v>599.75115034745863</v>
      </c>
      <c r="F2412" s="3">
        <f t="shared" si="235"/>
        <v>-506.09100035034294</v>
      </c>
      <c r="G2412" s="3">
        <f t="shared" si="236"/>
        <v>6.3398500028843046</v>
      </c>
      <c r="H2412" s="3">
        <f t="shared" si="237"/>
        <v>599.75115034745863</v>
      </c>
      <c r="M2412" s="1">
        <f t="shared" si="232"/>
        <v>1661</v>
      </c>
      <c r="N2412" s="38">
        <f>+M2412*'Failure Data'!F$3</f>
        <v>42.909166666666664</v>
      </c>
    </row>
    <row r="2413" spans="1:14" x14ac:dyDescent="0.15">
      <c r="A2413" s="1">
        <v>2404</v>
      </c>
      <c r="B2413" s="3">
        <f t="shared" si="233"/>
        <v>606.34190383571502</v>
      </c>
      <c r="C2413" s="8"/>
      <c r="D2413" s="3">
        <f t="shared" si="234"/>
        <v>600.0020538328306</v>
      </c>
      <c r="F2413" s="3">
        <f t="shared" si="235"/>
        <v>-506.34190383571502</v>
      </c>
      <c r="G2413" s="3">
        <f t="shared" si="236"/>
        <v>6.3398500028844182</v>
      </c>
      <c r="H2413" s="3">
        <f t="shared" si="237"/>
        <v>600.0020538328306</v>
      </c>
      <c r="M2413" s="1">
        <f t="shared" si="232"/>
        <v>1662</v>
      </c>
      <c r="N2413" s="38">
        <f>+M2413*'Failure Data'!F$3</f>
        <v>42.935000000000002</v>
      </c>
    </row>
    <row r="2414" spans="1:14" x14ac:dyDescent="0.15">
      <c r="A2414" s="1">
        <v>2405</v>
      </c>
      <c r="B2414" s="3">
        <f t="shared" si="233"/>
        <v>606.59280732108698</v>
      </c>
      <c r="C2414" s="8"/>
      <c r="D2414" s="3">
        <f t="shared" si="234"/>
        <v>600.25295731820256</v>
      </c>
      <c r="F2414" s="3">
        <f t="shared" si="235"/>
        <v>-506.59280732108698</v>
      </c>
      <c r="G2414" s="3">
        <f t="shared" si="236"/>
        <v>6.3398500028844182</v>
      </c>
      <c r="H2414" s="3">
        <f t="shared" si="237"/>
        <v>600.25295731820256</v>
      </c>
      <c r="M2414" s="1">
        <f t="shared" si="232"/>
        <v>1663</v>
      </c>
      <c r="N2414" s="38">
        <f>+M2414*'Failure Data'!F$3</f>
        <v>42.960833333333333</v>
      </c>
    </row>
    <row r="2415" spans="1:14" x14ac:dyDescent="0.15">
      <c r="A2415" s="1">
        <v>2406</v>
      </c>
      <c r="B2415" s="3">
        <f t="shared" si="233"/>
        <v>606.84371080645894</v>
      </c>
      <c r="C2415" s="8"/>
      <c r="D2415" s="3">
        <f t="shared" si="234"/>
        <v>600.50386080357453</v>
      </c>
      <c r="F2415" s="3">
        <f t="shared" si="235"/>
        <v>-506.84371080645894</v>
      </c>
      <c r="G2415" s="3">
        <f t="shared" si="236"/>
        <v>6.3398500028844182</v>
      </c>
      <c r="H2415" s="3">
        <f t="shared" si="237"/>
        <v>600.50386080357453</v>
      </c>
      <c r="M2415" s="1">
        <f t="shared" si="232"/>
        <v>1664</v>
      </c>
      <c r="N2415" s="38">
        <f>+M2415*'Failure Data'!F$3</f>
        <v>42.986666666666665</v>
      </c>
    </row>
    <row r="2416" spans="1:14" x14ac:dyDescent="0.15">
      <c r="A2416" s="1">
        <v>2407</v>
      </c>
      <c r="B2416" s="3">
        <f t="shared" si="233"/>
        <v>607.09461429183091</v>
      </c>
      <c r="C2416" s="8"/>
      <c r="D2416" s="3">
        <f t="shared" si="234"/>
        <v>600.7547642889466</v>
      </c>
      <c r="F2416" s="3">
        <f t="shared" si="235"/>
        <v>-507.09461429183091</v>
      </c>
      <c r="G2416" s="3">
        <f t="shared" si="236"/>
        <v>6.3398500028843046</v>
      </c>
      <c r="H2416" s="3">
        <f t="shared" si="237"/>
        <v>600.7547642889466</v>
      </c>
      <c r="M2416" s="1">
        <f t="shared" si="232"/>
        <v>1665</v>
      </c>
      <c r="N2416" s="38">
        <f>+M2416*'Failure Data'!F$3</f>
        <v>43.012500000000003</v>
      </c>
    </row>
    <row r="2417" spans="1:14" x14ac:dyDescent="0.15">
      <c r="A2417" s="1">
        <v>2408</v>
      </c>
      <c r="B2417" s="3">
        <f t="shared" si="233"/>
        <v>607.34551777720299</v>
      </c>
      <c r="C2417" s="8"/>
      <c r="D2417" s="3">
        <f t="shared" si="234"/>
        <v>601.00566777431857</v>
      </c>
      <c r="F2417" s="3">
        <f t="shared" si="235"/>
        <v>-507.34551777720299</v>
      </c>
      <c r="G2417" s="3">
        <f t="shared" si="236"/>
        <v>6.3398500028844182</v>
      </c>
      <c r="H2417" s="3">
        <f t="shared" si="237"/>
        <v>601.00566777431857</v>
      </c>
      <c r="M2417" s="1">
        <f t="shared" si="232"/>
        <v>1666</v>
      </c>
      <c r="N2417" s="38">
        <f>+M2417*'Failure Data'!F$3</f>
        <v>43.038333333333334</v>
      </c>
    </row>
    <row r="2418" spans="1:14" x14ac:dyDescent="0.15">
      <c r="A2418" s="1">
        <v>2409</v>
      </c>
      <c r="B2418" s="3">
        <f t="shared" si="233"/>
        <v>607.59642126257495</v>
      </c>
      <c r="C2418" s="8"/>
      <c r="D2418" s="3">
        <f t="shared" si="234"/>
        <v>601.25657125969053</v>
      </c>
      <c r="F2418" s="3">
        <f t="shared" si="235"/>
        <v>-507.59642126257495</v>
      </c>
      <c r="G2418" s="3">
        <f t="shared" si="236"/>
        <v>6.3398500028844182</v>
      </c>
      <c r="H2418" s="3">
        <f t="shared" si="237"/>
        <v>601.25657125969053</v>
      </c>
      <c r="M2418" s="1">
        <f t="shared" si="232"/>
        <v>1667</v>
      </c>
      <c r="N2418" s="38">
        <f>+M2418*'Failure Data'!F$3</f>
        <v>43.064166666666665</v>
      </c>
    </row>
    <row r="2419" spans="1:14" x14ac:dyDescent="0.15">
      <c r="A2419" s="1">
        <v>2410</v>
      </c>
      <c r="B2419" s="3">
        <f t="shared" si="233"/>
        <v>607.84732474794691</v>
      </c>
      <c r="C2419" s="8"/>
      <c r="D2419" s="3">
        <f t="shared" si="234"/>
        <v>601.5074747450625</v>
      </c>
      <c r="F2419" s="3">
        <f t="shared" si="235"/>
        <v>-507.84732474794691</v>
      </c>
      <c r="G2419" s="3">
        <f t="shared" si="236"/>
        <v>6.3398500028844182</v>
      </c>
      <c r="H2419" s="3">
        <f t="shared" si="237"/>
        <v>601.5074747450625</v>
      </c>
      <c r="M2419" s="1">
        <f t="shared" si="232"/>
        <v>1668</v>
      </c>
      <c r="N2419" s="38">
        <f>+M2419*'Failure Data'!F$3</f>
        <v>43.089999999999996</v>
      </c>
    </row>
    <row r="2420" spans="1:14" x14ac:dyDescent="0.15">
      <c r="A2420" s="1">
        <v>2411</v>
      </c>
      <c r="B2420" s="3">
        <f t="shared" si="233"/>
        <v>608.09822823331888</v>
      </c>
      <c r="C2420" s="8"/>
      <c r="D2420" s="3">
        <f t="shared" si="234"/>
        <v>601.75837823043457</v>
      </c>
      <c r="F2420" s="3">
        <f t="shared" si="235"/>
        <v>-508.09822823331888</v>
      </c>
      <c r="G2420" s="3">
        <f t="shared" si="236"/>
        <v>6.3398500028843046</v>
      </c>
      <c r="H2420" s="3">
        <f t="shared" si="237"/>
        <v>601.75837823043457</v>
      </c>
      <c r="M2420" s="1">
        <f t="shared" si="232"/>
        <v>1669</v>
      </c>
      <c r="N2420" s="38">
        <f>+M2420*'Failure Data'!F$3</f>
        <v>43.115833333333335</v>
      </c>
    </row>
    <row r="2421" spans="1:14" x14ac:dyDescent="0.15">
      <c r="A2421" s="1">
        <v>2412</v>
      </c>
      <c r="B2421" s="3">
        <f t="shared" si="233"/>
        <v>608.34913171869096</v>
      </c>
      <c r="C2421" s="8"/>
      <c r="D2421" s="3">
        <f t="shared" si="234"/>
        <v>602.00928171580654</v>
      </c>
      <c r="F2421" s="3">
        <f t="shared" si="235"/>
        <v>-508.34913171869096</v>
      </c>
      <c r="G2421" s="3">
        <f t="shared" si="236"/>
        <v>6.3398500028844182</v>
      </c>
      <c r="H2421" s="3">
        <f t="shared" si="237"/>
        <v>602.00928171580654</v>
      </c>
      <c r="M2421" s="1">
        <f t="shared" si="232"/>
        <v>1670</v>
      </c>
      <c r="N2421" s="38">
        <f>+M2421*'Failure Data'!F$3</f>
        <v>43.141666666666666</v>
      </c>
    </row>
    <row r="2422" spans="1:14" x14ac:dyDescent="0.15">
      <c r="A2422" s="1">
        <v>2413</v>
      </c>
      <c r="B2422" s="3">
        <f t="shared" si="233"/>
        <v>608.60003520406292</v>
      </c>
      <c r="C2422" s="8"/>
      <c r="D2422" s="3">
        <f t="shared" si="234"/>
        <v>602.2601852011785</v>
      </c>
      <c r="F2422" s="3">
        <f t="shared" si="235"/>
        <v>-508.60003520406292</v>
      </c>
      <c r="G2422" s="3">
        <f t="shared" si="236"/>
        <v>6.3398500028844182</v>
      </c>
      <c r="H2422" s="3">
        <f t="shared" si="237"/>
        <v>602.2601852011785</v>
      </c>
      <c r="M2422" s="1">
        <f t="shared" si="232"/>
        <v>1671</v>
      </c>
      <c r="N2422" s="38">
        <f>+M2422*'Failure Data'!F$3</f>
        <v>43.167499999999997</v>
      </c>
    </row>
    <row r="2423" spans="1:14" x14ac:dyDescent="0.15">
      <c r="A2423" s="1">
        <v>2414</v>
      </c>
      <c r="B2423" s="3">
        <f t="shared" si="233"/>
        <v>608.85093868943488</v>
      </c>
      <c r="C2423" s="8"/>
      <c r="D2423" s="3">
        <f t="shared" si="234"/>
        <v>602.51108868655047</v>
      </c>
      <c r="F2423" s="3">
        <f t="shared" si="235"/>
        <v>-508.85093868943488</v>
      </c>
      <c r="G2423" s="3">
        <f t="shared" si="236"/>
        <v>6.3398500028844182</v>
      </c>
      <c r="H2423" s="3">
        <f t="shared" si="237"/>
        <v>602.51108868655047</v>
      </c>
      <c r="M2423" s="1">
        <f t="shared" si="232"/>
        <v>1672</v>
      </c>
      <c r="N2423" s="38">
        <f>+M2423*'Failure Data'!F$3</f>
        <v>43.193333333333335</v>
      </c>
    </row>
    <row r="2424" spans="1:14" x14ac:dyDescent="0.15">
      <c r="A2424" s="1">
        <v>2415</v>
      </c>
      <c r="B2424" s="3">
        <f t="shared" si="233"/>
        <v>609.10184217480696</v>
      </c>
      <c r="C2424" s="8"/>
      <c r="D2424" s="3">
        <f t="shared" si="234"/>
        <v>602.76199217192254</v>
      </c>
      <c r="F2424" s="3">
        <f t="shared" si="235"/>
        <v>-509.10184217480696</v>
      </c>
      <c r="G2424" s="3">
        <f t="shared" si="236"/>
        <v>6.3398500028844182</v>
      </c>
      <c r="H2424" s="3">
        <f t="shared" si="237"/>
        <v>602.76199217192254</v>
      </c>
      <c r="M2424" s="1">
        <f t="shared" si="232"/>
        <v>1673</v>
      </c>
      <c r="N2424" s="38">
        <f>+M2424*'Failure Data'!F$3</f>
        <v>43.219166666666666</v>
      </c>
    </row>
    <row r="2425" spans="1:14" x14ac:dyDescent="0.15">
      <c r="A2425" s="1">
        <v>2416</v>
      </c>
      <c r="B2425" s="3">
        <f t="shared" si="233"/>
        <v>609.35274566017893</v>
      </c>
      <c r="C2425" s="8"/>
      <c r="D2425" s="3">
        <f t="shared" si="234"/>
        <v>603.01289565729451</v>
      </c>
      <c r="F2425" s="3">
        <f t="shared" si="235"/>
        <v>-509.35274566017893</v>
      </c>
      <c r="G2425" s="3">
        <f t="shared" si="236"/>
        <v>6.3398500028844182</v>
      </c>
      <c r="H2425" s="3">
        <f t="shared" si="237"/>
        <v>603.01289565729451</v>
      </c>
      <c r="M2425" s="1">
        <f t="shared" si="232"/>
        <v>1674</v>
      </c>
      <c r="N2425" s="38">
        <f>+M2425*'Failure Data'!F$3</f>
        <v>43.244999999999997</v>
      </c>
    </row>
    <row r="2426" spans="1:14" x14ac:dyDescent="0.15">
      <c r="A2426" s="1">
        <v>2417</v>
      </c>
      <c r="B2426" s="3">
        <f t="shared" si="233"/>
        <v>609.60364914555089</v>
      </c>
      <c r="C2426" s="8"/>
      <c r="D2426" s="3">
        <f t="shared" si="234"/>
        <v>603.26379914266647</v>
      </c>
      <c r="F2426" s="3">
        <f t="shared" si="235"/>
        <v>-509.60364914555089</v>
      </c>
      <c r="G2426" s="3">
        <f t="shared" si="236"/>
        <v>6.3398500028844182</v>
      </c>
      <c r="H2426" s="3">
        <f t="shared" si="237"/>
        <v>603.26379914266647</v>
      </c>
      <c r="M2426" s="1">
        <f t="shared" si="232"/>
        <v>1675</v>
      </c>
      <c r="N2426" s="38">
        <f>+M2426*'Failure Data'!F$3</f>
        <v>43.270833333333336</v>
      </c>
    </row>
    <row r="2427" spans="1:14" x14ac:dyDescent="0.15">
      <c r="A2427" s="1">
        <v>2418</v>
      </c>
      <c r="B2427" s="3">
        <f t="shared" si="233"/>
        <v>609.85455263092285</v>
      </c>
      <c r="C2427" s="8"/>
      <c r="D2427" s="3">
        <f t="shared" si="234"/>
        <v>603.51470262803844</v>
      </c>
      <c r="F2427" s="3">
        <f t="shared" si="235"/>
        <v>-509.85455263092285</v>
      </c>
      <c r="G2427" s="3">
        <f t="shared" si="236"/>
        <v>6.3398500028844182</v>
      </c>
      <c r="H2427" s="3">
        <f t="shared" si="237"/>
        <v>603.51470262803844</v>
      </c>
      <c r="M2427" s="1">
        <f t="shared" si="232"/>
        <v>1676</v>
      </c>
      <c r="N2427" s="38">
        <f>+M2427*'Failure Data'!F$3</f>
        <v>43.296666666666667</v>
      </c>
    </row>
    <row r="2428" spans="1:14" x14ac:dyDescent="0.15">
      <c r="A2428" s="1">
        <v>2419</v>
      </c>
      <c r="B2428" s="3">
        <f t="shared" si="233"/>
        <v>610.10545611629493</v>
      </c>
      <c r="C2428" s="8"/>
      <c r="D2428" s="3">
        <f t="shared" si="234"/>
        <v>603.76560611341051</v>
      </c>
      <c r="F2428" s="3">
        <f t="shared" si="235"/>
        <v>-510.10545611629493</v>
      </c>
      <c r="G2428" s="3">
        <f t="shared" si="236"/>
        <v>6.3398500028844182</v>
      </c>
      <c r="H2428" s="3">
        <f t="shared" si="237"/>
        <v>603.76560611341051</v>
      </c>
      <c r="M2428" s="1">
        <f t="shared" si="232"/>
        <v>1677</v>
      </c>
      <c r="N2428" s="38">
        <f>+M2428*'Failure Data'!F$3</f>
        <v>43.322499999999998</v>
      </c>
    </row>
    <row r="2429" spans="1:14" x14ac:dyDescent="0.15">
      <c r="A2429" s="1">
        <v>2420</v>
      </c>
      <c r="B2429" s="3">
        <f t="shared" si="233"/>
        <v>610.3563596016669</v>
      </c>
      <c r="C2429" s="8"/>
      <c r="D2429" s="3">
        <f t="shared" si="234"/>
        <v>604.01650959878248</v>
      </c>
      <c r="F2429" s="3">
        <f t="shared" si="235"/>
        <v>-510.3563596016669</v>
      </c>
      <c r="G2429" s="3">
        <f t="shared" si="236"/>
        <v>6.3398500028844182</v>
      </c>
      <c r="H2429" s="3">
        <f t="shared" si="237"/>
        <v>604.01650959878248</v>
      </c>
      <c r="M2429" s="1">
        <f t="shared" si="232"/>
        <v>1678</v>
      </c>
      <c r="N2429" s="38">
        <f>+M2429*'Failure Data'!F$3</f>
        <v>43.348333333333336</v>
      </c>
    </row>
    <row r="2430" spans="1:14" x14ac:dyDescent="0.15">
      <c r="A2430" s="1">
        <v>2421</v>
      </c>
      <c r="B2430" s="3">
        <f t="shared" si="233"/>
        <v>610.60726308703886</v>
      </c>
      <c r="C2430" s="8"/>
      <c r="D2430" s="3">
        <f t="shared" si="234"/>
        <v>604.26741308415444</v>
      </c>
      <c r="F2430" s="3">
        <f t="shared" si="235"/>
        <v>-510.60726308703886</v>
      </c>
      <c r="G2430" s="3">
        <f t="shared" si="236"/>
        <v>6.3398500028844182</v>
      </c>
      <c r="H2430" s="3">
        <f t="shared" si="237"/>
        <v>604.26741308415444</v>
      </c>
      <c r="M2430" s="1">
        <f t="shared" si="232"/>
        <v>1679</v>
      </c>
      <c r="N2430" s="38">
        <f>+M2430*'Failure Data'!F$3</f>
        <v>43.374166666666667</v>
      </c>
    </row>
    <row r="2431" spans="1:14" x14ac:dyDescent="0.15">
      <c r="A2431" s="1">
        <v>2422</v>
      </c>
      <c r="B2431" s="3">
        <f t="shared" si="233"/>
        <v>610.85816657241082</v>
      </c>
      <c r="C2431" s="8"/>
      <c r="D2431" s="3">
        <f t="shared" si="234"/>
        <v>604.51831656952652</v>
      </c>
      <c r="F2431" s="3">
        <f t="shared" si="235"/>
        <v>-510.85816657241082</v>
      </c>
      <c r="G2431" s="3">
        <f t="shared" si="236"/>
        <v>6.3398500028843046</v>
      </c>
      <c r="H2431" s="3">
        <f t="shared" si="237"/>
        <v>604.51831656952652</v>
      </c>
      <c r="M2431" s="1">
        <f t="shared" si="232"/>
        <v>1680</v>
      </c>
      <c r="N2431" s="38">
        <f>+M2431*'Failure Data'!F$3</f>
        <v>43.4</v>
      </c>
    </row>
    <row r="2432" spans="1:14" x14ac:dyDescent="0.15">
      <c r="A2432" s="1">
        <v>2423</v>
      </c>
      <c r="B2432" s="3">
        <f t="shared" si="233"/>
        <v>611.1090700577829</v>
      </c>
      <c r="C2432" s="8"/>
      <c r="D2432" s="3">
        <f t="shared" si="234"/>
        <v>604.76922005489848</v>
      </c>
      <c r="F2432" s="3">
        <f t="shared" si="235"/>
        <v>-511.1090700577829</v>
      </c>
      <c r="G2432" s="3">
        <f t="shared" si="236"/>
        <v>6.3398500028844182</v>
      </c>
      <c r="H2432" s="3">
        <f t="shared" si="237"/>
        <v>604.76922005489848</v>
      </c>
      <c r="M2432" s="1">
        <f t="shared" si="232"/>
        <v>1681</v>
      </c>
      <c r="N2432" s="38">
        <f>+M2432*'Failure Data'!F$3</f>
        <v>43.42583333333333</v>
      </c>
    </row>
    <row r="2433" spans="1:14" x14ac:dyDescent="0.15">
      <c r="A2433" s="1">
        <v>2424</v>
      </c>
      <c r="B2433" s="3">
        <f t="shared" si="233"/>
        <v>611.35997354315487</v>
      </c>
      <c r="C2433" s="8"/>
      <c r="D2433" s="3">
        <f t="shared" si="234"/>
        <v>605.02012354027045</v>
      </c>
      <c r="F2433" s="3">
        <f t="shared" si="235"/>
        <v>-511.35997354315487</v>
      </c>
      <c r="G2433" s="3">
        <f t="shared" si="236"/>
        <v>6.3398500028844182</v>
      </c>
      <c r="H2433" s="3">
        <f t="shared" si="237"/>
        <v>605.02012354027045</v>
      </c>
      <c r="M2433" s="1">
        <f t="shared" ref="M2433:M2496" si="238">M2432+1</f>
        <v>1682</v>
      </c>
      <c r="N2433" s="38">
        <f>+M2433*'Failure Data'!F$3</f>
        <v>43.451666666666668</v>
      </c>
    </row>
    <row r="2434" spans="1:14" x14ac:dyDescent="0.15">
      <c r="A2434" s="1">
        <v>2425</v>
      </c>
      <c r="B2434" s="3">
        <f t="shared" si="233"/>
        <v>611.61087702852683</v>
      </c>
      <c r="C2434" s="8"/>
      <c r="D2434" s="3">
        <f t="shared" si="234"/>
        <v>605.27102702564241</v>
      </c>
      <c r="F2434" s="3">
        <f t="shared" si="235"/>
        <v>-511.61087702852683</v>
      </c>
      <c r="G2434" s="3">
        <f t="shared" si="236"/>
        <v>6.3398500028844182</v>
      </c>
      <c r="H2434" s="3">
        <f t="shared" si="237"/>
        <v>605.27102702564241</v>
      </c>
      <c r="M2434" s="1">
        <f t="shared" si="238"/>
        <v>1683</v>
      </c>
      <c r="N2434" s="38">
        <f>+M2434*'Failure Data'!F$3</f>
        <v>43.477499999999999</v>
      </c>
    </row>
    <row r="2435" spans="1:14" x14ac:dyDescent="0.15">
      <c r="A2435" s="1">
        <v>2426</v>
      </c>
      <c r="B2435" s="3">
        <f t="shared" si="233"/>
        <v>611.86178051389879</v>
      </c>
      <c r="C2435" s="8"/>
      <c r="D2435" s="3">
        <f t="shared" si="234"/>
        <v>605.52193051101449</v>
      </c>
      <c r="F2435" s="3">
        <f t="shared" si="235"/>
        <v>-511.86178051389879</v>
      </c>
      <c r="G2435" s="3">
        <f t="shared" si="236"/>
        <v>6.3398500028843046</v>
      </c>
      <c r="H2435" s="3">
        <f t="shared" si="237"/>
        <v>605.52193051101449</v>
      </c>
      <c r="M2435" s="1">
        <f t="shared" si="238"/>
        <v>1684</v>
      </c>
      <c r="N2435" s="38">
        <f>+M2435*'Failure Data'!F$3</f>
        <v>43.50333333333333</v>
      </c>
    </row>
    <row r="2436" spans="1:14" x14ac:dyDescent="0.15">
      <c r="A2436" s="1">
        <v>2427</v>
      </c>
      <c r="B2436" s="3">
        <f t="shared" si="233"/>
        <v>612.11268399927087</v>
      </c>
      <c r="C2436" s="8"/>
      <c r="D2436" s="3">
        <f t="shared" si="234"/>
        <v>605.77283399638645</v>
      </c>
      <c r="F2436" s="3">
        <f t="shared" si="235"/>
        <v>-512.11268399927087</v>
      </c>
      <c r="G2436" s="3">
        <f t="shared" si="236"/>
        <v>6.3398500028844182</v>
      </c>
      <c r="H2436" s="3">
        <f t="shared" si="237"/>
        <v>605.77283399638645</v>
      </c>
      <c r="M2436" s="1">
        <f t="shared" si="238"/>
        <v>1685</v>
      </c>
      <c r="N2436" s="38">
        <f>+M2436*'Failure Data'!F$3</f>
        <v>43.529166666666669</v>
      </c>
    </row>
    <row r="2437" spans="1:14" x14ac:dyDescent="0.15">
      <c r="A2437" s="1">
        <v>2428</v>
      </c>
      <c r="B2437" s="3">
        <f t="shared" si="233"/>
        <v>612.36358748464284</v>
      </c>
      <c r="C2437" s="8"/>
      <c r="D2437" s="3">
        <f t="shared" si="234"/>
        <v>606.02373748175842</v>
      </c>
      <c r="F2437" s="3">
        <f t="shared" si="235"/>
        <v>-512.36358748464284</v>
      </c>
      <c r="G2437" s="3">
        <f t="shared" si="236"/>
        <v>6.3398500028844182</v>
      </c>
      <c r="H2437" s="3">
        <f t="shared" si="237"/>
        <v>606.02373748175842</v>
      </c>
      <c r="M2437" s="1">
        <f t="shared" si="238"/>
        <v>1686</v>
      </c>
      <c r="N2437" s="38">
        <f>+M2437*'Failure Data'!F$3</f>
        <v>43.555</v>
      </c>
    </row>
    <row r="2438" spans="1:14" x14ac:dyDescent="0.15">
      <c r="A2438" s="1">
        <v>2429</v>
      </c>
      <c r="B2438" s="3">
        <f t="shared" si="233"/>
        <v>612.6144909700148</v>
      </c>
      <c r="C2438" s="8"/>
      <c r="D2438" s="3">
        <f t="shared" si="234"/>
        <v>606.27464096713038</v>
      </c>
      <c r="F2438" s="3">
        <f t="shared" si="235"/>
        <v>-512.6144909700148</v>
      </c>
      <c r="G2438" s="3">
        <f t="shared" si="236"/>
        <v>6.3398500028844182</v>
      </c>
      <c r="H2438" s="3">
        <f t="shared" si="237"/>
        <v>606.27464096713038</v>
      </c>
      <c r="M2438" s="1">
        <f t="shared" si="238"/>
        <v>1687</v>
      </c>
      <c r="N2438" s="38">
        <f>+M2438*'Failure Data'!F$3</f>
        <v>43.580833333333331</v>
      </c>
    </row>
    <row r="2439" spans="1:14" x14ac:dyDescent="0.15">
      <c r="A2439" s="1">
        <v>2430</v>
      </c>
      <c r="B2439" s="3">
        <f t="shared" si="233"/>
        <v>612.86539445538676</v>
      </c>
      <c r="C2439" s="8"/>
      <c r="D2439" s="3">
        <f t="shared" si="234"/>
        <v>606.52554445250246</v>
      </c>
      <c r="F2439" s="3">
        <f t="shared" si="235"/>
        <v>-512.86539445538676</v>
      </c>
      <c r="G2439" s="3">
        <f t="shared" si="236"/>
        <v>6.3398500028843046</v>
      </c>
      <c r="H2439" s="3">
        <f t="shared" si="237"/>
        <v>606.52554445250246</v>
      </c>
      <c r="M2439" s="1">
        <f t="shared" si="238"/>
        <v>1688</v>
      </c>
      <c r="N2439" s="38">
        <f>+M2439*'Failure Data'!F$3</f>
        <v>43.606666666666669</v>
      </c>
    </row>
    <row r="2440" spans="1:14" x14ac:dyDescent="0.15">
      <c r="A2440" s="1">
        <v>2431</v>
      </c>
      <c r="B2440" s="3">
        <f t="shared" si="233"/>
        <v>613.11629794075884</v>
      </c>
      <c r="C2440" s="8"/>
      <c r="D2440" s="3">
        <f t="shared" si="234"/>
        <v>606.77644793787442</v>
      </c>
      <c r="F2440" s="3">
        <f t="shared" si="235"/>
        <v>-513.11629794075884</v>
      </c>
      <c r="G2440" s="3">
        <f t="shared" si="236"/>
        <v>6.3398500028844182</v>
      </c>
      <c r="H2440" s="3">
        <f t="shared" si="237"/>
        <v>606.77644793787442</v>
      </c>
      <c r="M2440" s="1">
        <f t="shared" si="238"/>
        <v>1689</v>
      </c>
      <c r="N2440" s="38">
        <f>+M2440*'Failure Data'!F$3</f>
        <v>43.6325</v>
      </c>
    </row>
    <row r="2441" spans="1:14" x14ac:dyDescent="0.15">
      <c r="A2441" s="1">
        <v>2432</v>
      </c>
      <c r="B2441" s="3">
        <f t="shared" si="233"/>
        <v>613.3672014261308</v>
      </c>
      <c r="C2441" s="8"/>
      <c r="D2441" s="3">
        <f t="shared" si="234"/>
        <v>607.02735142324639</v>
      </c>
      <c r="F2441" s="3">
        <f t="shared" si="235"/>
        <v>-513.3672014261308</v>
      </c>
      <c r="G2441" s="3">
        <f t="shared" si="236"/>
        <v>6.3398500028844182</v>
      </c>
      <c r="H2441" s="3">
        <f t="shared" si="237"/>
        <v>607.02735142324639</v>
      </c>
      <c r="M2441" s="1">
        <f t="shared" si="238"/>
        <v>1690</v>
      </c>
      <c r="N2441" s="38">
        <f>+M2441*'Failure Data'!F$3</f>
        <v>43.658333333333331</v>
      </c>
    </row>
    <row r="2442" spans="1:14" x14ac:dyDescent="0.15">
      <c r="A2442" s="1">
        <v>2433</v>
      </c>
      <c r="B2442" s="3">
        <f t="shared" si="233"/>
        <v>613.61810491150277</v>
      </c>
      <c r="C2442" s="8"/>
      <c r="D2442" s="3">
        <f t="shared" si="234"/>
        <v>607.27825490861835</v>
      </c>
      <c r="F2442" s="3">
        <f t="shared" si="235"/>
        <v>-513.61810491150277</v>
      </c>
      <c r="G2442" s="3">
        <f t="shared" si="236"/>
        <v>6.3398500028844182</v>
      </c>
      <c r="H2442" s="3">
        <f t="shared" si="237"/>
        <v>607.27825490861835</v>
      </c>
      <c r="M2442" s="1">
        <f t="shared" si="238"/>
        <v>1691</v>
      </c>
      <c r="N2442" s="38">
        <f>+M2442*'Failure Data'!F$3</f>
        <v>43.68416666666667</v>
      </c>
    </row>
    <row r="2443" spans="1:14" x14ac:dyDescent="0.15">
      <c r="A2443" s="1">
        <v>2434</v>
      </c>
      <c r="B2443" s="3">
        <f t="shared" si="233"/>
        <v>613.86900839687473</v>
      </c>
      <c r="C2443" s="8"/>
      <c r="D2443" s="3">
        <f t="shared" si="234"/>
        <v>607.52915839399043</v>
      </c>
      <c r="F2443" s="3">
        <f t="shared" si="235"/>
        <v>-513.86900839687473</v>
      </c>
      <c r="G2443" s="3">
        <f t="shared" si="236"/>
        <v>6.3398500028843046</v>
      </c>
      <c r="H2443" s="3">
        <f t="shared" si="237"/>
        <v>607.52915839399043</v>
      </c>
      <c r="M2443" s="1">
        <f t="shared" si="238"/>
        <v>1692</v>
      </c>
      <c r="N2443" s="38">
        <f>+M2443*'Failure Data'!F$3</f>
        <v>43.71</v>
      </c>
    </row>
    <row r="2444" spans="1:14" x14ac:dyDescent="0.15">
      <c r="A2444" s="1">
        <v>2435</v>
      </c>
      <c r="B2444" s="3">
        <f t="shared" si="233"/>
        <v>614.11991188224681</v>
      </c>
      <c r="C2444" s="8"/>
      <c r="D2444" s="3">
        <f t="shared" si="234"/>
        <v>607.78006187936239</v>
      </c>
      <c r="F2444" s="3">
        <f t="shared" si="235"/>
        <v>-514.11991188224681</v>
      </c>
      <c r="G2444" s="3">
        <f t="shared" si="236"/>
        <v>6.3398500028844182</v>
      </c>
      <c r="H2444" s="3">
        <f t="shared" si="237"/>
        <v>607.78006187936239</v>
      </c>
      <c r="M2444" s="1">
        <f t="shared" si="238"/>
        <v>1693</v>
      </c>
      <c r="N2444" s="38">
        <f>+M2444*'Failure Data'!F$3</f>
        <v>43.735833333333332</v>
      </c>
    </row>
    <row r="2445" spans="1:14" x14ac:dyDescent="0.15">
      <c r="A2445" s="1">
        <v>2436</v>
      </c>
      <c r="B2445" s="3">
        <f t="shared" si="233"/>
        <v>614.37081536761877</v>
      </c>
      <c r="C2445" s="8"/>
      <c r="D2445" s="3">
        <f t="shared" si="234"/>
        <v>608.03096536473436</v>
      </c>
      <c r="F2445" s="3">
        <f t="shared" si="235"/>
        <v>-514.37081536761877</v>
      </c>
      <c r="G2445" s="3">
        <f t="shared" si="236"/>
        <v>6.3398500028844182</v>
      </c>
      <c r="H2445" s="3">
        <f t="shared" si="237"/>
        <v>608.03096536473436</v>
      </c>
      <c r="M2445" s="1">
        <f t="shared" si="238"/>
        <v>1694</v>
      </c>
      <c r="N2445" s="38">
        <f>+M2445*'Failure Data'!F$3</f>
        <v>43.761666666666663</v>
      </c>
    </row>
    <row r="2446" spans="1:14" x14ac:dyDescent="0.15">
      <c r="A2446" s="1">
        <v>2437</v>
      </c>
      <c r="B2446" s="3">
        <f t="shared" si="233"/>
        <v>614.62171885299074</v>
      </c>
      <c r="C2446" s="8"/>
      <c r="D2446" s="3">
        <f t="shared" si="234"/>
        <v>608.28186885010632</v>
      </c>
      <c r="F2446" s="3">
        <f t="shared" si="235"/>
        <v>-514.62171885299074</v>
      </c>
      <c r="G2446" s="3">
        <f t="shared" si="236"/>
        <v>6.3398500028844182</v>
      </c>
      <c r="H2446" s="3">
        <f t="shared" si="237"/>
        <v>608.28186885010632</v>
      </c>
      <c r="M2446" s="1">
        <f t="shared" si="238"/>
        <v>1695</v>
      </c>
      <c r="N2446" s="38">
        <f>+M2446*'Failure Data'!F$3</f>
        <v>43.787500000000001</v>
      </c>
    </row>
    <row r="2447" spans="1:14" x14ac:dyDescent="0.15">
      <c r="A2447" s="1">
        <v>2438</v>
      </c>
      <c r="B2447" s="3">
        <f t="shared" si="233"/>
        <v>614.8726223383627</v>
      </c>
      <c r="C2447" s="8"/>
      <c r="D2447" s="3">
        <f t="shared" si="234"/>
        <v>608.5327723354784</v>
      </c>
      <c r="F2447" s="3">
        <f t="shared" si="235"/>
        <v>-514.8726223383627</v>
      </c>
      <c r="G2447" s="3">
        <f t="shared" si="236"/>
        <v>6.3398500028843046</v>
      </c>
      <c r="H2447" s="3">
        <f t="shared" si="237"/>
        <v>608.5327723354784</v>
      </c>
      <c r="M2447" s="1">
        <f t="shared" si="238"/>
        <v>1696</v>
      </c>
      <c r="N2447" s="38">
        <f>+M2447*'Failure Data'!F$3</f>
        <v>43.813333333333333</v>
      </c>
    </row>
    <row r="2448" spans="1:14" x14ac:dyDescent="0.15">
      <c r="A2448" s="1">
        <v>2439</v>
      </c>
      <c r="B2448" s="3">
        <f t="shared" si="233"/>
        <v>615.12352582373478</v>
      </c>
      <c r="C2448" s="8"/>
      <c r="D2448" s="3">
        <f t="shared" si="234"/>
        <v>608.78367582085036</v>
      </c>
      <c r="F2448" s="3">
        <f t="shared" si="235"/>
        <v>-515.12352582373478</v>
      </c>
      <c r="G2448" s="3">
        <f t="shared" si="236"/>
        <v>6.3398500028844182</v>
      </c>
      <c r="H2448" s="3">
        <f t="shared" si="237"/>
        <v>608.78367582085036</v>
      </c>
      <c r="M2448" s="1">
        <f t="shared" si="238"/>
        <v>1697</v>
      </c>
      <c r="N2448" s="38">
        <f>+M2448*'Failure Data'!F$3</f>
        <v>43.839166666666664</v>
      </c>
    </row>
    <row r="2449" spans="1:14" x14ac:dyDescent="0.15">
      <c r="A2449" s="1">
        <v>2440</v>
      </c>
      <c r="B2449" s="3">
        <f t="shared" si="233"/>
        <v>615.37442930910674</v>
      </c>
      <c r="C2449" s="8"/>
      <c r="D2449" s="3">
        <f t="shared" si="234"/>
        <v>609.03457930622233</v>
      </c>
      <c r="F2449" s="3">
        <f t="shared" si="235"/>
        <v>-515.37442930910674</v>
      </c>
      <c r="G2449" s="3">
        <f t="shared" si="236"/>
        <v>6.3398500028844182</v>
      </c>
      <c r="H2449" s="3">
        <f t="shared" si="237"/>
        <v>609.03457930622233</v>
      </c>
      <c r="M2449" s="1">
        <f t="shared" si="238"/>
        <v>1698</v>
      </c>
      <c r="N2449" s="38">
        <f>+M2449*'Failure Data'!F$3</f>
        <v>43.865000000000002</v>
      </c>
    </row>
    <row r="2450" spans="1:14" x14ac:dyDescent="0.15">
      <c r="A2450" s="1">
        <v>2441</v>
      </c>
      <c r="B2450" s="3">
        <f t="shared" si="233"/>
        <v>615.62533279447871</v>
      </c>
      <c r="C2450" s="8"/>
      <c r="D2450" s="3">
        <f t="shared" si="234"/>
        <v>609.28548279159429</v>
      </c>
      <c r="F2450" s="3">
        <f t="shared" si="235"/>
        <v>-515.62533279447871</v>
      </c>
      <c r="G2450" s="3">
        <f t="shared" si="236"/>
        <v>6.3398500028844182</v>
      </c>
      <c r="H2450" s="3">
        <f t="shared" si="237"/>
        <v>609.28548279159429</v>
      </c>
      <c r="M2450" s="1">
        <f t="shared" si="238"/>
        <v>1699</v>
      </c>
      <c r="N2450" s="38">
        <f>+M2450*'Failure Data'!F$3</f>
        <v>43.890833333333333</v>
      </c>
    </row>
    <row r="2451" spans="1:14" x14ac:dyDescent="0.15">
      <c r="A2451" s="1">
        <v>2442</v>
      </c>
      <c r="B2451" s="3">
        <f t="shared" si="233"/>
        <v>615.87623627985079</v>
      </c>
      <c r="C2451" s="8"/>
      <c r="D2451" s="3">
        <f t="shared" si="234"/>
        <v>609.53638627696637</v>
      </c>
      <c r="F2451" s="3">
        <f t="shared" si="235"/>
        <v>-515.87623627985079</v>
      </c>
      <c r="G2451" s="3">
        <f t="shared" si="236"/>
        <v>6.3398500028844182</v>
      </c>
      <c r="H2451" s="3">
        <f t="shared" si="237"/>
        <v>609.53638627696637</v>
      </c>
      <c r="M2451" s="1">
        <f t="shared" si="238"/>
        <v>1700</v>
      </c>
      <c r="N2451" s="38">
        <f>+M2451*'Failure Data'!F$3</f>
        <v>43.916666666666664</v>
      </c>
    </row>
    <row r="2452" spans="1:14" x14ac:dyDescent="0.15">
      <c r="A2452" s="1">
        <v>2443</v>
      </c>
      <c r="B2452" s="3">
        <f t="shared" si="233"/>
        <v>616.12713976522275</v>
      </c>
      <c r="C2452" s="8"/>
      <c r="D2452" s="3">
        <f t="shared" si="234"/>
        <v>609.78728976233833</v>
      </c>
      <c r="F2452" s="3">
        <f t="shared" si="235"/>
        <v>-516.12713976522275</v>
      </c>
      <c r="G2452" s="3">
        <f t="shared" si="236"/>
        <v>6.3398500028844182</v>
      </c>
      <c r="H2452" s="3">
        <f t="shared" si="237"/>
        <v>609.78728976233833</v>
      </c>
      <c r="M2452" s="1">
        <f t="shared" si="238"/>
        <v>1701</v>
      </c>
      <c r="N2452" s="38">
        <f>+M2452*'Failure Data'!F$3</f>
        <v>43.942500000000003</v>
      </c>
    </row>
    <row r="2453" spans="1:14" x14ac:dyDescent="0.15">
      <c r="A2453" s="1">
        <v>2444</v>
      </c>
      <c r="B2453" s="3">
        <f t="shared" si="233"/>
        <v>616.37804325059471</v>
      </c>
      <c r="C2453" s="8"/>
      <c r="D2453" s="3">
        <f t="shared" si="234"/>
        <v>610.0381932477103</v>
      </c>
      <c r="F2453" s="3">
        <f t="shared" si="235"/>
        <v>-516.37804325059471</v>
      </c>
      <c r="G2453" s="3">
        <f t="shared" si="236"/>
        <v>6.3398500028844182</v>
      </c>
      <c r="H2453" s="3">
        <f t="shared" si="237"/>
        <v>610.0381932477103</v>
      </c>
      <c r="M2453" s="1">
        <f t="shared" si="238"/>
        <v>1702</v>
      </c>
      <c r="N2453" s="38">
        <f>+M2453*'Failure Data'!F$3</f>
        <v>43.968333333333334</v>
      </c>
    </row>
    <row r="2454" spans="1:14" x14ac:dyDescent="0.15">
      <c r="A2454" s="1">
        <v>2445</v>
      </c>
      <c r="B2454" s="3">
        <f t="shared" si="233"/>
        <v>616.62894673596668</v>
      </c>
      <c r="C2454" s="8"/>
      <c r="D2454" s="3">
        <f t="shared" si="234"/>
        <v>610.28909673308237</v>
      </c>
      <c r="F2454" s="3">
        <f t="shared" si="235"/>
        <v>-516.62894673596668</v>
      </c>
      <c r="G2454" s="3">
        <f t="shared" si="236"/>
        <v>6.3398500028843046</v>
      </c>
      <c r="H2454" s="3">
        <f t="shared" si="237"/>
        <v>610.28909673308237</v>
      </c>
      <c r="M2454" s="1">
        <f t="shared" si="238"/>
        <v>1703</v>
      </c>
      <c r="N2454" s="38">
        <f>+M2454*'Failure Data'!F$3</f>
        <v>43.994166666666665</v>
      </c>
    </row>
    <row r="2455" spans="1:14" x14ac:dyDescent="0.15">
      <c r="A2455" s="1">
        <v>2446</v>
      </c>
      <c r="B2455" s="3">
        <f t="shared" si="233"/>
        <v>616.87985022133876</v>
      </c>
      <c r="C2455" s="8"/>
      <c r="D2455" s="3">
        <f t="shared" si="234"/>
        <v>610.54000021845434</v>
      </c>
      <c r="F2455" s="3">
        <f t="shared" si="235"/>
        <v>-516.87985022133876</v>
      </c>
      <c r="G2455" s="3">
        <f t="shared" si="236"/>
        <v>6.3398500028844182</v>
      </c>
      <c r="H2455" s="3">
        <f t="shared" si="237"/>
        <v>610.54000021845434</v>
      </c>
      <c r="M2455" s="1">
        <f t="shared" si="238"/>
        <v>1704</v>
      </c>
      <c r="N2455" s="38">
        <f>+M2455*'Failure Data'!F$3</f>
        <v>44.02</v>
      </c>
    </row>
    <row r="2456" spans="1:14" x14ac:dyDescent="0.15">
      <c r="A2456" s="1">
        <v>2447</v>
      </c>
      <c r="B2456" s="3">
        <f t="shared" si="233"/>
        <v>617.13075370671072</v>
      </c>
      <c r="C2456" s="8"/>
      <c r="D2456" s="3">
        <f t="shared" si="234"/>
        <v>610.7909037038263</v>
      </c>
      <c r="F2456" s="3">
        <f t="shared" si="235"/>
        <v>-517.13075370671072</v>
      </c>
      <c r="G2456" s="3">
        <f t="shared" si="236"/>
        <v>6.3398500028844182</v>
      </c>
      <c r="H2456" s="3">
        <f t="shared" si="237"/>
        <v>610.7909037038263</v>
      </c>
      <c r="M2456" s="1">
        <f t="shared" si="238"/>
        <v>1705</v>
      </c>
      <c r="N2456" s="38">
        <f>+M2456*'Failure Data'!F$3</f>
        <v>44.045833333333334</v>
      </c>
    </row>
    <row r="2457" spans="1:14" x14ac:dyDescent="0.15">
      <c r="A2457" s="1">
        <v>2448</v>
      </c>
      <c r="B2457" s="3">
        <f t="shared" si="233"/>
        <v>617.38165719208268</v>
      </c>
      <c r="C2457" s="8"/>
      <c r="D2457" s="3">
        <f t="shared" si="234"/>
        <v>611.04180718919827</v>
      </c>
      <c r="F2457" s="3">
        <f t="shared" si="235"/>
        <v>-517.38165719208268</v>
      </c>
      <c r="G2457" s="3">
        <f t="shared" si="236"/>
        <v>6.3398500028844182</v>
      </c>
      <c r="H2457" s="3">
        <f t="shared" si="237"/>
        <v>611.04180718919827</v>
      </c>
      <c r="M2457" s="1">
        <f t="shared" si="238"/>
        <v>1706</v>
      </c>
      <c r="N2457" s="38">
        <f>+M2457*'Failure Data'!F$3</f>
        <v>44.071666666666665</v>
      </c>
    </row>
    <row r="2458" spans="1:14" x14ac:dyDescent="0.15">
      <c r="A2458" s="1">
        <v>2449</v>
      </c>
      <c r="B2458" s="3">
        <f t="shared" si="233"/>
        <v>617.63256067745465</v>
      </c>
      <c r="C2458" s="8"/>
      <c r="D2458" s="3">
        <f t="shared" si="234"/>
        <v>611.29271067457034</v>
      </c>
      <c r="F2458" s="3">
        <f t="shared" si="235"/>
        <v>-517.63256067745465</v>
      </c>
      <c r="G2458" s="3">
        <f t="shared" si="236"/>
        <v>6.3398500028843046</v>
      </c>
      <c r="H2458" s="3">
        <f t="shared" si="237"/>
        <v>611.29271067457034</v>
      </c>
      <c r="M2458" s="1">
        <f t="shared" si="238"/>
        <v>1707</v>
      </c>
      <c r="N2458" s="38">
        <f>+M2458*'Failure Data'!F$3</f>
        <v>44.097499999999997</v>
      </c>
    </row>
    <row r="2459" spans="1:14" x14ac:dyDescent="0.15">
      <c r="A2459" s="1">
        <v>2450</v>
      </c>
      <c r="B2459" s="3">
        <f t="shared" si="233"/>
        <v>617.88346416282673</v>
      </c>
      <c r="C2459" s="8"/>
      <c r="D2459" s="3">
        <f t="shared" si="234"/>
        <v>611.54361415994231</v>
      </c>
      <c r="F2459" s="3">
        <f t="shared" si="235"/>
        <v>-517.88346416282673</v>
      </c>
      <c r="G2459" s="3">
        <f t="shared" si="236"/>
        <v>6.3398500028844182</v>
      </c>
      <c r="H2459" s="3">
        <f t="shared" si="237"/>
        <v>611.54361415994231</v>
      </c>
      <c r="M2459" s="1">
        <f t="shared" si="238"/>
        <v>1708</v>
      </c>
      <c r="N2459" s="38">
        <f>+M2459*'Failure Data'!F$3</f>
        <v>44.123333333333335</v>
      </c>
    </row>
    <row r="2460" spans="1:14" x14ac:dyDescent="0.15">
      <c r="A2460" s="1">
        <v>2451</v>
      </c>
      <c r="B2460" s="3">
        <f t="shared" si="233"/>
        <v>618.13436764819869</v>
      </c>
      <c r="C2460" s="8"/>
      <c r="D2460" s="3">
        <f t="shared" si="234"/>
        <v>611.79451764531427</v>
      </c>
      <c r="F2460" s="3">
        <f t="shared" si="235"/>
        <v>-518.13436764819869</v>
      </c>
      <c r="G2460" s="3">
        <f t="shared" si="236"/>
        <v>6.3398500028844182</v>
      </c>
      <c r="H2460" s="3">
        <f t="shared" si="237"/>
        <v>611.79451764531427</v>
      </c>
      <c r="M2460" s="1">
        <f t="shared" si="238"/>
        <v>1709</v>
      </c>
      <c r="N2460" s="38">
        <f>+M2460*'Failure Data'!F$3</f>
        <v>44.149166666666666</v>
      </c>
    </row>
    <row r="2461" spans="1:14" x14ac:dyDescent="0.15">
      <c r="A2461" s="1">
        <v>2452</v>
      </c>
      <c r="B2461" s="3">
        <f t="shared" si="233"/>
        <v>618.38527113357065</v>
      </c>
      <c r="C2461" s="8"/>
      <c r="D2461" s="3">
        <f t="shared" si="234"/>
        <v>612.04542113068624</v>
      </c>
      <c r="F2461" s="3">
        <f t="shared" si="235"/>
        <v>-518.38527113357065</v>
      </c>
      <c r="G2461" s="3">
        <f t="shared" si="236"/>
        <v>6.3398500028844182</v>
      </c>
      <c r="H2461" s="3">
        <f t="shared" si="237"/>
        <v>612.04542113068624</v>
      </c>
      <c r="M2461" s="1">
        <f t="shared" si="238"/>
        <v>1710</v>
      </c>
      <c r="N2461" s="38">
        <f>+M2461*'Failure Data'!F$3</f>
        <v>44.174999999999997</v>
      </c>
    </row>
    <row r="2462" spans="1:14" x14ac:dyDescent="0.15">
      <c r="A2462" s="1">
        <v>2453</v>
      </c>
      <c r="B2462" s="3">
        <f t="shared" si="233"/>
        <v>618.63617461894262</v>
      </c>
      <c r="C2462" s="8"/>
      <c r="D2462" s="3">
        <f t="shared" si="234"/>
        <v>612.29632461605831</v>
      </c>
      <c r="F2462" s="3">
        <f t="shared" si="235"/>
        <v>-518.63617461894262</v>
      </c>
      <c r="G2462" s="3">
        <f t="shared" si="236"/>
        <v>6.3398500028843046</v>
      </c>
      <c r="H2462" s="3">
        <f t="shared" si="237"/>
        <v>612.29632461605831</v>
      </c>
      <c r="M2462" s="1">
        <f t="shared" si="238"/>
        <v>1711</v>
      </c>
      <c r="N2462" s="38">
        <f>+M2462*'Failure Data'!F$3</f>
        <v>44.200833333333335</v>
      </c>
    </row>
    <row r="2463" spans="1:14" x14ac:dyDescent="0.15">
      <c r="A2463" s="1">
        <v>2454</v>
      </c>
      <c r="B2463" s="3">
        <f t="shared" ref="B2463:B2526" si="239">+(B$4*A2463)+B$5</f>
        <v>618.8870781043147</v>
      </c>
      <c r="C2463" s="8"/>
      <c r="D2463" s="3">
        <f t="shared" ref="D2463:D2526" si="240">+(D$4*A2463)+D$5</f>
        <v>612.54722810143028</v>
      </c>
      <c r="F2463" s="3">
        <f t="shared" ref="F2463:F2526" si="241">+xmax-B2463</f>
        <v>-518.8870781043147</v>
      </c>
      <c r="G2463" s="3">
        <f t="shared" ref="G2463:G2526" si="242">+B2463-D2463</f>
        <v>6.3398500028844182</v>
      </c>
      <c r="H2463" s="3">
        <f t="shared" ref="H2463:H2526" si="243">D2463</f>
        <v>612.54722810143028</v>
      </c>
      <c r="M2463" s="1">
        <f t="shared" si="238"/>
        <v>1712</v>
      </c>
      <c r="N2463" s="38">
        <f>+M2463*'Failure Data'!F$3</f>
        <v>44.226666666666667</v>
      </c>
    </row>
    <row r="2464" spans="1:14" x14ac:dyDescent="0.15">
      <c r="A2464" s="1">
        <v>2455</v>
      </c>
      <c r="B2464" s="3">
        <f t="shared" si="239"/>
        <v>619.13798158968666</v>
      </c>
      <c r="C2464" s="8"/>
      <c r="D2464" s="3">
        <f t="shared" si="240"/>
        <v>612.79813158680224</v>
      </c>
      <c r="F2464" s="3">
        <f t="shared" si="241"/>
        <v>-519.13798158968666</v>
      </c>
      <c r="G2464" s="3">
        <f t="shared" si="242"/>
        <v>6.3398500028844182</v>
      </c>
      <c r="H2464" s="3">
        <f t="shared" si="243"/>
        <v>612.79813158680224</v>
      </c>
      <c r="M2464" s="1">
        <f t="shared" si="238"/>
        <v>1713</v>
      </c>
      <c r="N2464" s="38">
        <f>+M2464*'Failure Data'!F$3</f>
        <v>44.252499999999998</v>
      </c>
    </row>
    <row r="2465" spans="1:14" x14ac:dyDescent="0.15">
      <c r="A2465" s="1">
        <v>2456</v>
      </c>
      <c r="B2465" s="3">
        <f t="shared" si="239"/>
        <v>619.38888507505862</v>
      </c>
      <c r="C2465" s="8"/>
      <c r="D2465" s="3">
        <f t="shared" si="240"/>
        <v>613.04903507217421</v>
      </c>
      <c r="F2465" s="3">
        <f t="shared" si="241"/>
        <v>-519.38888507505862</v>
      </c>
      <c r="G2465" s="3">
        <f t="shared" si="242"/>
        <v>6.3398500028844182</v>
      </c>
      <c r="H2465" s="3">
        <f t="shared" si="243"/>
        <v>613.04903507217421</v>
      </c>
      <c r="M2465" s="1">
        <f t="shared" si="238"/>
        <v>1714</v>
      </c>
      <c r="N2465" s="38">
        <f>+M2465*'Failure Data'!F$3</f>
        <v>44.278333333333336</v>
      </c>
    </row>
    <row r="2466" spans="1:14" x14ac:dyDescent="0.15">
      <c r="A2466" s="1">
        <v>2457</v>
      </c>
      <c r="B2466" s="3">
        <f t="shared" si="239"/>
        <v>619.63978856043059</v>
      </c>
      <c r="C2466" s="8"/>
      <c r="D2466" s="3">
        <f t="shared" si="240"/>
        <v>613.29993855754628</v>
      </c>
      <c r="F2466" s="3">
        <f t="shared" si="241"/>
        <v>-519.63978856043059</v>
      </c>
      <c r="G2466" s="3">
        <f t="shared" si="242"/>
        <v>6.3398500028843046</v>
      </c>
      <c r="H2466" s="3">
        <f t="shared" si="243"/>
        <v>613.29993855754628</v>
      </c>
      <c r="M2466" s="1">
        <f t="shared" si="238"/>
        <v>1715</v>
      </c>
      <c r="N2466" s="38">
        <f>+M2466*'Failure Data'!F$3</f>
        <v>44.304166666666667</v>
      </c>
    </row>
    <row r="2467" spans="1:14" x14ac:dyDescent="0.15">
      <c r="A2467" s="1">
        <v>2458</v>
      </c>
      <c r="B2467" s="3">
        <f t="shared" si="239"/>
        <v>619.89069204580267</v>
      </c>
      <c r="C2467" s="8"/>
      <c r="D2467" s="3">
        <f t="shared" si="240"/>
        <v>613.55084204291825</v>
      </c>
      <c r="F2467" s="3">
        <f t="shared" si="241"/>
        <v>-519.89069204580267</v>
      </c>
      <c r="G2467" s="3">
        <f t="shared" si="242"/>
        <v>6.3398500028844182</v>
      </c>
      <c r="H2467" s="3">
        <f t="shared" si="243"/>
        <v>613.55084204291825</v>
      </c>
      <c r="M2467" s="1">
        <f t="shared" si="238"/>
        <v>1716</v>
      </c>
      <c r="N2467" s="38">
        <f>+M2467*'Failure Data'!F$3</f>
        <v>44.33</v>
      </c>
    </row>
    <row r="2468" spans="1:14" x14ac:dyDescent="0.15">
      <c r="A2468" s="1">
        <v>2459</v>
      </c>
      <c r="B2468" s="3">
        <f t="shared" si="239"/>
        <v>620.14159553117463</v>
      </c>
      <c r="C2468" s="8"/>
      <c r="D2468" s="3">
        <f t="shared" si="240"/>
        <v>613.80174552829021</v>
      </c>
      <c r="F2468" s="3">
        <f t="shared" si="241"/>
        <v>-520.14159553117463</v>
      </c>
      <c r="G2468" s="3">
        <f t="shared" si="242"/>
        <v>6.3398500028844182</v>
      </c>
      <c r="H2468" s="3">
        <f t="shared" si="243"/>
        <v>613.80174552829021</v>
      </c>
      <c r="M2468" s="1">
        <f t="shared" si="238"/>
        <v>1717</v>
      </c>
      <c r="N2468" s="38">
        <f>+M2468*'Failure Data'!F$3</f>
        <v>44.355833333333337</v>
      </c>
    </row>
    <row r="2469" spans="1:14" x14ac:dyDescent="0.15">
      <c r="A2469" s="1">
        <v>2460</v>
      </c>
      <c r="B2469" s="3">
        <f t="shared" si="239"/>
        <v>620.39249901654659</v>
      </c>
      <c r="C2469" s="8"/>
      <c r="D2469" s="3">
        <f t="shared" si="240"/>
        <v>614.05264901366218</v>
      </c>
      <c r="F2469" s="3">
        <f t="shared" si="241"/>
        <v>-520.39249901654659</v>
      </c>
      <c r="G2469" s="3">
        <f t="shared" si="242"/>
        <v>6.3398500028844182</v>
      </c>
      <c r="H2469" s="3">
        <f t="shared" si="243"/>
        <v>614.05264901366218</v>
      </c>
      <c r="M2469" s="1">
        <f t="shared" si="238"/>
        <v>1718</v>
      </c>
      <c r="N2469" s="38">
        <f>+M2469*'Failure Data'!F$3</f>
        <v>44.381666666666668</v>
      </c>
    </row>
    <row r="2470" spans="1:14" x14ac:dyDescent="0.15">
      <c r="A2470" s="1">
        <v>2461</v>
      </c>
      <c r="B2470" s="3">
        <f t="shared" si="239"/>
        <v>620.64340250191856</v>
      </c>
      <c r="C2470" s="8"/>
      <c r="D2470" s="3">
        <f t="shared" si="240"/>
        <v>614.30355249903425</v>
      </c>
      <c r="F2470" s="3">
        <f t="shared" si="241"/>
        <v>-520.64340250191856</v>
      </c>
      <c r="G2470" s="3">
        <f t="shared" si="242"/>
        <v>6.3398500028843046</v>
      </c>
      <c r="H2470" s="3">
        <f t="shared" si="243"/>
        <v>614.30355249903425</v>
      </c>
      <c r="M2470" s="1">
        <f t="shared" si="238"/>
        <v>1719</v>
      </c>
      <c r="N2470" s="38">
        <f>+M2470*'Failure Data'!F$3</f>
        <v>44.407499999999999</v>
      </c>
    </row>
    <row r="2471" spans="1:14" x14ac:dyDescent="0.15">
      <c r="A2471" s="1">
        <v>2462</v>
      </c>
      <c r="B2471" s="3">
        <f t="shared" si="239"/>
        <v>620.89430598729064</v>
      </c>
      <c r="C2471" s="8"/>
      <c r="D2471" s="3">
        <f t="shared" si="240"/>
        <v>614.55445598440622</v>
      </c>
      <c r="F2471" s="3">
        <f t="shared" si="241"/>
        <v>-520.89430598729064</v>
      </c>
      <c r="G2471" s="3">
        <f t="shared" si="242"/>
        <v>6.3398500028844182</v>
      </c>
      <c r="H2471" s="3">
        <f t="shared" si="243"/>
        <v>614.55445598440622</v>
      </c>
      <c r="M2471" s="1">
        <f t="shared" si="238"/>
        <v>1720</v>
      </c>
      <c r="N2471" s="38">
        <f>+M2471*'Failure Data'!F$3</f>
        <v>44.43333333333333</v>
      </c>
    </row>
    <row r="2472" spans="1:14" x14ac:dyDescent="0.15">
      <c r="A2472" s="1">
        <v>2463</v>
      </c>
      <c r="B2472" s="3">
        <f t="shared" si="239"/>
        <v>621.1452094726626</v>
      </c>
      <c r="C2472" s="8"/>
      <c r="D2472" s="3">
        <f t="shared" si="240"/>
        <v>614.80535946977818</v>
      </c>
      <c r="F2472" s="3">
        <f t="shared" si="241"/>
        <v>-521.1452094726626</v>
      </c>
      <c r="G2472" s="3">
        <f t="shared" si="242"/>
        <v>6.3398500028844182</v>
      </c>
      <c r="H2472" s="3">
        <f t="shared" si="243"/>
        <v>614.80535946977818</v>
      </c>
      <c r="M2472" s="1">
        <f t="shared" si="238"/>
        <v>1721</v>
      </c>
      <c r="N2472" s="38">
        <f>+M2472*'Failure Data'!F$3</f>
        <v>44.459166666666668</v>
      </c>
    </row>
    <row r="2473" spans="1:14" x14ac:dyDescent="0.15">
      <c r="A2473" s="1">
        <v>2464</v>
      </c>
      <c r="B2473" s="3">
        <f t="shared" si="239"/>
        <v>621.39611295803456</v>
      </c>
      <c r="C2473" s="8"/>
      <c r="D2473" s="3">
        <f t="shared" si="240"/>
        <v>615.05626295515015</v>
      </c>
      <c r="F2473" s="3">
        <f t="shared" si="241"/>
        <v>-521.39611295803456</v>
      </c>
      <c r="G2473" s="3">
        <f t="shared" si="242"/>
        <v>6.3398500028844182</v>
      </c>
      <c r="H2473" s="3">
        <f t="shared" si="243"/>
        <v>615.05626295515015</v>
      </c>
      <c r="M2473" s="1">
        <f t="shared" si="238"/>
        <v>1722</v>
      </c>
      <c r="N2473" s="38">
        <f>+M2473*'Failure Data'!F$3</f>
        <v>44.484999999999999</v>
      </c>
    </row>
    <row r="2474" spans="1:14" x14ac:dyDescent="0.15">
      <c r="A2474" s="1">
        <v>2465</v>
      </c>
      <c r="B2474" s="3">
        <f t="shared" si="239"/>
        <v>621.64701644340664</v>
      </c>
      <c r="C2474" s="8"/>
      <c r="D2474" s="3">
        <f t="shared" si="240"/>
        <v>615.30716644052222</v>
      </c>
      <c r="F2474" s="3">
        <f t="shared" si="241"/>
        <v>-521.64701644340664</v>
      </c>
      <c r="G2474" s="3">
        <f t="shared" si="242"/>
        <v>6.3398500028844182</v>
      </c>
      <c r="H2474" s="3">
        <f t="shared" si="243"/>
        <v>615.30716644052222</v>
      </c>
      <c r="M2474" s="1">
        <f t="shared" si="238"/>
        <v>1723</v>
      </c>
      <c r="N2474" s="38">
        <f>+M2474*'Failure Data'!F$3</f>
        <v>44.510833333333331</v>
      </c>
    </row>
    <row r="2475" spans="1:14" x14ac:dyDescent="0.15">
      <c r="A2475" s="1">
        <v>2466</v>
      </c>
      <c r="B2475" s="3">
        <f t="shared" si="239"/>
        <v>621.89791992877861</v>
      </c>
      <c r="C2475" s="8"/>
      <c r="D2475" s="3">
        <f t="shared" si="240"/>
        <v>615.55806992589419</v>
      </c>
      <c r="F2475" s="3">
        <f t="shared" si="241"/>
        <v>-521.89791992877861</v>
      </c>
      <c r="G2475" s="3">
        <f t="shared" si="242"/>
        <v>6.3398500028844182</v>
      </c>
      <c r="H2475" s="3">
        <f t="shared" si="243"/>
        <v>615.55806992589419</v>
      </c>
      <c r="M2475" s="1">
        <f t="shared" si="238"/>
        <v>1724</v>
      </c>
      <c r="N2475" s="38">
        <f>+M2475*'Failure Data'!F$3</f>
        <v>44.536666666666669</v>
      </c>
    </row>
    <row r="2476" spans="1:14" x14ac:dyDescent="0.15">
      <c r="A2476" s="1">
        <v>2467</v>
      </c>
      <c r="B2476" s="3">
        <f t="shared" si="239"/>
        <v>622.14882341415057</v>
      </c>
      <c r="C2476" s="8"/>
      <c r="D2476" s="3">
        <f t="shared" si="240"/>
        <v>615.80897341126615</v>
      </c>
      <c r="F2476" s="3">
        <f t="shared" si="241"/>
        <v>-522.14882341415057</v>
      </c>
      <c r="G2476" s="3">
        <f t="shared" si="242"/>
        <v>6.3398500028844182</v>
      </c>
      <c r="H2476" s="3">
        <f t="shared" si="243"/>
        <v>615.80897341126615</v>
      </c>
      <c r="M2476" s="1">
        <f t="shared" si="238"/>
        <v>1725</v>
      </c>
      <c r="N2476" s="38">
        <f>+M2476*'Failure Data'!F$3</f>
        <v>44.5625</v>
      </c>
    </row>
    <row r="2477" spans="1:14" x14ac:dyDescent="0.15">
      <c r="A2477" s="1">
        <v>2468</v>
      </c>
      <c r="B2477" s="3">
        <f t="shared" si="239"/>
        <v>622.39972689952253</v>
      </c>
      <c r="C2477" s="8"/>
      <c r="D2477" s="3">
        <f t="shared" si="240"/>
        <v>616.05987689663823</v>
      </c>
      <c r="F2477" s="3">
        <f t="shared" si="241"/>
        <v>-522.39972689952253</v>
      </c>
      <c r="G2477" s="3">
        <f t="shared" si="242"/>
        <v>6.3398500028843046</v>
      </c>
      <c r="H2477" s="3">
        <f t="shared" si="243"/>
        <v>616.05987689663823</v>
      </c>
      <c r="M2477" s="1">
        <f t="shared" si="238"/>
        <v>1726</v>
      </c>
      <c r="N2477" s="38">
        <f>+M2477*'Failure Data'!F$3</f>
        <v>44.588333333333331</v>
      </c>
    </row>
    <row r="2478" spans="1:14" x14ac:dyDescent="0.15">
      <c r="A2478" s="1">
        <v>2469</v>
      </c>
      <c r="B2478" s="3">
        <f t="shared" si="239"/>
        <v>622.65063038489461</v>
      </c>
      <c r="C2478" s="8"/>
      <c r="D2478" s="3">
        <f t="shared" si="240"/>
        <v>616.31078038201019</v>
      </c>
      <c r="F2478" s="3">
        <f t="shared" si="241"/>
        <v>-522.65063038489461</v>
      </c>
      <c r="G2478" s="3">
        <f t="shared" si="242"/>
        <v>6.3398500028844182</v>
      </c>
      <c r="H2478" s="3">
        <f t="shared" si="243"/>
        <v>616.31078038201019</v>
      </c>
      <c r="M2478" s="1">
        <f t="shared" si="238"/>
        <v>1727</v>
      </c>
      <c r="N2478" s="38">
        <f>+M2478*'Failure Data'!F$3</f>
        <v>44.614166666666669</v>
      </c>
    </row>
    <row r="2479" spans="1:14" x14ac:dyDescent="0.15">
      <c r="A2479" s="1">
        <v>2470</v>
      </c>
      <c r="B2479" s="3">
        <f t="shared" si="239"/>
        <v>622.90153387026658</v>
      </c>
      <c r="C2479" s="8"/>
      <c r="D2479" s="3">
        <f t="shared" si="240"/>
        <v>616.56168386738216</v>
      </c>
      <c r="F2479" s="3">
        <f t="shared" si="241"/>
        <v>-522.90153387026658</v>
      </c>
      <c r="G2479" s="3">
        <f t="shared" si="242"/>
        <v>6.3398500028844182</v>
      </c>
      <c r="H2479" s="3">
        <f t="shared" si="243"/>
        <v>616.56168386738216</v>
      </c>
      <c r="M2479" s="1">
        <f t="shared" si="238"/>
        <v>1728</v>
      </c>
      <c r="N2479" s="38">
        <f>+M2479*'Failure Data'!F$3</f>
        <v>44.64</v>
      </c>
    </row>
    <row r="2480" spans="1:14" x14ac:dyDescent="0.15">
      <c r="A2480" s="1">
        <v>2471</v>
      </c>
      <c r="B2480" s="3">
        <f t="shared" si="239"/>
        <v>623.15243735563854</v>
      </c>
      <c r="C2480" s="8"/>
      <c r="D2480" s="3">
        <f t="shared" si="240"/>
        <v>616.81258735275412</v>
      </c>
      <c r="F2480" s="3">
        <f t="shared" si="241"/>
        <v>-523.15243735563854</v>
      </c>
      <c r="G2480" s="3">
        <f t="shared" si="242"/>
        <v>6.3398500028844182</v>
      </c>
      <c r="H2480" s="3">
        <f t="shared" si="243"/>
        <v>616.81258735275412</v>
      </c>
      <c r="M2480" s="1">
        <f t="shared" si="238"/>
        <v>1729</v>
      </c>
      <c r="N2480" s="38">
        <f>+M2480*'Failure Data'!F$3</f>
        <v>44.665833333333332</v>
      </c>
    </row>
    <row r="2481" spans="1:14" x14ac:dyDescent="0.15">
      <c r="A2481" s="1">
        <v>2472</v>
      </c>
      <c r="B2481" s="3">
        <f t="shared" si="239"/>
        <v>623.4033408410105</v>
      </c>
      <c r="C2481" s="8"/>
      <c r="D2481" s="3">
        <f t="shared" si="240"/>
        <v>617.0634908381262</v>
      </c>
      <c r="F2481" s="3">
        <f t="shared" si="241"/>
        <v>-523.4033408410105</v>
      </c>
      <c r="G2481" s="3">
        <f t="shared" si="242"/>
        <v>6.3398500028843046</v>
      </c>
      <c r="H2481" s="3">
        <f t="shared" si="243"/>
        <v>617.0634908381262</v>
      </c>
      <c r="M2481" s="1">
        <f t="shared" si="238"/>
        <v>1730</v>
      </c>
      <c r="N2481" s="38">
        <f>+M2481*'Failure Data'!F$3</f>
        <v>44.691666666666663</v>
      </c>
    </row>
    <row r="2482" spans="1:14" x14ac:dyDescent="0.15">
      <c r="A2482" s="1">
        <v>2473</v>
      </c>
      <c r="B2482" s="3">
        <f t="shared" si="239"/>
        <v>623.65424432638258</v>
      </c>
      <c r="C2482" s="8"/>
      <c r="D2482" s="3">
        <f t="shared" si="240"/>
        <v>617.31439432349816</v>
      </c>
      <c r="F2482" s="3">
        <f t="shared" si="241"/>
        <v>-523.65424432638258</v>
      </c>
      <c r="G2482" s="3">
        <f t="shared" si="242"/>
        <v>6.3398500028844182</v>
      </c>
      <c r="H2482" s="3">
        <f t="shared" si="243"/>
        <v>617.31439432349816</v>
      </c>
      <c r="M2482" s="1">
        <f t="shared" si="238"/>
        <v>1731</v>
      </c>
      <c r="N2482" s="38">
        <f>+M2482*'Failure Data'!F$3</f>
        <v>44.717500000000001</v>
      </c>
    </row>
    <row r="2483" spans="1:14" x14ac:dyDescent="0.15">
      <c r="A2483" s="1">
        <v>2474</v>
      </c>
      <c r="B2483" s="3">
        <f t="shared" si="239"/>
        <v>623.90514781175455</v>
      </c>
      <c r="C2483" s="8"/>
      <c r="D2483" s="3">
        <f t="shared" si="240"/>
        <v>617.56529780887013</v>
      </c>
      <c r="F2483" s="3">
        <f t="shared" si="241"/>
        <v>-523.90514781175455</v>
      </c>
      <c r="G2483" s="3">
        <f t="shared" si="242"/>
        <v>6.3398500028844182</v>
      </c>
      <c r="H2483" s="3">
        <f t="shared" si="243"/>
        <v>617.56529780887013</v>
      </c>
      <c r="M2483" s="1">
        <f t="shared" si="238"/>
        <v>1732</v>
      </c>
      <c r="N2483" s="38">
        <f>+M2483*'Failure Data'!F$3</f>
        <v>44.743333333333332</v>
      </c>
    </row>
    <row r="2484" spans="1:14" x14ac:dyDescent="0.15">
      <c r="A2484" s="1">
        <v>2475</v>
      </c>
      <c r="B2484" s="3">
        <f t="shared" si="239"/>
        <v>624.15605129712651</v>
      </c>
      <c r="C2484" s="8"/>
      <c r="D2484" s="3">
        <f t="shared" si="240"/>
        <v>617.81620129424209</v>
      </c>
      <c r="F2484" s="3">
        <f t="shared" si="241"/>
        <v>-524.15605129712651</v>
      </c>
      <c r="G2484" s="3">
        <f t="shared" si="242"/>
        <v>6.3398500028844182</v>
      </c>
      <c r="H2484" s="3">
        <f t="shared" si="243"/>
        <v>617.81620129424209</v>
      </c>
      <c r="M2484" s="1">
        <f t="shared" si="238"/>
        <v>1733</v>
      </c>
      <c r="N2484" s="38">
        <f>+M2484*'Failure Data'!F$3</f>
        <v>44.769166666666663</v>
      </c>
    </row>
    <row r="2485" spans="1:14" x14ac:dyDescent="0.15">
      <c r="A2485" s="1">
        <v>2476</v>
      </c>
      <c r="B2485" s="3">
        <f t="shared" si="239"/>
        <v>624.40695478249847</v>
      </c>
      <c r="C2485" s="8"/>
      <c r="D2485" s="3">
        <f t="shared" si="240"/>
        <v>618.06710477961417</v>
      </c>
      <c r="F2485" s="3">
        <f t="shared" si="241"/>
        <v>-524.40695478249847</v>
      </c>
      <c r="G2485" s="3">
        <f t="shared" si="242"/>
        <v>6.3398500028843046</v>
      </c>
      <c r="H2485" s="3">
        <f t="shared" si="243"/>
        <v>618.06710477961417</v>
      </c>
      <c r="M2485" s="1">
        <f t="shared" si="238"/>
        <v>1734</v>
      </c>
      <c r="N2485" s="38">
        <f>+M2485*'Failure Data'!F$3</f>
        <v>44.795000000000002</v>
      </c>
    </row>
    <row r="2486" spans="1:14" x14ac:dyDescent="0.15">
      <c r="A2486" s="1">
        <v>2477</v>
      </c>
      <c r="B2486" s="3">
        <f t="shared" si="239"/>
        <v>624.65785826787055</v>
      </c>
      <c r="C2486" s="8"/>
      <c r="D2486" s="3">
        <f t="shared" si="240"/>
        <v>618.31800826498613</v>
      </c>
      <c r="F2486" s="3">
        <f t="shared" si="241"/>
        <v>-524.65785826787055</v>
      </c>
      <c r="G2486" s="3">
        <f t="shared" si="242"/>
        <v>6.3398500028844182</v>
      </c>
      <c r="H2486" s="3">
        <f t="shared" si="243"/>
        <v>618.31800826498613</v>
      </c>
      <c r="M2486" s="1">
        <f t="shared" si="238"/>
        <v>1735</v>
      </c>
      <c r="N2486" s="38">
        <f>+M2486*'Failure Data'!F$3</f>
        <v>44.820833333333333</v>
      </c>
    </row>
    <row r="2487" spans="1:14" x14ac:dyDescent="0.15">
      <c r="A2487" s="1">
        <v>2478</v>
      </c>
      <c r="B2487" s="3">
        <f t="shared" si="239"/>
        <v>624.90876175324252</v>
      </c>
      <c r="C2487" s="8"/>
      <c r="D2487" s="3">
        <f t="shared" si="240"/>
        <v>618.5689117503581</v>
      </c>
      <c r="F2487" s="3">
        <f t="shared" si="241"/>
        <v>-524.90876175324252</v>
      </c>
      <c r="G2487" s="3">
        <f t="shared" si="242"/>
        <v>6.3398500028844182</v>
      </c>
      <c r="H2487" s="3">
        <f t="shared" si="243"/>
        <v>618.5689117503581</v>
      </c>
      <c r="M2487" s="1">
        <f t="shared" si="238"/>
        <v>1736</v>
      </c>
      <c r="N2487" s="38">
        <f>+M2487*'Failure Data'!F$3</f>
        <v>44.846666666666664</v>
      </c>
    </row>
    <row r="2488" spans="1:14" x14ac:dyDescent="0.15">
      <c r="A2488" s="1">
        <v>2479</v>
      </c>
      <c r="B2488" s="3">
        <f t="shared" si="239"/>
        <v>625.15966523861448</v>
      </c>
      <c r="C2488" s="8"/>
      <c r="D2488" s="3">
        <f t="shared" si="240"/>
        <v>618.81981523573006</v>
      </c>
      <c r="F2488" s="3">
        <f t="shared" si="241"/>
        <v>-525.15966523861448</v>
      </c>
      <c r="G2488" s="3">
        <f t="shared" si="242"/>
        <v>6.3398500028844182</v>
      </c>
      <c r="H2488" s="3">
        <f t="shared" si="243"/>
        <v>618.81981523573006</v>
      </c>
      <c r="M2488" s="1">
        <f t="shared" si="238"/>
        <v>1737</v>
      </c>
      <c r="N2488" s="38">
        <f>+M2488*'Failure Data'!F$3</f>
        <v>44.872500000000002</v>
      </c>
    </row>
    <row r="2489" spans="1:14" x14ac:dyDescent="0.15">
      <c r="A2489" s="1">
        <v>2480</v>
      </c>
      <c r="B2489" s="3">
        <f t="shared" si="239"/>
        <v>625.41056872398644</v>
      </c>
      <c r="C2489" s="8"/>
      <c r="D2489" s="3">
        <f t="shared" si="240"/>
        <v>619.07071872110214</v>
      </c>
      <c r="F2489" s="3">
        <f t="shared" si="241"/>
        <v>-525.41056872398644</v>
      </c>
      <c r="G2489" s="3">
        <f t="shared" si="242"/>
        <v>6.3398500028843046</v>
      </c>
      <c r="H2489" s="3">
        <f t="shared" si="243"/>
        <v>619.07071872110214</v>
      </c>
      <c r="M2489" s="1">
        <f t="shared" si="238"/>
        <v>1738</v>
      </c>
      <c r="N2489" s="38">
        <f>+M2489*'Failure Data'!F$3</f>
        <v>44.898333333333333</v>
      </c>
    </row>
    <row r="2490" spans="1:14" x14ac:dyDescent="0.15">
      <c r="A2490" s="1">
        <v>2481</v>
      </c>
      <c r="B2490" s="3">
        <f t="shared" si="239"/>
        <v>625.66147220935852</v>
      </c>
      <c r="C2490" s="8"/>
      <c r="D2490" s="3">
        <f t="shared" si="240"/>
        <v>619.3216222064741</v>
      </c>
      <c r="F2490" s="3">
        <f t="shared" si="241"/>
        <v>-525.66147220935852</v>
      </c>
      <c r="G2490" s="3">
        <f t="shared" si="242"/>
        <v>6.3398500028844182</v>
      </c>
      <c r="H2490" s="3">
        <f t="shared" si="243"/>
        <v>619.3216222064741</v>
      </c>
      <c r="M2490" s="1">
        <f t="shared" si="238"/>
        <v>1739</v>
      </c>
      <c r="N2490" s="38">
        <f>+M2490*'Failure Data'!F$3</f>
        <v>44.924166666666665</v>
      </c>
    </row>
    <row r="2491" spans="1:14" x14ac:dyDescent="0.15">
      <c r="A2491" s="1">
        <v>2482</v>
      </c>
      <c r="B2491" s="3">
        <f t="shared" si="239"/>
        <v>625.91237569473049</v>
      </c>
      <c r="C2491" s="8"/>
      <c r="D2491" s="3">
        <f t="shared" si="240"/>
        <v>619.57252569184607</v>
      </c>
      <c r="F2491" s="3">
        <f t="shared" si="241"/>
        <v>-525.91237569473049</v>
      </c>
      <c r="G2491" s="3">
        <f t="shared" si="242"/>
        <v>6.3398500028844182</v>
      </c>
      <c r="H2491" s="3">
        <f t="shared" si="243"/>
        <v>619.57252569184607</v>
      </c>
      <c r="M2491" s="1">
        <f t="shared" si="238"/>
        <v>1740</v>
      </c>
      <c r="N2491" s="38">
        <f>+M2491*'Failure Data'!F$3</f>
        <v>44.95</v>
      </c>
    </row>
    <row r="2492" spans="1:14" x14ac:dyDescent="0.15">
      <c r="A2492" s="1">
        <v>2483</v>
      </c>
      <c r="B2492" s="3">
        <f t="shared" si="239"/>
        <v>626.16327918010245</v>
      </c>
      <c r="C2492" s="8"/>
      <c r="D2492" s="3">
        <f t="shared" si="240"/>
        <v>619.82342917721803</v>
      </c>
      <c r="F2492" s="3">
        <f t="shared" si="241"/>
        <v>-526.16327918010245</v>
      </c>
      <c r="G2492" s="3">
        <f t="shared" si="242"/>
        <v>6.3398500028844182</v>
      </c>
      <c r="H2492" s="3">
        <f t="shared" si="243"/>
        <v>619.82342917721803</v>
      </c>
      <c r="M2492" s="1">
        <f t="shared" si="238"/>
        <v>1741</v>
      </c>
      <c r="N2492" s="38">
        <f>+M2492*'Failure Data'!F$3</f>
        <v>44.975833333333334</v>
      </c>
    </row>
    <row r="2493" spans="1:14" x14ac:dyDescent="0.15">
      <c r="A2493" s="1">
        <v>2484</v>
      </c>
      <c r="B2493" s="3">
        <f t="shared" si="239"/>
        <v>626.41418266547441</v>
      </c>
      <c r="C2493" s="8"/>
      <c r="D2493" s="3">
        <f t="shared" si="240"/>
        <v>620.07433266259011</v>
      </c>
      <c r="F2493" s="3">
        <f t="shared" si="241"/>
        <v>-526.41418266547441</v>
      </c>
      <c r="G2493" s="3">
        <f t="shared" si="242"/>
        <v>6.3398500028843046</v>
      </c>
      <c r="H2493" s="3">
        <f t="shared" si="243"/>
        <v>620.07433266259011</v>
      </c>
      <c r="M2493" s="1">
        <f t="shared" si="238"/>
        <v>1742</v>
      </c>
      <c r="N2493" s="38">
        <f>+M2493*'Failure Data'!F$3</f>
        <v>45.001666666666665</v>
      </c>
    </row>
    <row r="2494" spans="1:14" x14ac:dyDescent="0.15">
      <c r="A2494" s="1">
        <v>2485</v>
      </c>
      <c r="B2494" s="3">
        <f t="shared" si="239"/>
        <v>626.66508615084649</v>
      </c>
      <c r="C2494" s="8"/>
      <c r="D2494" s="3">
        <f t="shared" si="240"/>
        <v>620.32523614796207</v>
      </c>
      <c r="F2494" s="3">
        <f t="shared" si="241"/>
        <v>-526.66508615084649</v>
      </c>
      <c r="G2494" s="3">
        <f t="shared" si="242"/>
        <v>6.3398500028844182</v>
      </c>
      <c r="H2494" s="3">
        <f t="shared" si="243"/>
        <v>620.32523614796207</v>
      </c>
      <c r="M2494" s="1">
        <f t="shared" si="238"/>
        <v>1743</v>
      </c>
      <c r="N2494" s="38">
        <f>+M2494*'Failure Data'!F$3</f>
        <v>45.027499999999996</v>
      </c>
    </row>
    <row r="2495" spans="1:14" x14ac:dyDescent="0.15">
      <c r="A2495" s="1">
        <v>2486</v>
      </c>
      <c r="B2495" s="3">
        <f t="shared" si="239"/>
        <v>626.91598963621846</v>
      </c>
      <c r="C2495" s="8"/>
      <c r="D2495" s="3">
        <f t="shared" si="240"/>
        <v>620.57613963333404</v>
      </c>
      <c r="F2495" s="3">
        <f t="shared" si="241"/>
        <v>-526.91598963621846</v>
      </c>
      <c r="G2495" s="3">
        <f t="shared" si="242"/>
        <v>6.3398500028844182</v>
      </c>
      <c r="H2495" s="3">
        <f t="shared" si="243"/>
        <v>620.57613963333404</v>
      </c>
      <c r="M2495" s="1">
        <f t="shared" si="238"/>
        <v>1744</v>
      </c>
      <c r="N2495" s="38">
        <f>+M2495*'Failure Data'!F$3</f>
        <v>45.053333333333335</v>
      </c>
    </row>
    <row r="2496" spans="1:14" x14ac:dyDescent="0.15">
      <c r="A2496" s="1">
        <v>2487</v>
      </c>
      <c r="B2496" s="3">
        <f t="shared" si="239"/>
        <v>627.16689312159042</v>
      </c>
      <c r="C2496" s="8"/>
      <c r="D2496" s="3">
        <f t="shared" si="240"/>
        <v>620.827043118706</v>
      </c>
      <c r="F2496" s="3">
        <f t="shared" si="241"/>
        <v>-527.16689312159042</v>
      </c>
      <c r="G2496" s="3">
        <f t="shared" si="242"/>
        <v>6.3398500028844182</v>
      </c>
      <c r="H2496" s="3">
        <f t="shared" si="243"/>
        <v>620.827043118706</v>
      </c>
      <c r="M2496" s="1">
        <f t="shared" si="238"/>
        <v>1745</v>
      </c>
      <c r="N2496" s="38">
        <f>+M2496*'Failure Data'!F$3</f>
        <v>45.079166666666666</v>
      </c>
    </row>
    <row r="2497" spans="1:14" x14ac:dyDescent="0.15">
      <c r="A2497" s="1">
        <v>2488</v>
      </c>
      <c r="B2497" s="3">
        <f t="shared" si="239"/>
        <v>627.4177966069625</v>
      </c>
      <c r="C2497" s="8"/>
      <c r="D2497" s="3">
        <f t="shared" si="240"/>
        <v>621.07794660407808</v>
      </c>
      <c r="F2497" s="3">
        <f t="shared" si="241"/>
        <v>-527.4177966069625</v>
      </c>
      <c r="G2497" s="3">
        <f t="shared" si="242"/>
        <v>6.3398500028844182</v>
      </c>
      <c r="H2497" s="3">
        <f t="shared" si="243"/>
        <v>621.07794660407808</v>
      </c>
      <c r="M2497" s="1">
        <f t="shared" ref="M2497:M2560" si="244">M2496+1</f>
        <v>1746</v>
      </c>
      <c r="N2497" s="38">
        <f>+M2497*'Failure Data'!F$3</f>
        <v>45.104999999999997</v>
      </c>
    </row>
    <row r="2498" spans="1:14" x14ac:dyDescent="0.15">
      <c r="A2498" s="1">
        <v>2489</v>
      </c>
      <c r="B2498" s="3">
        <f t="shared" si="239"/>
        <v>627.66870009233446</v>
      </c>
      <c r="C2498" s="8"/>
      <c r="D2498" s="3">
        <f t="shared" si="240"/>
        <v>621.32885008945004</v>
      </c>
      <c r="F2498" s="3">
        <f t="shared" si="241"/>
        <v>-527.66870009233446</v>
      </c>
      <c r="G2498" s="3">
        <f t="shared" si="242"/>
        <v>6.3398500028844182</v>
      </c>
      <c r="H2498" s="3">
        <f t="shared" si="243"/>
        <v>621.32885008945004</v>
      </c>
      <c r="M2498" s="1">
        <f t="shared" si="244"/>
        <v>1747</v>
      </c>
      <c r="N2498" s="38">
        <f>+M2498*'Failure Data'!F$3</f>
        <v>45.130833333333335</v>
      </c>
    </row>
    <row r="2499" spans="1:14" x14ac:dyDescent="0.15">
      <c r="A2499" s="1">
        <v>2490</v>
      </c>
      <c r="B2499" s="3">
        <f t="shared" si="239"/>
        <v>627.91960357770643</v>
      </c>
      <c r="C2499" s="8"/>
      <c r="D2499" s="3">
        <f t="shared" si="240"/>
        <v>621.57975357482201</v>
      </c>
      <c r="F2499" s="3">
        <f t="shared" si="241"/>
        <v>-527.91960357770643</v>
      </c>
      <c r="G2499" s="3">
        <f t="shared" si="242"/>
        <v>6.3398500028844182</v>
      </c>
      <c r="H2499" s="3">
        <f t="shared" si="243"/>
        <v>621.57975357482201</v>
      </c>
      <c r="M2499" s="1">
        <f t="shared" si="244"/>
        <v>1748</v>
      </c>
      <c r="N2499" s="38">
        <f>+M2499*'Failure Data'!F$3</f>
        <v>45.156666666666666</v>
      </c>
    </row>
    <row r="2500" spans="1:14" x14ac:dyDescent="0.15">
      <c r="A2500" s="1">
        <v>2491</v>
      </c>
      <c r="B2500" s="3">
        <f t="shared" si="239"/>
        <v>628.17050706307839</v>
      </c>
      <c r="C2500" s="8"/>
      <c r="D2500" s="3">
        <f t="shared" si="240"/>
        <v>621.83065706019408</v>
      </c>
      <c r="F2500" s="3">
        <f t="shared" si="241"/>
        <v>-528.17050706307839</v>
      </c>
      <c r="G2500" s="3">
        <f t="shared" si="242"/>
        <v>6.3398500028843046</v>
      </c>
      <c r="H2500" s="3">
        <f t="shared" si="243"/>
        <v>621.83065706019408</v>
      </c>
      <c r="M2500" s="1">
        <f t="shared" si="244"/>
        <v>1749</v>
      </c>
      <c r="N2500" s="38">
        <f>+M2500*'Failure Data'!F$3</f>
        <v>45.182499999999997</v>
      </c>
    </row>
    <row r="2501" spans="1:14" x14ac:dyDescent="0.15">
      <c r="A2501" s="1">
        <v>2492</v>
      </c>
      <c r="B2501" s="3">
        <f t="shared" si="239"/>
        <v>628.42141054845047</v>
      </c>
      <c r="C2501" s="8"/>
      <c r="D2501" s="3">
        <f t="shared" si="240"/>
        <v>622.08156054556605</v>
      </c>
      <c r="F2501" s="3">
        <f t="shared" si="241"/>
        <v>-528.42141054845047</v>
      </c>
      <c r="G2501" s="3">
        <f t="shared" si="242"/>
        <v>6.3398500028844182</v>
      </c>
      <c r="H2501" s="3">
        <f t="shared" si="243"/>
        <v>622.08156054556605</v>
      </c>
      <c r="M2501" s="1">
        <f t="shared" si="244"/>
        <v>1750</v>
      </c>
      <c r="N2501" s="38">
        <f>+M2501*'Failure Data'!F$3</f>
        <v>45.208333333333336</v>
      </c>
    </row>
    <row r="2502" spans="1:14" x14ac:dyDescent="0.15">
      <c r="A2502" s="1">
        <v>2493</v>
      </c>
      <c r="B2502" s="3">
        <f t="shared" si="239"/>
        <v>628.67231403382243</v>
      </c>
      <c r="C2502" s="8"/>
      <c r="D2502" s="3">
        <f t="shared" si="240"/>
        <v>622.33246403093801</v>
      </c>
      <c r="F2502" s="3">
        <f t="shared" si="241"/>
        <v>-528.67231403382243</v>
      </c>
      <c r="G2502" s="3">
        <f t="shared" si="242"/>
        <v>6.3398500028844182</v>
      </c>
      <c r="H2502" s="3">
        <f t="shared" si="243"/>
        <v>622.33246403093801</v>
      </c>
      <c r="M2502" s="1">
        <f t="shared" si="244"/>
        <v>1751</v>
      </c>
      <c r="N2502" s="38">
        <f>+M2502*'Failure Data'!F$3</f>
        <v>45.234166666666667</v>
      </c>
    </row>
    <row r="2503" spans="1:14" x14ac:dyDescent="0.15">
      <c r="A2503" s="1">
        <v>2494</v>
      </c>
      <c r="B2503" s="3">
        <f t="shared" si="239"/>
        <v>628.9232175191944</v>
      </c>
      <c r="C2503" s="8"/>
      <c r="D2503" s="3">
        <f t="shared" si="240"/>
        <v>622.58336751630998</v>
      </c>
      <c r="F2503" s="3">
        <f t="shared" si="241"/>
        <v>-528.9232175191944</v>
      </c>
      <c r="G2503" s="3">
        <f t="shared" si="242"/>
        <v>6.3398500028844182</v>
      </c>
      <c r="H2503" s="3">
        <f t="shared" si="243"/>
        <v>622.58336751630998</v>
      </c>
      <c r="M2503" s="1">
        <f t="shared" si="244"/>
        <v>1752</v>
      </c>
      <c r="N2503" s="38">
        <f>+M2503*'Failure Data'!F$3</f>
        <v>45.26</v>
      </c>
    </row>
    <row r="2504" spans="1:14" x14ac:dyDescent="0.15">
      <c r="A2504" s="1">
        <v>2495</v>
      </c>
      <c r="B2504" s="3">
        <f t="shared" si="239"/>
        <v>629.17412100456636</v>
      </c>
      <c r="C2504" s="8"/>
      <c r="D2504" s="3">
        <f t="shared" si="240"/>
        <v>622.83427100168205</v>
      </c>
      <c r="F2504" s="3">
        <f t="shared" si="241"/>
        <v>-529.17412100456636</v>
      </c>
      <c r="G2504" s="3">
        <f t="shared" si="242"/>
        <v>6.3398500028843046</v>
      </c>
      <c r="H2504" s="3">
        <f t="shared" si="243"/>
        <v>622.83427100168205</v>
      </c>
      <c r="M2504" s="1">
        <f t="shared" si="244"/>
        <v>1753</v>
      </c>
      <c r="N2504" s="38">
        <f>+M2504*'Failure Data'!F$3</f>
        <v>45.285833333333336</v>
      </c>
    </row>
    <row r="2505" spans="1:14" x14ac:dyDescent="0.15">
      <c r="A2505" s="1">
        <v>2496</v>
      </c>
      <c r="B2505" s="3">
        <f t="shared" si="239"/>
        <v>629.42502448993844</v>
      </c>
      <c r="C2505" s="8"/>
      <c r="D2505" s="3">
        <f t="shared" si="240"/>
        <v>623.08517448705402</v>
      </c>
      <c r="F2505" s="3">
        <f t="shared" si="241"/>
        <v>-529.42502448993844</v>
      </c>
      <c r="G2505" s="3">
        <f t="shared" si="242"/>
        <v>6.3398500028844182</v>
      </c>
      <c r="H2505" s="3">
        <f t="shared" si="243"/>
        <v>623.08517448705402</v>
      </c>
      <c r="M2505" s="1">
        <f t="shared" si="244"/>
        <v>1754</v>
      </c>
      <c r="N2505" s="38">
        <f>+M2505*'Failure Data'!F$3</f>
        <v>45.311666666666667</v>
      </c>
    </row>
    <row r="2506" spans="1:14" x14ac:dyDescent="0.15">
      <c r="A2506" s="1">
        <v>2497</v>
      </c>
      <c r="B2506" s="3">
        <f t="shared" si="239"/>
        <v>629.6759279753104</v>
      </c>
      <c r="C2506" s="8"/>
      <c r="D2506" s="3">
        <f t="shared" si="240"/>
        <v>623.33607797242598</v>
      </c>
      <c r="F2506" s="3">
        <f t="shared" si="241"/>
        <v>-529.6759279753104</v>
      </c>
      <c r="G2506" s="3">
        <f t="shared" si="242"/>
        <v>6.3398500028844182</v>
      </c>
      <c r="H2506" s="3">
        <f t="shared" si="243"/>
        <v>623.33607797242598</v>
      </c>
      <c r="M2506" s="1">
        <f t="shared" si="244"/>
        <v>1755</v>
      </c>
      <c r="N2506" s="38">
        <f>+M2506*'Failure Data'!F$3</f>
        <v>45.337499999999999</v>
      </c>
    </row>
    <row r="2507" spans="1:14" x14ac:dyDescent="0.15">
      <c r="A2507" s="1">
        <v>2498</v>
      </c>
      <c r="B2507" s="3">
        <f t="shared" si="239"/>
        <v>629.92683146068237</v>
      </c>
      <c r="C2507" s="8"/>
      <c r="D2507" s="3">
        <f t="shared" si="240"/>
        <v>623.58698145779795</v>
      </c>
      <c r="F2507" s="3">
        <f t="shared" si="241"/>
        <v>-529.92683146068237</v>
      </c>
      <c r="G2507" s="3">
        <f t="shared" si="242"/>
        <v>6.3398500028844182</v>
      </c>
      <c r="H2507" s="3">
        <f t="shared" si="243"/>
        <v>623.58698145779795</v>
      </c>
      <c r="M2507" s="1">
        <f t="shared" si="244"/>
        <v>1756</v>
      </c>
      <c r="N2507" s="38">
        <f>+M2507*'Failure Data'!F$3</f>
        <v>45.36333333333333</v>
      </c>
    </row>
    <row r="2508" spans="1:14" x14ac:dyDescent="0.15">
      <c r="A2508" s="1">
        <v>2499</v>
      </c>
      <c r="B2508" s="3">
        <f t="shared" si="239"/>
        <v>630.17773494605433</v>
      </c>
      <c r="C2508" s="8"/>
      <c r="D2508" s="3">
        <f t="shared" si="240"/>
        <v>623.83788494317002</v>
      </c>
      <c r="F2508" s="3">
        <f t="shared" si="241"/>
        <v>-530.17773494605433</v>
      </c>
      <c r="G2508" s="3">
        <f t="shared" si="242"/>
        <v>6.3398500028843046</v>
      </c>
      <c r="H2508" s="3">
        <f t="shared" si="243"/>
        <v>623.83788494317002</v>
      </c>
      <c r="M2508" s="1">
        <f t="shared" si="244"/>
        <v>1757</v>
      </c>
      <c r="N2508" s="38">
        <f>+M2508*'Failure Data'!F$3</f>
        <v>45.389166666666668</v>
      </c>
    </row>
    <row r="2509" spans="1:14" x14ac:dyDescent="0.15">
      <c r="A2509" s="1">
        <v>2500</v>
      </c>
      <c r="B2509" s="3">
        <f t="shared" si="239"/>
        <v>630.42863843142641</v>
      </c>
      <c r="C2509" s="8"/>
      <c r="D2509" s="3">
        <f t="shared" si="240"/>
        <v>624.08878842854199</v>
      </c>
      <c r="F2509" s="3">
        <f t="shared" si="241"/>
        <v>-530.42863843142641</v>
      </c>
      <c r="G2509" s="3">
        <f t="shared" si="242"/>
        <v>6.3398500028844182</v>
      </c>
      <c r="H2509" s="3">
        <f t="shared" si="243"/>
        <v>624.08878842854199</v>
      </c>
      <c r="M2509" s="1">
        <f t="shared" si="244"/>
        <v>1758</v>
      </c>
      <c r="N2509" s="38">
        <f>+M2509*'Failure Data'!F$3</f>
        <v>45.414999999999999</v>
      </c>
    </row>
    <row r="2510" spans="1:14" x14ac:dyDescent="0.15">
      <c r="A2510" s="1">
        <v>2501</v>
      </c>
      <c r="B2510" s="3">
        <f t="shared" si="239"/>
        <v>630.67954191679837</v>
      </c>
      <c r="C2510" s="8"/>
      <c r="D2510" s="3">
        <f t="shared" si="240"/>
        <v>624.33969191391395</v>
      </c>
      <c r="F2510" s="3">
        <f t="shared" si="241"/>
        <v>-530.67954191679837</v>
      </c>
      <c r="G2510" s="3">
        <f t="shared" si="242"/>
        <v>6.3398500028844182</v>
      </c>
      <c r="H2510" s="3">
        <f t="shared" si="243"/>
        <v>624.33969191391395</v>
      </c>
      <c r="M2510" s="1">
        <f t="shared" si="244"/>
        <v>1759</v>
      </c>
      <c r="N2510" s="38">
        <f>+M2510*'Failure Data'!F$3</f>
        <v>45.44083333333333</v>
      </c>
    </row>
    <row r="2511" spans="1:14" x14ac:dyDescent="0.15">
      <c r="A2511" s="1">
        <v>2502</v>
      </c>
      <c r="B2511" s="3">
        <f t="shared" si="239"/>
        <v>630.93044540217034</v>
      </c>
      <c r="C2511" s="8"/>
      <c r="D2511" s="3">
        <f t="shared" si="240"/>
        <v>624.59059539928592</v>
      </c>
      <c r="F2511" s="3">
        <f t="shared" si="241"/>
        <v>-530.93044540217034</v>
      </c>
      <c r="G2511" s="3">
        <f t="shared" si="242"/>
        <v>6.3398500028844182</v>
      </c>
      <c r="H2511" s="3">
        <f t="shared" si="243"/>
        <v>624.59059539928592</v>
      </c>
      <c r="M2511" s="1">
        <f t="shared" si="244"/>
        <v>1760</v>
      </c>
      <c r="N2511" s="38">
        <f>+M2511*'Failure Data'!F$3</f>
        <v>45.466666666666669</v>
      </c>
    </row>
    <row r="2512" spans="1:14" x14ac:dyDescent="0.15">
      <c r="A2512" s="1">
        <v>2503</v>
      </c>
      <c r="B2512" s="3">
        <f t="shared" si="239"/>
        <v>631.1813488875423</v>
      </c>
      <c r="C2512" s="8"/>
      <c r="D2512" s="3">
        <f t="shared" si="240"/>
        <v>624.84149888465799</v>
      </c>
      <c r="F2512" s="3">
        <f t="shared" si="241"/>
        <v>-531.1813488875423</v>
      </c>
      <c r="G2512" s="3">
        <f t="shared" si="242"/>
        <v>6.3398500028843046</v>
      </c>
      <c r="H2512" s="3">
        <f t="shared" si="243"/>
        <v>624.84149888465799</v>
      </c>
      <c r="M2512" s="1">
        <f t="shared" si="244"/>
        <v>1761</v>
      </c>
      <c r="N2512" s="38">
        <f>+M2512*'Failure Data'!F$3</f>
        <v>45.4925</v>
      </c>
    </row>
    <row r="2513" spans="1:14" x14ac:dyDescent="0.15">
      <c r="A2513" s="1">
        <v>2504</v>
      </c>
      <c r="B2513" s="3">
        <f t="shared" si="239"/>
        <v>631.43225237291438</v>
      </c>
      <c r="C2513" s="8"/>
      <c r="D2513" s="3">
        <f t="shared" si="240"/>
        <v>625.09240237002996</v>
      </c>
      <c r="F2513" s="3">
        <f t="shared" si="241"/>
        <v>-531.43225237291438</v>
      </c>
      <c r="G2513" s="3">
        <f t="shared" si="242"/>
        <v>6.3398500028844182</v>
      </c>
      <c r="H2513" s="3">
        <f t="shared" si="243"/>
        <v>625.09240237002996</v>
      </c>
      <c r="M2513" s="1">
        <f t="shared" si="244"/>
        <v>1762</v>
      </c>
      <c r="N2513" s="38">
        <f>+M2513*'Failure Data'!F$3</f>
        <v>45.518333333333331</v>
      </c>
    </row>
    <row r="2514" spans="1:14" x14ac:dyDescent="0.15">
      <c r="A2514" s="1">
        <v>2505</v>
      </c>
      <c r="B2514" s="3">
        <f t="shared" si="239"/>
        <v>631.68315585828634</v>
      </c>
      <c r="C2514" s="8"/>
      <c r="D2514" s="3">
        <f t="shared" si="240"/>
        <v>625.34330585540192</v>
      </c>
      <c r="F2514" s="3">
        <f t="shared" si="241"/>
        <v>-531.68315585828634</v>
      </c>
      <c r="G2514" s="3">
        <f t="shared" si="242"/>
        <v>6.3398500028844182</v>
      </c>
      <c r="H2514" s="3">
        <f t="shared" si="243"/>
        <v>625.34330585540192</v>
      </c>
      <c r="M2514" s="1">
        <f t="shared" si="244"/>
        <v>1763</v>
      </c>
      <c r="N2514" s="38">
        <f>+M2514*'Failure Data'!F$3</f>
        <v>45.544166666666669</v>
      </c>
    </row>
    <row r="2515" spans="1:14" x14ac:dyDescent="0.15">
      <c r="A2515" s="1">
        <v>2506</v>
      </c>
      <c r="B2515" s="3">
        <f t="shared" si="239"/>
        <v>631.9340593436583</v>
      </c>
      <c r="C2515" s="8"/>
      <c r="D2515" s="3">
        <f t="shared" si="240"/>
        <v>625.59420934077389</v>
      </c>
      <c r="F2515" s="3">
        <f t="shared" si="241"/>
        <v>-531.9340593436583</v>
      </c>
      <c r="G2515" s="3">
        <f t="shared" si="242"/>
        <v>6.3398500028844182</v>
      </c>
      <c r="H2515" s="3">
        <f t="shared" si="243"/>
        <v>625.59420934077389</v>
      </c>
      <c r="M2515" s="1">
        <f t="shared" si="244"/>
        <v>1764</v>
      </c>
      <c r="N2515" s="38">
        <f>+M2515*'Failure Data'!F$3</f>
        <v>45.57</v>
      </c>
    </row>
    <row r="2516" spans="1:14" x14ac:dyDescent="0.15">
      <c r="A2516" s="1">
        <v>2507</v>
      </c>
      <c r="B2516" s="3">
        <f t="shared" si="239"/>
        <v>632.18496282903027</v>
      </c>
      <c r="C2516" s="8"/>
      <c r="D2516" s="3">
        <f t="shared" si="240"/>
        <v>625.84511282614596</v>
      </c>
      <c r="F2516" s="3">
        <f t="shared" si="241"/>
        <v>-532.18496282903027</v>
      </c>
      <c r="G2516" s="3">
        <f t="shared" si="242"/>
        <v>6.3398500028843046</v>
      </c>
      <c r="H2516" s="3">
        <f t="shared" si="243"/>
        <v>625.84511282614596</v>
      </c>
      <c r="M2516" s="1">
        <f t="shared" si="244"/>
        <v>1765</v>
      </c>
      <c r="N2516" s="38">
        <f>+M2516*'Failure Data'!F$3</f>
        <v>45.595833333333331</v>
      </c>
    </row>
    <row r="2517" spans="1:14" x14ac:dyDescent="0.15">
      <c r="A2517" s="1">
        <v>2508</v>
      </c>
      <c r="B2517" s="3">
        <f t="shared" si="239"/>
        <v>632.43586631440235</v>
      </c>
      <c r="C2517" s="8"/>
      <c r="D2517" s="3">
        <f t="shared" si="240"/>
        <v>626.09601631151793</v>
      </c>
      <c r="F2517" s="3">
        <f t="shared" si="241"/>
        <v>-532.43586631440235</v>
      </c>
      <c r="G2517" s="3">
        <f t="shared" si="242"/>
        <v>6.3398500028844182</v>
      </c>
      <c r="H2517" s="3">
        <f t="shared" si="243"/>
        <v>626.09601631151793</v>
      </c>
      <c r="M2517" s="1">
        <f t="shared" si="244"/>
        <v>1766</v>
      </c>
      <c r="N2517" s="38">
        <f>+M2517*'Failure Data'!F$3</f>
        <v>45.62166666666667</v>
      </c>
    </row>
    <row r="2518" spans="1:14" x14ac:dyDescent="0.15">
      <c r="A2518" s="1">
        <v>2509</v>
      </c>
      <c r="B2518" s="3">
        <f t="shared" si="239"/>
        <v>632.68676979977431</v>
      </c>
      <c r="C2518" s="8"/>
      <c r="D2518" s="3">
        <f t="shared" si="240"/>
        <v>626.34691979688989</v>
      </c>
      <c r="F2518" s="3">
        <f t="shared" si="241"/>
        <v>-532.68676979977431</v>
      </c>
      <c r="G2518" s="3">
        <f t="shared" si="242"/>
        <v>6.3398500028844182</v>
      </c>
      <c r="H2518" s="3">
        <f t="shared" si="243"/>
        <v>626.34691979688989</v>
      </c>
      <c r="M2518" s="1">
        <f t="shared" si="244"/>
        <v>1767</v>
      </c>
      <c r="N2518" s="38">
        <f>+M2518*'Failure Data'!F$3</f>
        <v>45.647500000000001</v>
      </c>
    </row>
    <row r="2519" spans="1:14" x14ac:dyDescent="0.15">
      <c r="A2519" s="1">
        <v>2510</v>
      </c>
      <c r="B2519" s="3">
        <f t="shared" si="239"/>
        <v>632.93767328514627</v>
      </c>
      <c r="C2519" s="8"/>
      <c r="D2519" s="3">
        <f t="shared" si="240"/>
        <v>626.59782328226186</v>
      </c>
      <c r="F2519" s="3">
        <f t="shared" si="241"/>
        <v>-532.93767328514627</v>
      </c>
      <c r="G2519" s="3">
        <f t="shared" si="242"/>
        <v>6.3398500028844182</v>
      </c>
      <c r="H2519" s="3">
        <f t="shared" si="243"/>
        <v>626.59782328226186</v>
      </c>
      <c r="M2519" s="1">
        <f t="shared" si="244"/>
        <v>1768</v>
      </c>
      <c r="N2519" s="38">
        <f>+M2519*'Failure Data'!F$3</f>
        <v>45.673333333333332</v>
      </c>
    </row>
    <row r="2520" spans="1:14" x14ac:dyDescent="0.15">
      <c r="A2520" s="1">
        <v>2511</v>
      </c>
      <c r="B2520" s="3">
        <f t="shared" si="239"/>
        <v>633.18857677051824</v>
      </c>
      <c r="C2520" s="8"/>
      <c r="D2520" s="3">
        <f t="shared" si="240"/>
        <v>626.84872676763393</v>
      </c>
      <c r="F2520" s="3">
        <f t="shared" si="241"/>
        <v>-533.18857677051824</v>
      </c>
      <c r="G2520" s="3">
        <f t="shared" si="242"/>
        <v>6.3398500028843046</v>
      </c>
      <c r="H2520" s="3">
        <f t="shared" si="243"/>
        <v>626.84872676763393</v>
      </c>
      <c r="M2520" s="1">
        <f t="shared" si="244"/>
        <v>1769</v>
      </c>
      <c r="N2520" s="38">
        <f>+M2520*'Failure Data'!F$3</f>
        <v>45.699166666666663</v>
      </c>
    </row>
    <row r="2521" spans="1:14" x14ac:dyDescent="0.15">
      <c r="A2521" s="1">
        <v>2512</v>
      </c>
      <c r="B2521" s="3">
        <f t="shared" si="239"/>
        <v>633.43948025589032</v>
      </c>
      <c r="C2521" s="8"/>
      <c r="D2521" s="3">
        <f t="shared" si="240"/>
        <v>627.0996302530059</v>
      </c>
      <c r="F2521" s="3">
        <f t="shared" si="241"/>
        <v>-533.43948025589032</v>
      </c>
      <c r="G2521" s="3">
        <f t="shared" si="242"/>
        <v>6.3398500028844182</v>
      </c>
      <c r="H2521" s="3">
        <f t="shared" si="243"/>
        <v>627.0996302530059</v>
      </c>
      <c r="M2521" s="1">
        <f t="shared" si="244"/>
        <v>1770</v>
      </c>
      <c r="N2521" s="38">
        <f>+M2521*'Failure Data'!F$3</f>
        <v>45.725000000000001</v>
      </c>
    </row>
    <row r="2522" spans="1:14" x14ac:dyDescent="0.15">
      <c r="A2522" s="1">
        <v>2513</v>
      </c>
      <c r="B2522" s="3">
        <f t="shared" si="239"/>
        <v>633.69038374126228</v>
      </c>
      <c r="C2522" s="8"/>
      <c r="D2522" s="3">
        <f t="shared" si="240"/>
        <v>627.35053373837786</v>
      </c>
      <c r="F2522" s="3">
        <f t="shared" si="241"/>
        <v>-533.69038374126228</v>
      </c>
      <c r="G2522" s="3">
        <f t="shared" si="242"/>
        <v>6.3398500028844182</v>
      </c>
      <c r="H2522" s="3">
        <f t="shared" si="243"/>
        <v>627.35053373837786</v>
      </c>
      <c r="M2522" s="1">
        <f t="shared" si="244"/>
        <v>1771</v>
      </c>
      <c r="N2522" s="38">
        <f>+M2522*'Failure Data'!F$3</f>
        <v>45.750833333333333</v>
      </c>
    </row>
    <row r="2523" spans="1:14" x14ac:dyDescent="0.15">
      <c r="A2523" s="1">
        <v>2514</v>
      </c>
      <c r="B2523" s="3">
        <f t="shared" si="239"/>
        <v>633.94128722663424</v>
      </c>
      <c r="C2523" s="8"/>
      <c r="D2523" s="3">
        <f t="shared" si="240"/>
        <v>627.60143722374994</v>
      </c>
      <c r="F2523" s="3">
        <f t="shared" si="241"/>
        <v>-533.94128722663424</v>
      </c>
      <c r="G2523" s="3">
        <f t="shared" si="242"/>
        <v>6.3398500028843046</v>
      </c>
      <c r="H2523" s="3">
        <f t="shared" si="243"/>
        <v>627.60143722374994</v>
      </c>
      <c r="M2523" s="1">
        <f t="shared" si="244"/>
        <v>1772</v>
      </c>
      <c r="N2523" s="38">
        <f>+M2523*'Failure Data'!F$3</f>
        <v>45.776666666666664</v>
      </c>
    </row>
    <row r="2524" spans="1:14" x14ac:dyDescent="0.15">
      <c r="A2524" s="1">
        <v>2515</v>
      </c>
      <c r="B2524" s="3">
        <f t="shared" si="239"/>
        <v>634.19219071200632</v>
      </c>
      <c r="C2524" s="8"/>
      <c r="D2524" s="3">
        <f t="shared" si="240"/>
        <v>627.8523407091219</v>
      </c>
      <c r="F2524" s="3">
        <f t="shared" si="241"/>
        <v>-534.19219071200632</v>
      </c>
      <c r="G2524" s="3">
        <f t="shared" si="242"/>
        <v>6.3398500028844182</v>
      </c>
      <c r="H2524" s="3">
        <f t="shared" si="243"/>
        <v>627.8523407091219</v>
      </c>
      <c r="M2524" s="1">
        <f t="shared" si="244"/>
        <v>1773</v>
      </c>
      <c r="N2524" s="38">
        <f>+M2524*'Failure Data'!F$3</f>
        <v>45.802500000000002</v>
      </c>
    </row>
    <row r="2525" spans="1:14" x14ac:dyDescent="0.15">
      <c r="A2525" s="1">
        <v>2516</v>
      </c>
      <c r="B2525" s="3">
        <f t="shared" si="239"/>
        <v>634.44309419737829</v>
      </c>
      <c r="C2525" s="8"/>
      <c r="D2525" s="3">
        <f t="shared" si="240"/>
        <v>628.10324419449387</v>
      </c>
      <c r="F2525" s="3">
        <f t="shared" si="241"/>
        <v>-534.44309419737829</v>
      </c>
      <c r="G2525" s="3">
        <f t="shared" si="242"/>
        <v>6.3398500028844182</v>
      </c>
      <c r="H2525" s="3">
        <f t="shared" si="243"/>
        <v>628.10324419449387</v>
      </c>
      <c r="M2525" s="1">
        <f t="shared" si="244"/>
        <v>1774</v>
      </c>
      <c r="N2525" s="38">
        <f>+M2525*'Failure Data'!F$3</f>
        <v>45.828333333333333</v>
      </c>
    </row>
    <row r="2526" spans="1:14" x14ac:dyDescent="0.15">
      <c r="A2526" s="1">
        <v>2517</v>
      </c>
      <c r="B2526" s="3">
        <f t="shared" si="239"/>
        <v>634.69399768275025</v>
      </c>
      <c r="C2526" s="8"/>
      <c r="D2526" s="3">
        <f t="shared" si="240"/>
        <v>628.35414767986583</v>
      </c>
      <c r="F2526" s="3">
        <f t="shared" si="241"/>
        <v>-534.69399768275025</v>
      </c>
      <c r="G2526" s="3">
        <f t="shared" si="242"/>
        <v>6.3398500028844182</v>
      </c>
      <c r="H2526" s="3">
        <f t="shared" si="243"/>
        <v>628.35414767986583</v>
      </c>
      <c r="M2526" s="1">
        <f t="shared" si="244"/>
        <v>1775</v>
      </c>
      <c r="N2526" s="38">
        <f>+M2526*'Failure Data'!F$3</f>
        <v>45.854166666666664</v>
      </c>
    </row>
    <row r="2527" spans="1:14" x14ac:dyDescent="0.15">
      <c r="A2527" s="1">
        <v>2518</v>
      </c>
      <c r="B2527" s="3">
        <f t="shared" ref="B2527:B2590" si="245">+(B$4*A2527)+B$5</f>
        <v>634.94490116812221</v>
      </c>
      <c r="C2527" s="8"/>
      <c r="D2527" s="3">
        <f t="shared" ref="D2527:D2590" si="246">+(D$4*A2527)+D$5</f>
        <v>628.60505116523791</v>
      </c>
      <c r="F2527" s="3">
        <f t="shared" ref="F2527:F2590" si="247">+xmax-B2527</f>
        <v>-534.94490116812221</v>
      </c>
      <c r="G2527" s="3">
        <f t="shared" ref="G2527:G2590" si="248">+B2527-D2527</f>
        <v>6.3398500028843046</v>
      </c>
      <c r="H2527" s="3">
        <f t="shared" ref="H2527:H2590" si="249">D2527</f>
        <v>628.60505116523791</v>
      </c>
      <c r="M2527" s="1">
        <f t="shared" si="244"/>
        <v>1776</v>
      </c>
      <c r="N2527" s="38">
        <f>+M2527*'Failure Data'!F$3</f>
        <v>45.88</v>
      </c>
    </row>
    <row r="2528" spans="1:14" x14ac:dyDescent="0.15">
      <c r="A2528" s="1">
        <v>2519</v>
      </c>
      <c r="B2528" s="3">
        <f t="shared" si="245"/>
        <v>635.19580465349429</v>
      </c>
      <c r="C2528" s="8"/>
      <c r="D2528" s="3">
        <f t="shared" si="246"/>
        <v>628.85595465060987</v>
      </c>
      <c r="F2528" s="3">
        <f t="shared" si="247"/>
        <v>-535.19580465349429</v>
      </c>
      <c r="G2528" s="3">
        <f t="shared" si="248"/>
        <v>6.3398500028844182</v>
      </c>
      <c r="H2528" s="3">
        <f t="shared" si="249"/>
        <v>628.85595465060987</v>
      </c>
      <c r="M2528" s="1">
        <f t="shared" si="244"/>
        <v>1777</v>
      </c>
      <c r="N2528" s="38">
        <f>+M2528*'Failure Data'!F$3</f>
        <v>45.905833333333334</v>
      </c>
    </row>
    <row r="2529" spans="1:14" x14ac:dyDescent="0.15">
      <c r="A2529" s="1">
        <v>2520</v>
      </c>
      <c r="B2529" s="3">
        <f t="shared" si="245"/>
        <v>635.44670813886626</v>
      </c>
      <c r="C2529" s="8"/>
      <c r="D2529" s="3">
        <f t="shared" si="246"/>
        <v>629.10685813598184</v>
      </c>
      <c r="F2529" s="3">
        <f t="shared" si="247"/>
        <v>-535.44670813886626</v>
      </c>
      <c r="G2529" s="3">
        <f t="shared" si="248"/>
        <v>6.3398500028844182</v>
      </c>
      <c r="H2529" s="3">
        <f t="shared" si="249"/>
        <v>629.10685813598184</v>
      </c>
      <c r="M2529" s="1">
        <f t="shared" si="244"/>
        <v>1778</v>
      </c>
      <c r="N2529" s="38">
        <f>+M2529*'Failure Data'!F$3</f>
        <v>45.931666666666665</v>
      </c>
    </row>
    <row r="2530" spans="1:14" x14ac:dyDescent="0.15">
      <c r="A2530" s="1">
        <v>2521</v>
      </c>
      <c r="B2530" s="3">
        <f t="shared" si="245"/>
        <v>635.69761162423822</v>
      </c>
      <c r="C2530" s="8"/>
      <c r="D2530" s="3">
        <f t="shared" si="246"/>
        <v>629.3577616213538</v>
      </c>
      <c r="F2530" s="3">
        <f t="shared" si="247"/>
        <v>-535.69761162423822</v>
      </c>
      <c r="G2530" s="3">
        <f t="shared" si="248"/>
        <v>6.3398500028844182</v>
      </c>
      <c r="H2530" s="3">
        <f t="shared" si="249"/>
        <v>629.3577616213538</v>
      </c>
      <c r="M2530" s="1">
        <f t="shared" si="244"/>
        <v>1779</v>
      </c>
      <c r="N2530" s="38">
        <f>+M2530*'Failure Data'!F$3</f>
        <v>45.957500000000003</v>
      </c>
    </row>
    <row r="2531" spans="1:14" x14ac:dyDescent="0.15">
      <c r="A2531" s="1">
        <v>2522</v>
      </c>
      <c r="B2531" s="3">
        <f t="shared" si="245"/>
        <v>635.94851510961018</v>
      </c>
      <c r="C2531" s="8"/>
      <c r="D2531" s="3">
        <f t="shared" si="246"/>
        <v>629.60866510672588</v>
      </c>
      <c r="F2531" s="3">
        <f t="shared" si="247"/>
        <v>-535.94851510961018</v>
      </c>
      <c r="G2531" s="3">
        <f t="shared" si="248"/>
        <v>6.3398500028843046</v>
      </c>
      <c r="H2531" s="3">
        <f t="shared" si="249"/>
        <v>629.60866510672588</v>
      </c>
      <c r="M2531" s="1">
        <f t="shared" si="244"/>
        <v>1780</v>
      </c>
      <c r="N2531" s="38">
        <f>+M2531*'Failure Data'!F$3</f>
        <v>45.983333333333334</v>
      </c>
    </row>
    <row r="2532" spans="1:14" x14ac:dyDescent="0.15">
      <c r="A2532" s="1">
        <v>2523</v>
      </c>
      <c r="B2532" s="3">
        <f t="shared" si="245"/>
        <v>636.19941859498226</v>
      </c>
      <c r="C2532" s="8"/>
      <c r="D2532" s="3">
        <f t="shared" si="246"/>
        <v>629.85956859209784</v>
      </c>
      <c r="F2532" s="3">
        <f t="shared" si="247"/>
        <v>-536.19941859498226</v>
      </c>
      <c r="G2532" s="3">
        <f t="shared" si="248"/>
        <v>6.3398500028844182</v>
      </c>
      <c r="H2532" s="3">
        <f t="shared" si="249"/>
        <v>629.85956859209784</v>
      </c>
      <c r="M2532" s="1">
        <f t="shared" si="244"/>
        <v>1781</v>
      </c>
      <c r="N2532" s="38">
        <f>+M2532*'Failure Data'!F$3</f>
        <v>46.009166666666665</v>
      </c>
    </row>
    <row r="2533" spans="1:14" x14ac:dyDescent="0.15">
      <c r="A2533" s="1">
        <v>2524</v>
      </c>
      <c r="B2533" s="3">
        <f t="shared" si="245"/>
        <v>636.45032208035423</v>
      </c>
      <c r="C2533" s="8"/>
      <c r="D2533" s="3">
        <f t="shared" si="246"/>
        <v>630.11047207746981</v>
      </c>
      <c r="F2533" s="3">
        <f t="shared" si="247"/>
        <v>-536.45032208035423</v>
      </c>
      <c r="G2533" s="3">
        <f t="shared" si="248"/>
        <v>6.3398500028844182</v>
      </c>
      <c r="H2533" s="3">
        <f t="shared" si="249"/>
        <v>630.11047207746981</v>
      </c>
      <c r="M2533" s="1">
        <f t="shared" si="244"/>
        <v>1782</v>
      </c>
      <c r="N2533" s="38">
        <f>+M2533*'Failure Data'!F$3</f>
        <v>46.034999999999997</v>
      </c>
    </row>
    <row r="2534" spans="1:14" x14ac:dyDescent="0.15">
      <c r="A2534" s="1">
        <v>2525</v>
      </c>
      <c r="B2534" s="3">
        <f t="shared" si="245"/>
        <v>636.70122556572619</v>
      </c>
      <c r="C2534" s="8"/>
      <c r="D2534" s="3">
        <f t="shared" si="246"/>
        <v>630.36137556284177</v>
      </c>
      <c r="F2534" s="3">
        <f t="shared" si="247"/>
        <v>-536.70122556572619</v>
      </c>
      <c r="G2534" s="3">
        <f t="shared" si="248"/>
        <v>6.3398500028844182</v>
      </c>
      <c r="H2534" s="3">
        <f t="shared" si="249"/>
        <v>630.36137556284177</v>
      </c>
      <c r="M2534" s="1">
        <f t="shared" si="244"/>
        <v>1783</v>
      </c>
      <c r="N2534" s="38">
        <f>+M2534*'Failure Data'!F$3</f>
        <v>46.060833333333335</v>
      </c>
    </row>
    <row r="2535" spans="1:14" x14ac:dyDescent="0.15">
      <c r="A2535" s="1">
        <v>2526</v>
      </c>
      <c r="B2535" s="3">
        <f t="shared" si="245"/>
        <v>636.95212905109815</v>
      </c>
      <c r="C2535" s="8"/>
      <c r="D2535" s="3">
        <f t="shared" si="246"/>
        <v>630.61227904821385</v>
      </c>
      <c r="F2535" s="3">
        <f t="shared" si="247"/>
        <v>-536.95212905109815</v>
      </c>
      <c r="G2535" s="3">
        <f t="shared" si="248"/>
        <v>6.3398500028843046</v>
      </c>
      <c r="H2535" s="3">
        <f t="shared" si="249"/>
        <v>630.61227904821385</v>
      </c>
      <c r="M2535" s="1">
        <f t="shared" si="244"/>
        <v>1784</v>
      </c>
      <c r="N2535" s="38">
        <f>+M2535*'Failure Data'!F$3</f>
        <v>46.086666666666666</v>
      </c>
    </row>
    <row r="2536" spans="1:14" x14ac:dyDescent="0.15">
      <c r="A2536" s="1">
        <v>2527</v>
      </c>
      <c r="B2536" s="3">
        <f t="shared" si="245"/>
        <v>637.20303253647023</v>
      </c>
      <c r="C2536" s="8"/>
      <c r="D2536" s="3">
        <f t="shared" si="246"/>
        <v>630.86318253358581</v>
      </c>
      <c r="F2536" s="3">
        <f t="shared" si="247"/>
        <v>-537.20303253647023</v>
      </c>
      <c r="G2536" s="3">
        <f t="shared" si="248"/>
        <v>6.3398500028844182</v>
      </c>
      <c r="H2536" s="3">
        <f t="shared" si="249"/>
        <v>630.86318253358581</v>
      </c>
      <c r="M2536" s="1">
        <f t="shared" si="244"/>
        <v>1785</v>
      </c>
      <c r="N2536" s="38">
        <f>+M2536*'Failure Data'!F$3</f>
        <v>46.112499999999997</v>
      </c>
    </row>
    <row r="2537" spans="1:14" x14ac:dyDescent="0.15">
      <c r="A2537" s="1">
        <v>2528</v>
      </c>
      <c r="B2537" s="3">
        <f t="shared" si="245"/>
        <v>637.4539360218422</v>
      </c>
      <c r="C2537" s="8"/>
      <c r="D2537" s="3">
        <f t="shared" si="246"/>
        <v>631.11408601895778</v>
      </c>
      <c r="F2537" s="3">
        <f t="shared" si="247"/>
        <v>-537.4539360218422</v>
      </c>
      <c r="G2537" s="3">
        <f t="shared" si="248"/>
        <v>6.3398500028844182</v>
      </c>
      <c r="H2537" s="3">
        <f t="shared" si="249"/>
        <v>631.11408601895778</v>
      </c>
      <c r="M2537" s="1">
        <f t="shared" si="244"/>
        <v>1786</v>
      </c>
      <c r="N2537" s="38">
        <f>+M2537*'Failure Data'!F$3</f>
        <v>46.138333333333335</v>
      </c>
    </row>
    <row r="2538" spans="1:14" x14ac:dyDescent="0.15">
      <c r="A2538" s="1">
        <v>2529</v>
      </c>
      <c r="B2538" s="3">
        <f t="shared" si="245"/>
        <v>637.70483950721416</v>
      </c>
      <c r="C2538" s="8"/>
      <c r="D2538" s="3">
        <f t="shared" si="246"/>
        <v>631.36498950432974</v>
      </c>
      <c r="F2538" s="3">
        <f t="shared" si="247"/>
        <v>-537.70483950721416</v>
      </c>
      <c r="G2538" s="3">
        <f t="shared" si="248"/>
        <v>6.3398500028844182</v>
      </c>
      <c r="H2538" s="3">
        <f t="shared" si="249"/>
        <v>631.36498950432974</v>
      </c>
      <c r="M2538" s="1">
        <f t="shared" si="244"/>
        <v>1787</v>
      </c>
      <c r="N2538" s="38">
        <f>+M2538*'Failure Data'!F$3</f>
        <v>46.164166666666667</v>
      </c>
    </row>
    <row r="2539" spans="1:14" x14ac:dyDescent="0.15">
      <c r="A2539" s="1">
        <v>2530</v>
      </c>
      <c r="B2539" s="3">
        <f t="shared" si="245"/>
        <v>637.95574299258612</v>
      </c>
      <c r="C2539" s="8"/>
      <c r="D2539" s="3">
        <f t="shared" si="246"/>
        <v>631.61589298970182</v>
      </c>
      <c r="F2539" s="3">
        <f t="shared" si="247"/>
        <v>-537.95574299258612</v>
      </c>
      <c r="G2539" s="3">
        <f t="shared" si="248"/>
        <v>6.3398500028843046</v>
      </c>
      <c r="H2539" s="3">
        <f t="shared" si="249"/>
        <v>631.61589298970182</v>
      </c>
      <c r="M2539" s="1">
        <f t="shared" si="244"/>
        <v>1788</v>
      </c>
      <c r="N2539" s="38">
        <f>+M2539*'Failure Data'!F$3</f>
        <v>46.19</v>
      </c>
    </row>
    <row r="2540" spans="1:14" x14ac:dyDescent="0.15">
      <c r="A2540" s="1">
        <v>2531</v>
      </c>
      <c r="B2540" s="3">
        <f t="shared" si="245"/>
        <v>638.2066464779582</v>
      </c>
      <c r="C2540" s="8"/>
      <c r="D2540" s="3">
        <f t="shared" si="246"/>
        <v>631.86679647507378</v>
      </c>
      <c r="F2540" s="3">
        <f t="shared" si="247"/>
        <v>-538.2066464779582</v>
      </c>
      <c r="G2540" s="3">
        <f t="shared" si="248"/>
        <v>6.3398500028844182</v>
      </c>
      <c r="H2540" s="3">
        <f t="shared" si="249"/>
        <v>631.86679647507378</v>
      </c>
      <c r="M2540" s="1">
        <f t="shared" si="244"/>
        <v>1789</v>
      </c>
      <c r="N2540" s="38">
        <f>+M2540*'Failure Data'!F$3</f>
        <v>46.215833333333336</v>
      </c>
    </row>
    <row r="2541" spans="1:14" x14ac:dyDescent="0.15">
      <c r="A2541" s="1">
        <v>2532</v>
      </c>
      <c r="B2541" s="3">
        <f t="shared" si="245"/>
        <v>638.45754996333017</v>
      </c>
      <c r="C2541" s="8"/>
      <c r="D2541" s="3">
        <f t="shared" si="246"/>
        <v>632.11769996044575</v>
      </c>
      <c r="F2541" s="3">
        <f t="shared" si="247"/>
        <v>-538.45754996333017</v>
      </c>
      <c r="G2541" s="3">
        <f t="shared" si="248"/>
        <v>6.3398500028844182</v>
      </c>
      <c r="H2541" s="3">
        <f t="shared" si="249"/>
        <v>632.11769996044575</v>
      </c>
      <c r="M2541" s="1">
        <f t="shared" si="244"/>
        <v>1790</v>
      </c>
      <c r="N2541" s="38">
        <f>+M2541*'Failure Data'!F$3</f>
        <v>46.241666666666667</v>
      </c>
    </row>
    <row r="2542" spans="1:14" x14ac:dyDescent="0.15">
      <c r="A2542" s="1">
        <v>2533</v>
      </c>
      <c r="B2542" s="3">
        <f t="shared" si="245"/>
        <v>638.70845344870213</v>
      </c>
      <c r="C2542" s="8"/>
      <c r="D2542" s="3">
        <f t="shared" si="246"/>
        <v>632.36860344581771</v>
      </c>
      <c r="F2542" s="3">
        <f t="shared" si="247"/>
        <v>-538.70845344870213</v>
      </c>
      <c r="G2542" s="3">
        <f t="shared" si="248"/>
        <v>6.3398500028844182</v>
      </c>
      <c r="H2542" s="3">
        <f t="shared" si="249"/>
        <v>632.36860344581771</v>
      </c>
      <c r="M2542" s="1">
        <f t="shared" si="244"/>
        <v>1791</v>
      </c>
      <c r="N2542" s="38">
        <f>+M2542*'Failure Data'!F$3</f>
        <v>46.267499999999998</v>
      </c>
    </row>
    <row r="2543" spans="1:14" x14ac:dyDescent="0.15">
      <c r="A2543" s="1">
        <v>2534</v>
      </c>
      <c r="B2543" s="3">
        <f t="shared" si="245"/>
        <v>638.95935693407409</v>
      </c>
      <c r="C2543" s="8"/>
      <c r="D2543" s="3">
        <f t="shared" si="246"/>
        <v>632.61950693118979</v>
      </c>
      <c r="F2543" s="3">
        <f t="shared" si="247"/>
        <v>-538.95935693407409</v>
      </c>
      <c r="G2543" s="3">
        <f t="shared" si="248"/>
        <v>6.3398500028843046</v>
      </c>
      <c r="H2543" s="3">
        <f t="shared" si="249"/>
        <v>632.61950693118979</v>
      </c>
      <c r="M2543" s="1">
        <f t="shared" si="244"/>
        <v>1792</v>
      </c>
      <c r="N2543" s="38">
        <f>+M2543*'Failure Data'!F$3</f>
        <v>46.293333333333337</v>
      </c>
    </row>
    <row r="2544" spans="1:14" x14ac:dyDescent="0.15">
      <c r="A2544" s="1">
        <v>2535</v>
      </c>
      <c r="B2544" s="3">
        <f t="shared" si="245"/>
        <v>639.21026041944617</v>
      </c>
      <c r="C2544" s="8"/>
      <c r="D2544" s="3">
        <f t="shared" si="246"/>
        <v>632.87041041656175</v>
      </c>
      <c r="F2544" s="3">
        <f t="shared" si="247"/>
        <v>-539.21026041944617</v>
      </c>
      <c r="G2544" s="3">
        <f t="shared" si="248"/>
        <v>6.3398500028844182</v>
      </c>
      <c r="H2544" s="3">
        <f t="shared" si="249"/>
        <v>632.87041041656175</v>
      </c>
      <c r="M2544" s="1">
        <f t="shared" si="244"/>
        <v>1793</v>
      </c>
      <c r="N2544" s="38">
        <f>+M2544*'Failure Data'!F$3</f>
        <v>46.319166666666668</v>
      </c>
    </row>
    <row r="2545" spans="1:14" x14ac:dyDescent="0.15">
      <c r="A2545" s="1">
        <v>2536</v>
      </c>
      <c r="B2545" s="3">
        <f t="shared" si="245"/>
        <v>639.46116390481814</v>
      </c>
      <c r="C2545" s="8"/>
      <c r="D2545" s="3">
        <f t="shared" si="246"/>
        <v>633.12131390193372</v>
      </c>
      <c r="F2545" s="3">
        <f t="shared" si="247"/>
        <v>-539.46116390481814</v>
      </c>
      <c r="G2545" s="3">
        <f t="shared" si="248"/>
        <v>6.3398500028844182</v>
      </c>
      <c r="H2545" s="3">
        <f t="shared" si="249"/>
        <v>633.12131390193372</v>
      </c>
      <c r="M2545" s="1">
        <f t="shared" si="244"/>
        <v>1794</v>
      </c>
      <c r="N2545" s="38">
        <f>+M2545*'Failure Data'!F$3</f>
        <v>46.344999999999999</v>
      </c>
    </row>
    <row r="2546" spans="1:14" x14ac:dyDescent="0.15">
      <c r="A2546" s="1">
        <v>2537</v>
      </c>
      <c r="B2546" s="3">
        <f t="shared" si="245"/>
        <v>639.7120673901901</v>
      </c>
      <c r="C2546" s="8"/>
      <c r="D2546" s="3">
        <f t="shared" si="246"/>
        <v>633.3722173873058</v>
      </c>
      <c r="F2546" s="3">
        <f t="shared" si="247"/>
        <v>-539.7120673901901</v>
      </c>
      <c r="G2546" s="3">
        <f t="shared" si="248"/>
        <v>6.3398500028843046</v>
      </c>
      <c r="H2546" s="3">
        <f t="shared" si="249"/>
        <v>633.3722173873058</v>
      </c>
      <c r="M2546" s="1">
        <f t="shared" si="244"/>
        <v>1795</v>
      </c>
      <c r="N2546" s="38">
        <f>+M2546*'Failure Data'!F$3</f>
        <v>46.37083333333333</v>
      </c>
    </row>
    <row r="2547" spans="1:14" x14ac:dyDescent="0.15">
      <c r="A2547" s="1">
        <v>2538</v>
      </c>
      <c r="B2547" s="3">
        <f t="shared" si="245"/>
        <v>639.96297087556218</v>
      </c>
      <c r="C2547" s="8"/>
      <c r="D2547" s="3">
        <f t="shared" si="246"/>
        <v>633.62312087267776</v>
      </c>
      <c r="F2547" s="3">
        <f t="shared" si="247"/>
        <v>-539.96297087556218</v>
      </c>
      <c r="G2547" s="3">
        <f t="shared" si="248"/>
        <v>6.3398500028844182</v>
      </c>
      <c r="H2547" s="3">
        <f t="shared" si="249"/>
        <v>633.62312087267776</v>
      </c>
      <c r="M2547" s="1">
        <f t="shared" si="244"/>
        <v>1796</v>
      </c>
      <c r="N2547" s="38">
        <f>+M2547*'Failure Data'!F$3</f>
        <v>46.396666666666668</v>
      </c>
    </row>
    <row r="2548" spans="1:14" x14ac:dyDescent="0.15">
      <c r="A2548" s="1">
        <v>2539</v>
      </c>
      <c r="B2548" s="3">
        <f t="shared" si="245"/>
        <v>640.21387436093414</v>
      </c>
      <c r="C2548" s="8"/>
      <c r="D2548" s="3">
        <f t="shared" si="246"/>
        <v>633.87402435804972</v>
      </c>
      <c r="F2548" s="3">
        <f t="shared" si="247"/>
        <v>-540.21387436093414</v>
      </c>
      <c r="G2548" s="3">
        <f t="shared" si="248"/>
        <v>6.3398500028844182</v>
      </c>
      <c r="H2548" s="3">
        <f t="shared" si="249"/>
        <v>633.87402435804972</v>
      </c>
      <c r="M2548" s="1">
        <f t="shared" si="244"/>
        <v>1797</v>
      </c>
      <c r="N2548" s="38">
        <f>+M2548*'Failure Data'!F$3</f>
        <v>46.422499999999999</v>
      </c>
    </row>
    <row r="2549" spans="1:14" x14ac:dyDescent="0.15">
      <c r="A2549" s="1">
        <v>2540</v>
      </c>
      <c r="B2549" s="3">
        <f t="shared" si="245"/>
        <v>640.46477784630611</v>
      </c>
      <c r="C2549" s="8"/>
      <c r="D2549" s="3">
        <f t="shared" si="246"/>
        <v>634.12492784342169</v>
      </c>
      <c r="F2549" s="3">
        <f t="shared" si="247"/>
        <v>-540.46477784630611</v>
      </c>
      <c r="G2549" s="3">
        <f t="shared" si="248"/>
        <v>6.3398500028844182</v>
      </c>
      <c r="H2549" s="3">
        <f t="shared" si="249"/>
        <v>634.12492784342169</v>
      </c>
      <c r="M2549" s="1">
        <f t="shared" si="244"/>
        <v>1798</v>
      </c>
      <c r="N2549" s="38">
        <f>+M2549*'Failure Data'!F$3</f>
        <v>46.448333333333331</v>
      </c>
    </row>
    <row r="2550" spans="1:14" x14ac:dyDescent="0.15">
      <c r="A2550" s="1">
        <v>2541</v>
      </c>
      <c r="B2550" s="3">
        <f t="shared" si="245"/>
        <v>640.71568133167807</v>
      </c>
      <c r="C2550" s="8"/>
      <c r="D2550" s="3">
        <f t="shared" si="246"/>
        <v>634.37583132879377</v>
      </c>
      <c r="F2550" s="3">
        <f t="shared" si="247"/>
        <v>-540.71568133167807</v>
      </c>
      <c r="G2550" s="3">
        <f t="shared" si="248"/>
        <v>6.3398500028843046</v>
      </c>
      <c r="H2550" s="3">
        <f t="shared" si="249"/>
        <v>634.37583132879377</v>
      </c>
      <c r="M2550" s="1">
        <f t="shared" si="244"/>
        <v>1799</v>
      </c>
      <c r="N2550" s="38">
        <f>+M2550*'Failure Data'!F$3</f>
        <v>46.474166666666669</v>
      </c>
    </row>
    <row r="2551" spans="1:14" x14ac:dyDescent="0.15">
      <c r="A2551" s="1">
        <v>2542</v>
      </c>
      <c r="B2551" s="3">
        <f t="shared" si="245"/>
        <v>640.96658481705015</v>
      </c>
      <c r="C2551" s="8"/>
      <c r="D2551" s="3">
        <f t="shared" si="246"/>
        <v>634.62673481416573</v>
      </c>
      <c r="F2551" s="3">
        <f t="shared" si="247"/>
        <v>-540.96658481705015</v>
      </c>
      <c r="G2551" s="3">
        <f t="shared" si="248"/>
        <v>6.3398500028844182</v>
      </c>
      <c r="H2551" s="3">
        <f t="shared" si="249"/>
        <v>634.62673481416573</v>
      </c>
      <c r="M2551" s="1">
        <f t="shared" si="244"/>
        <v>1800</v>
      </c>
      <c r="N2551" s="38">
        <f>+M2551*'Failure Data'!F$3</f>
        <v>46.5</v>
      </c>
    </row>
    <row r="2552" spans="1:14" x14ac:dyDescent="0.15">
      <c r="A2552" s="1">
        <v>2543</v>
      </c>
      <c r="B2552" s="3">
        <f t="shared" si="245"/>
        <v>641.21748830242211</v>
      </c>
      <c r="C2552" s="8"/>
      <c r="D2552" s="3">
        <f t="shared" si="246"/>
        <v>634.87763829953769</v>
      </c>
      <c r="F2552" s="3">
        <f t="shared" si="247"/>
        <v>-541.21748830242211</v>
      </c>
      <c r="G2552" s="3">
        <f t="shared" si="248"/>
        <v>6.3398500028844182</v>
      </c>
      <c r="H2552" s="3">
        <f t="shared" si="249"/>
        <v>634.87763829953769</v>
      </c>
      <c r="M2552" s="1">
        <f t="shared" si="244"/>
        <v>1801</v>
      </c>
      <c r="N2552" s="38">
        <f>+M2552*'Failure Data'!F$3</f>
        <v>46.525833333333331</v>
      </c>
    </row>
    <row r="2553" spans="1:14" x14ac:dyDescent="0.15">
      <c r="A2553" s="1">
        <v>2544</v>
      </c>
      <c r="B2553" s="3">
        <f t="shared" si="245"/>
        <v>641.46839178779408</v>
      </c>
      <c r="C2553" s="8"/>
      <c r="D2553" s="3">
        <f t="shared" si="246"/>
        <v>635.12854178490966</v>
      </c>
      <c r="F2553" s="3">
        <f t="shared" si="247"/>
        <v>-541.46839178779408</v>
      </c>
      <c r="G2553" s="3">
        <f t="shared" si="248"/>
        <v>6.3398500028844182</v>
      </c>
      <c r="H2553" s="3">
        <f t="shared" si="249"/>
        <v>635.12854178490966</v>
      </c>
      <c r="M2553" s="1">
        <f t="shared" si="244"/>
        <v>1802</v>
      </c>
      <c r="N2553" s="38">
        <f>+M2553*'Failure Data'!F$3</f>
        <v>46.551666666666669</v>
      </c>
    </row>
    <row r="2554" spans="1:14" x14ac:dyDescent="0.15">
      <c r="A2554" s="1">
        <v>2545</v>
      </c>
      <c r="B2554" s="3">
        <f t="shared" si="245"/>
        <v>641.71929527316604</v>
      </c>
      <c r="C2554" s="8"/>
      <c r="D2554" s="3">
        <f t="shared" si="246"/>
        <v>635.37944527028174</v>
      </c>
      <c r="F2554" s="3">
        <f t="shared" si="247"/>
        <v>-541.71929527316604</v>
      </c>
      <c r="G2554" s="3">
        <f t="shared" si="248"/>
        <v>6.3398500028843046</v>
      </c>
      <c r="H2554" s="3">
        <f t="shared" si="249"/>
        <v>635.37944527028174</v>
      </c>
      <c r="M2554" s="1">
        <f t="shared" si="244"/>
        <v>1803</v>
      </c>
      <c r="N2554" s="38">
        <f>+M2554*'Failure Data'!F$3</f>
        <v>46.577500000000001</v>
      </c>
    </row>
    <row r="2555" spans="1:14" x14ac:dyDescent="0.15">
      <c r="A2555" s="1">
        <v>2546</v>
      </c>
      <c r="B2555" s="3">
        <f t="shared" si="245"/>
        <v>641.97019875853812</v>
      </c>
      <c r="C2555" s="8"/>
      <c r="D2555" s="3">
        <f t="shared" si="246"/>
        <v>635.6303487556537</v>
      </c>
      <c r="F2555" s="3">
        <f t="shared" si="247"/>
        <v>-541.97019875853812</v>
      </c>
      <c r="G2555" s="3">
        <f t="shared" si="248"/>
        <v>6.3398500028844182</v>
      </c>
      <c r="H2555" s="3">
        <f t="shared" si="249"/>
        <v>635.6303487556537</v>
      </c>
      <c r="M2555" s="1">
        <f t="shared" si="244"/>
        <v>1804</v>
      </c>
      <c r="N2555" s="38">
        <f>+M2555*'Failure Data'!F$3</f>
        <v>46.603333333333332</v>
      </c>
    </row>
    <row r="2556" spans="1:14" x14ac:dyDescent="0.15">
      <c r="A2556" s="1">
        <v>2547</v>
      </c>
      <c r="B2556" s="3">
        <f t="shared" si="245"/>
        <v>642.22110224391008</v>
      </c>
      <c r="C2556" s="8"/>
      <c r="D2556" s="3">
        <f t="shared" si="246"/>
        <v>635.88125224102566</v>
      </c>
      <c r="F2556" s="3">
        <f t="shared" si="247"/>
        <v>-542.22110224391008</v>
      </c>
      <c r="G2556" s="3">
        <f t="shared" si="248"/>
        <v>6.3398500028844182</v>
      </c>
      <c r="H2556" s="3">
        <f t="shared" si="249"/>
        <v>635.88125224102566</v>
      </c>
      <c r="M2556" s="1">
        <f t="shared" si="244"/>
        <v>1805</v>
      </c>
      <c r="N2556" s="38">
        <f>+M2556*'Failure Data'!F$3</f>
        <v>46.629166666666663</v>
      </c>
    </row>
    <row r="2557" spans="1:14" x14ac:dyDescent="0.15">
      <c r="A2557" s="1">
        <v>2548</v>
      </c>
      <c r="B2557" s="3">
        <f t="shared" si="245"/>
        <v>642.47200572928205</v>
      </c>
      <c r="C2557" s="8"/>
      <c r="D2557" s="3">
        <f t="shared" si="246"/>
        <v>636.13215572639763</v>
      </c>
      <c r="F2557" s="3">
        <f t="shared" si="247"/>
        <v>-542.47200572928205</v>
      </c>
      <c r="G2557" s="3">
        <f t="shared" si="248"/>
        <v>6.3398500028844182</v>
      </c>
      <c r="H2557" s="3">
        <f t="shared" si="249"/>
        <v>636.13215572639763</v>
      </c>
      <c r="M2557" s="1">
        <f t="shared" si="244"/>
        <v>1806</v>
      </c>
      <c r="N2557" s="38">
        <f>+M2557*'Failure Data'!F$3</f>
        <v>46.655000000000001</v>
      </c>
    </row>
    <row r="2558" spans="1:14" x14ac:dyDescent="0.15">
      <c r="A2558" s="1">
        <v>2549</v>
      </c>
      <c r="B2558" s="3">
        <f t="shared" si="245"/>
        <v>642.72290921465401</v>
      </c>
      <c r="C2558" s="8"/>
      <c r="D2558" s="3">
        <f t="shared" si="246"/>
        <v>636.38305921176971</v>
      </c>
      <c r="F2558" s="3">
        <f t="shared" si="247"/>
        <v>-542.72290921465401</v>
      </c>
      <c r="G2558" s="3">
        <f t="shared" si="248"/>
        <v>6.3398500028843046</v>
      </c>
      <c r="H2558" s="3">
        <f t="shared" si="249"/>
        <v>636.38305921176971</v>
      </c>
      <c r="M2558" s="1">
        <f t="shared" si="244"/>
        <v>1807</v>
      </c>
      <c r="N2558" s="38">
        <f>+M2558*'Failure Data'!F$3</f>
        <v>46.680833333333332</v>
      </c>
    </row>
    <row r="2559" spans="1:14" x14ac:dyDescent="0.15">
      <c r="A2559" s="1">
        <v>2550</v>
      </c>
      <c r="B2559" s="3">
        <f t="shared" si="245"/>
        <v>642.97381270002609</v>
      </c>
      <c r="C2559" s="8"/>
      <c r="D2559" s="3">
        <f t="shared" si="246"/>
        <v>636.63396269714167</v>
      </c>
      <c r="F2559" s="3">
        <f t="shared" si="247"/>
        <v>-542.97381270002609</v>
      </c>
      <c r="G2559" s="3">
        <f t="shared" si="248"/>
        <v>6.3398500028844182</v>
      </c>
      <c r="H2559" s="3">
        <f t="shared" si="249"/>
        <v>636.63396269714167</v>
      </c>
      <c r="M2559" s="1">
        <f t="shared" si="244"/>
        <v>1808</v>
      </c>
      <c r="N2559" s="38">
        <f>+M2559*'Failure Data'!F$3</f>
        <v>46.706666666666663</v>
      </c>
    </row>
    <row r="2560" spans="1:14" x14ac:dyDescent="0.15">
      <c r="A2560" s="1">
        <v>2551</v>
      </c>
      <c r="B2560" s="3">
        <f t="shared" si="245"/>
        <v>643.22471618539805</v>
      </c>
      <c r="C2560" s="8"/>
      <c r="D2560" s="3">
        <f t="shared" si="246"/>
        <v>636.88486618251363</v>
      </c>
      <c r="F2560" s="3">
        <f t="shared" si="247"/>
        <v>-543.22471618539805</v>
      </c>
      <c r="G2560" s="3">
        <f t="shared" si="248"/>
        <v>6.3398500028844182</v>
      </c>
      <c r="H2560" s="3">
        <f t="shared" si="249"/>
        <v>636.88486618251363</v>
      </c>
      <c r="M2560" s="1">
        <f t="shared" si="244"/>
        <v>1809</v>
      </c>
      <c r="N2560" s="38">
        <f>+M2560*'Failure Data'!F$3</f>
        <v>46.732500000000002</v>
      </c>
    </row>
    <row r="2561" spans="1:14" x14ac:dyDescent="0.15">
      <c r="A2561" s="1">
        <v>2552</v>
      </c>
      <c r="B2561" s="3">
        <f t="shared" si="245"/>
        <v>643.47561967077002</v>
      </c>
      <c r="C2561" s="8"/>
      <c r="D2561" s="3">
        <f t="shared" si="246"/>
        <v>637.1357696678856</v>
      </c>
      <c r="F2561" s="3">
        <f t="shared" si="247"/>
        <v>-543.47561967077002</v>
      </c>
      <c r="G2561" s="3">
        <f t="shared" si="248"/>
        <v>6.3398500028844182</v>
      </c>
      <c r="H2561" s="3">
        <f t="shared" si="249"/>
        <v>637.1357696678856</v>
      </c>
      <c r="M2561" s="1">
        <f t="shared" ref="M2561:M2624" si="250">M2560+1</f>
        <v>1810</v>
      </c>
      <c r="N2561" s="38">
        <f>+M2561*'Failure Data'!F$3</f>
        <v>46.758333333333333</v>
      </c>
    </row>
    <row r="2562" spans="1:14" x14ac:dyDescent="0.15">
      <c r="A2562" s="1">
        <v>2553</v>
      </c>
      <c r="B2562" s="3">
        <f t="shared" si="245"/>
        <v>643.72652315614198</v>
      </c>
      <c r="C2562" s="8"/>
      <c r="D2562" s="3">
        <f t="shared" si="246"/>
        <v>637.38667315325768</v>
      </c>
      <c r="F2562" s="3">
        <f t="shared" si="247"/>
        <v>-543.72652315614198</v>
      </c>
      <c r="G2562" s="3">
        <f t="shared" si="248"/>
        <v>6.3398500028843046</v>
      </c>
      <c r="H2562" s="3">
        <f t="shared" si="249"/>
        <v>637.38667315325768</v>
      </c>
      <c r="M2562" s="1">
        <f t="shared" si="250"/>
        <v>1811</v>
      </c>
      <c r="N2562" s="38">
        <f>+M2562*'Failure Data'!F$3</f>
        <v>46.784166666666664</v>
      </c>
    </row>
    <row r="2563" spans="1:14" x14ac:dyDescent="0.15">
      <c r="A2563" s="1">
        <v>2554</v>
      </c>
      <c r="B2563" s="3">
        <f t="shared" si="245"/>
        <v>643.97742664151406</v>
      </c>
      <c r="C2563" s="8"/>
      <c r="D2563" s="3">
        <f t="shared" si="246"/>
        <v>637.63757663862964</v>
      </c>
      <c r="F2563" s="3">
        <f t="shared" si="247"/>
        <v>-543.97742664151406</v>
      </c>
      <c r="G2563" s="3">
        <f t="shared" si="248"/>
        <v>6.3398500028844182</v>
      </c>
      <c r="H2563" s="3">
        <f t="shared" si="249"/>
        <v>637.63757663862964</v>
      </c>
      <c r="M2563" s="1">
        <f t="shared" si="250"/>
        <v>1812</v>
      </c>
      <c r="N2563" s="38">
        <f>+M2563*'Failure Data'!F$3</f>
        <v>46.81</v>
      </c>
    </row>
    <row r="2564" spans="1:14" x14ac:dyDescent="0.15">
      <c r="A2564" s="1">
        <v>2555</v>
      </c>
      <c r="B2564" s="3">
        <f t="shared" si="245"/>
        <v>644.22833012688602</v>
      </c>
      <c r="C2564" s="8"/>
      <c r="D2564" s="3">
        <f t="shared" si="246"/>
        <v>637.8884801240016</v>
      </c>
      <c r="F2564" s="3">
        <f t="shared" si="247"/>
        <v>-544.22833012688602</v>
      </c>
      <c r="G2564" s="3">
        <f t="shared" si="248"/>
        <v>6.3398500028844182</v>
      </c>
      <c r="H2564" s="3">
        <f t="shared" si="249"/>
        <v>637.8884801240016</v>
      </c>
      <c r="M2564" s="1">
        <f t="shared" si="250"/>
        <v>1813</v>
      </c>
      <c r="N2564" s="38">
        <f>+M2564*'Failure Data'!F$3</f>
        <v>46.835833333333333</v>
      </c>
    </row>
    <row r="2565" spans="1:14" x14ac:dyDescent="0.15">
      <c r="A2565" s="1">
        <v>2556</v>
      </c>
      <c r="B2565" s="3">
        <f t="shared" si="245"/>
        <v>644.47923361225799</v>
      </c>
      <c r="C2565" s="8"/>
      <c r="D2565" s="3">
        <f t="shared" si="246"/>
        <v>638.13938360937357</v>
      </c>
      <c r="F2565" s="3">
        <f t="shared" si="247"/>
        <v>-544.47923361225799</v>
      </c>
      <c r="G2565" s="3">
        <f t="shared" si="248"/>
        <v>6.3398500028844182</v>
      </c>
      <c r="H2565" s="3">
        <f t="shared" si="249"/>
        <v>638.13938360937357</v>
      </c>
      <c r="M2565" s="1">
        <f t="shared" si="250"/>
        <v>1814</v>
      </c>
      <c r="N2565" s="38">
        <f>+M2565*'Failure Data'!F$3</f>
        <v>46.861666666666665</v>
      </c>
    </row>
    <row r="2566" spans="1:14" x14ac:dyDescent="0.15">
      <c r="A2566" s="1">
        <v>2557</v>
      </c>
      <c r="B2566" s="3">
        <f t="shared" si="245"/>
        <v>644.73013709762995</v>
      </c>
      <c r="C2566" s="8"/>
      <c r="D2566" s="3">
        <f t="shared" si="246"/>
        <v>638.39028709474564</v>
      </c>
      <c r="F2566" s="3">
        <f t="shared" si="247"/>
        <v>-544.73013709762995</v>
      </c>
      <c r="G2566" s="3">
        <f t="shared" si="248"/>
        <v>6.3398500028843046</v>
      </c>
      <c r="H2566" s="3">
        <f t="shared" si="249"/>
        <v>638.39028709474564</v>
      </c>
      <c r="M2566" s="1">
        <f t="shared" si="250"/>
        <v>1815</v>
      </c>
      <c r="N2566" s="38">
        <f>+M2566*'Failure Data'!F$3</f>
        <v>46.887500000000003</v>
      </c>
    </row>
    <row r="2567" spans="1:14" x14ac:dyDescent="0.15">
      <c r="A2567" s="1">
        <v>2558</v>
      </c>
      <c r="B2567" s="3">
        <f t="shared" si="245"/>
        <v>644.98104058300203</v>
      </c>
      <c r="C2567" s="8"/>
      <c r="D2567" s="3">
        <f t="shared" si="246"/>
        <v>638.64119058011761</v>
      </c>
      <c r="F2567" s="3">
        <f t="shared" si="247"/>
        <v>-544.98104058300203</v>
      </c>
      <c r="G2567" s="3">
        <f t="shared" si="248"/>
        <v>6.3398500028844182</v>
      </c>
      <c r="H2567" s="3">
        <f t="shared" si="249"/>
        <v>638.64119058011761</v>
      </c>
      <c r="M2567" s="1">
        <f t="shared" si="250"/>
        <v>1816</v>
      </c>
      <c r="N2567" s="38">
        <f>+M2567*'Failure Data'!F$3</f>
        <v>46.913333333333334</v>
      </c>
    </row>
    <row r="2568" spans="1:14" x14ac:dyDescent="0.15">
      <c r="A2568" s="1">
        <v>2559</v>
      </c>
      <c r="B2568" s="3">
        <f t="shared" si="245"/>
        <v>645.23194406837399</v>
      </c>
      <c r="C2568" s="8"/>
      <c r="D2568" s="3">
        <f t="shared" si="246"/>
        <v>638.89209406548957</v>
      </c>
      <c r="F2568" s="3">
        <f t="shared" si="247"/>
        <v>-545.23194406837399</v>
      </c>
      <c r="G2568" s="3">
        <f t="shared" si="248"/>
        <v>6.3398500028844182</v>
      </c>
      <c r="H2568" s="3">
        <f t="shared" si="249"/>
        <v>638.89209406548957</v>
      </c>
      <c r="M2568" s="1">
        <f t="shared" si="250"/>
        <v>1817</v>
      </c>
      <c r="N2568" s="38">
        <f>+M2568*'Failure Data'!F$3</f>
        <v>46.939166666666665</v>
      </c>
    </row>
    <row r="2569" spans="1:14" x14ac:dyDescent="0.15">
      <c r="A2569" s="1">
        <v>2560</v>
      </c>
      <c r="B2569" s="3">
        <f t="shared" si="245"/>
        <v>645.48284755374596</v>
      </c>
      <c r="C2569" s="8"/>
      <c r="D2569" s="3">
        <f t="shared" si="246"/>
        <v>639.14299755086165</v>
      </c>
      <c r="F2569" s="3">
        <f t="shared" si="247"/>
        <v>-545.48284755374596</v>
      </c>
      <c r="G2569" s="3">
        <f t="shared" si="248"/>
        <v>6.3398500028843046</v>
      </c>
      <c r="H2569" s="3">
        <f t="shared" si="249"/>
        <v>639.14299755086165</v>
      </c>
      <c r="M2569" s="1">
        <f t="shared" si="250"/>
        <v>1818</v>
      </c>
      <c r="N2569" s="38">
        <f>+M2569*'Failure Data'!F$3</f>
        <v>46.964999999999996</v>
      </c>
    </row>
    <row r="2570" spans="1:14" x14ac:dyDescent="0.15">
      <c r="A2570" s="1">
        <v>2561</v>
      </c>
      <c r="B2570" s="3">
        <f t="shared" si="245"/>
        <v>645.73375103911803</v>
      </c>
      <c r="C2570" s="8"/>
      <c r="D2570" s="3">
        <f t="shared" si="246"/>
        <v>639.39390103623361</v>
      </c>
      <c r="F2570" s="3">
        <f t="shared" si="247"/>
        <v>-545.73375103911803</v>
      </c>
      <c r="G2570" s="3">
        <f t="shared" si="248"/>
        <v>6.3398500028844182</v>
      </c>
      <c r="H2570" s="3">
        <f t="shared" si="249"/>
        <v>639.39390103623361</v>
      </c>
      <c r="M2570" s="1">
        <f t="shared" si="250"/>
        <v>1819</v>
      </c>
      <c r="N2570" s="38">
        <f>+M2570*'Failure Data'!F$3</f>
        <v>46.990833333333335</v>
      </c>
    </row>
    <row r="2571" spans="1:14" x14ac:dyDescent="0.15">
      <c r="A2571" s="1">
        <v>2562</v>
      </c>
      <c r="B2571" s="3">
        <f t="shared" si="245"/>
        <v>645.98465452449</v>
      </c>
      <c r="C2571" s="8"/>
      <c r="D2571" s="3">
        <f t="shared" si="246"/>
        <v>639.64480452160558</v>
      </c>
      <c r="F2571" s="3">
        <f t="shared" si="247"/>
        <v>-545.98465452449</v>
      </c>
      <c r="G2571" s="3">
        <f t="shared" si="248"/>
        <v>6.3398500028844182</v>
      </c>
      <c r="H2571" s="3">
        <f t="shared" si="249"/>
        <v>639.64480452160558</v>
      </c>
      <c r="M2571" s="1">
        <f t="shared" si="250"/>
        <v>1820</v>
      </c>
      <c r="N2571" s="38">
        <f>+M2571*'Failure Data'!F$3</f>
        <v>47.016666666666666</v>
      </c>
    </row>
    <row r="2572" spans="1:14" x14ac:dyDescent="0.15">
      <c r="A2572" s="1">
        <v>2563</v>
      </c>
      <c r="B2572" s="3">
        <f t="shared" si="245"/>
        <v>646.23555800986196</v>
      </c>
      <c r="C2572" s="8"/>
      <c r="D2572" s="3">
        <f t="shared" si="246"/>
        <v>639.89570800697754</v>
      </c>
      <c r="F2572" s="3">
        <f t="shared" si="247"/>
        <v>-546.23555800986196</v>
      </c>
      <c r="G2572" s="3">
        <f t="shared" si="248"/>
        <v>6.3398500028844182</v>
      </c>
      <c r="H2572" s="3">
        <f t="shared" si="249"/>
        <v>639.89570800697754</v>
      </c>
      <c r="M2572" s="1">
        <f t="shared" si="250"/>
        <v>1821</v>
      </c>
      <c r="N2572" s="38">
        <f>+M2572*'Failure Data'!F$3</f>
        <v>47.042499999999997</v>
      </c>
    </row>
    <row r="2573" spans="1:14" x14ac:dyDescent="0.15">
      <c r="A2573" s="1">
        <v>2564</v>
      </c>
      <c r="B2573" s="3">
        <f t="shared" si="245"/>
        <v>646.48646149523393</v>
      </c>
      <c r="C2573" s="8"/>
      <c r="D2573" s="3">
        <f t="shared" si="246"/>
        <v>640.14661149234962</v>
      </c>
      <c r="F2573" s="3">
        <f t="shared" si="247"/>
        <v>-546.48646149523393</v>
      </c>
      <c r="G2573" s="3">
        <f t="shared" si="248"/>
        <v>6.3398500028843046</v>
      </c>
      <c r="H2573" s="3">
        <f t="shared" si="249"/>
        <v>640.14661149234962</v>
      </c>
      <c r="M2573" s="1">
        <f t="shared" si="250"/>
        <v>1822</v>
      </c>
      <c r="N2573" s="38">
        <f>+M2573*'Failure Data'!F$3</f>
        <v>47.068333333333335</v>
      </c>
    </row>
    <row r="2574" spans="1:14" x14ac:dyDescent="0.15">
      <c r="A2574" s="1">
        <v>2565</v>
      </c>
      <c r="B2574" s="3">
        <f t="shared" si="245"/>
        <v>646.737364980606</v>
      </c>
      <c r="C2574" s="8"/>
      <c r="D2574" s="3">
        <f t="shared" si="246"/>
        <v>640.39751497772158</v>
      </c>
      <c r="F2574" s="3">
        <f t="shared" si="247"/>
        <v>-546.737364980606</v>
      </c>
      <c r="G2574" s="3">
        <f t="shared" si="248"/>
        <v>6.3398500028844182</v>
      </c>
      <c r="H2574" s="3">
        <f t="shared" si="249"/>
        <v>640.39751497772158</v>
      </c>
      <c r="M2574" s="1">
        <f t="shared" si="250"/>
        <v>1823</v>
      </c>
      <c r="N2574" s="38">
        <f>+M2574*'Failure Data'!F$3</f>
        <v>47.094166666666666</v>
      </c>
    </row>
    <row r="2575" spans="1:14" x14ac:dyDescent="0.15">
      <c r="A2575" s="1">
        <v>2566</v>
      </c>
      <c r="B2575" s="3">
        <f t="shared" si="245"/>
        <v>646.98826846597797</v>
      </c>
      <c r="C2575" s="8"/>
      <c r="D2575" s="3">
        <f t="shared" si="246"/>
        <v>640.64841846309355</v>
      </c>
      <c r="F2575" s="3">
        <f t="shared" si="247"/>
        <v>-546.98826846597797</v>
      </c>
      <c r="G2575" s="3">
        <f t="shared" si="248"/>
        <v>6.3398500028844182</v>
      </c>
      <c r="H2575" s="3">
        <f t="shared" si="249"/>
        <v>640.64841846309355</v>
      </c>
      <c r="M2575" s="1">
        <f t="shared" si="250"/>
        <v>1824</v>
      </c>
      <c r="N2575" s="38">
        <f>+M2575*'Failure Data'!F$3</f>
        <v>47.12</v>
      </c>
    </row>
    <row r="2576" spans="1:14" x14ac:dyDescent="0.15">
      <c r="A2576" s="1">
        <v>2567</v>
      </c>
      <c r="B2576" s="3">
        <f t="shared" si="245"/>
        <v>647.23917195134993</v>
      </c>
      <c r="C2576" s="8"/>
      <c r="D2576" s="3">
        <f t="shared" si="246"/>
        <v>640.89932194846551</v>
      </c>
      <c r="F2576" s="3">
        <f t="shared" si="247"/>
        <v>-547.23917195134993</v>
      </c>
      <c r="G2576" s="3">
        <f t="shared" si="248"/>
        <v>6.3398500028844182</v>
      </c>
      <c r="H2576" s="3">
        <f t="shared" si="249"/>
        <v>640.89932194846551</v>
      </c>
      <c r="M2576" s="1">
        <f t="shared" si="250"/>
        <v>1825</v>
      </c>
      <c r="N2576" s="38">
        <f>+M2576*'Failure Data'!F$3</f>
        <v>47.145833333333336</v>
      </c>
    </row>
    <row r="2577" spans="1:14" x14ac:dyDescent="0.15">
      <c r="A2577" s="1">
        <v>2568</v>
      </c>
      <c r="B2577" s="3">
        <f t="shared" si="245"/>
        <v>647.4900754367219</v>
      </c>
      <c r="C2577" s="8"/>
      <c r="D2577" s="3">
        <f t="shared" si="246"/>
        <v>641.15022543383759</v>
      </c>
      <c r="F2577" s="3">
        <f t="shared" si="247"/>
        <v>-547.4900754367219</v>
      </c>
      <c r="G2577" s="3">
        <f t="shared" si="248"/>
        <v>6.3398500028843046</v>
      </c>
      <c r="H2577" s="3">
        <f t="shared" si="249"/>
        <v>641.15022543383759</v>
      </c>
      <c r="M2577" s="1">
        <f t="shared" si="250"/>
        <v>1826</v>
      </c>
      <c r="N2577" s="38">
        <f>+M2577*'Failure Data'!F$3</f>
        <v>47.171666666666667</v>
      </c>
    </row>
    <row r="2578" spans="1:14" x14ac:dyDescent="0.15">
      <c r="A2578" s="1">
        <v>2569</v>
      </c>
      <c r="B2578" s="3">
        <f t="shared" si="245"/>
        <v>647.74097892209397</v>
      </c>
      <c r="C2578" s="8"/>
      <c r="D2578" s="3">
        <f t="shared" si="246"/>
        <v>641.40112891920955</v>
      </c>
      <c r="F2578" s="3">
        <f t="shared" si="247"/>
        <v>-547.74097892209397</v>
      </c>
      <c r="G2578" s="3">
        <f t="shared" si="248"/>
        <v>6.3398500028844182</v>
      </c>
      <c r="H2578" s="3">
        <f t="shared" si="249"/>
        <v>641.40112891920955</v>
      </c>
      <c r="M2578" s="1">
        <f t="shared" si="250"/>
        <v>1827</v>
      </c>
      <c r="N2578" s="38">
        <f>+M2578*'Failure Data'!F$3</f>
        <v>47.197499999999998</v>
      </c>
    </row>
    <row r="2579" spans="1:14" x14ac:dyDescent="0.15">
      <c r="A2579" s="1">
        <v>2570</v>
      </c>
      <c r="B2579" s="3">
        <f t="shared" si="245"/>
        <v>647.99188240746594</v>
      </c>
      <c r="C2579" s="8"/>
      <c r="D2579" s="3">
        <f t="shared" si="246"/>
        <v>641.65203240458152</v>
      </c>
      <c r="F2579" s="3">
        <f t="shared" si="247"/>
        <v>-547.99188240746594</v>
      </c>
      <c r="G2579" s="3">
        <f t="shared" si="248"/>
        <v>6.3398500028844182</v>
      </c>
      <c r="H2579" s="3">
        <f t="shared" si="249"/>
        <v>641.65203240458152</v>
      </c>
      <c r="M2579" s="1">
        <f t="shared" si="250"/>
        <v>1828</v>
      </c>
      <c r="N2579" s="38">
        <f>+M2579*'Failure Data'!F$3</f>
        <v>47.223333333333336</v>
      </c>
    </row>
    <row r="2580" spans="1:14" x14ac:dyDescent="0.15">
      <c r="A2580" s="1">
        <v>2571</v>
      </c>
      <c r="B2580" s="3">
        <f t="shared" si="245"/>
        <v>648.2427858928379</v>
      </c>
      <c r="C2580" s="8"/>
      <c r="D2580" s="3">
        <f t="shared" si="246"/>
        <v>641.90293588995348</v>
      </c>
      <c r="F2580" s="3">
        <f t="shared" si="247"/>
        <v>-548.2427858928379</v>
      </c>
      <c r="G2580" s="3">
        <f t="shared" si="248"/>
        <v>6.3398500028844182</v>
      </c>
      <c r="H2580" s="3">
        <f t="shared" si="249"/>
        <v>641.90293588995348</v>
      </c>
      <c r="M2580" s="1">
        <f t="shared" si="250"/>
        <v>1829</v>
      </c>
      <c r="N2580" s="38">
        <f>+M2580*'Failure Data'!F$3</f>
        <v>47.249166666666667</v>
      </c>
    </row>
    <row r="2581" spans="1:14" x14ac:dyDescent="0.15">
      <c r="A2581" s="1">
        <v>2572</v>
      </c>
      <c r="B2581" s="3">
        <f t="shared" si="245"/>
        <v>648.49368937820987</v>
      </c>
      <c r="C2581" s="8"/>
      <c r="D2581" s="3">
        <f t="shared" si="246"/>
        <v>642.15383937532556</v>
      </c>
      <c r="F2581" s="3">
        <f t="shared" si="247"/>
        <v>-548.49368937820987</v>
      </c>
      <c r="G2581" s="3">
        <f t="shared" si="248"/>
        <v>6.3398500028843046</v>
      </c>
      <c r="H2581" s="3">
        <f t="shared" si="249"/>
        <v>642.15383937532556</v>
      </c>
      <c r="M2581" s="1">
        <f t="shared" si="250"/>
        <v>1830</v>
      </c>
      <c r="N2581" s="38">
        <f>+M2581*'Failure Data'!F$3</f>
        <v>47.274999999999999</v>
      </c>
    </row>
    <row r="2582" spans="1:14" x14ac:dyDescent="0.15">
      <c r="A2582" s="1">
        <v>2573</v>
      </c>
      <c r="B2582" s="3">
        <f t="shared" si="245"/>
        <v>648.74459286358194</v>
      </c>
      <c r="C2582" s="8"/>
      <c r="D2582" s="3">
        <f t="shared" si="246"/>
        <v>642.40474286069752</v>
      </c>
      <c r="F2582" s="3">
        <f t="shared" si="247"/>
        <v>-548.74459286358194</v>
      </c>
      <c r="G2582" s="3">
        <f t="shared" si="248"/>
        <v>6.3398500028844182</v>
      </c>
      <c r="H2582" s="3">
        <f t="shared" si="249"/>
        <v>642.40474286069752</v>
      </c>
      <c r="M2582" s="1">
        <f t="shared" si="250"/>
        <v>1831</v>
      </c>
      <c r="N2582" s="38">
        <f>+M2582*'Failure Data'!F$3</f>
        <v>47.30083333333333</v>
      </c>
    </row>
    <row r="2583" spans="1:14" x14ac:dyDescent="0.15">
      <c r="A2583" s="1">
        <v>2574</v>
      </c>
      <c r="B2583" s="3">
        <f t="shared" si="245"/>
        <v>648.99549634895391</v>
      </c>
      <c r="C2583" s="8"/>
      <c r="D2583" s="3">
        <f t="shared" si="246"/>
        <v>642.65564634606949</v>
      </c>
      <c r="F2583" s="3">
        <f t="shared" si="247"/>
        <v>-548.99549634895391</v>
      </c>
      <c r="G2583" s="3">
        <f t="shared" si="248"/>
        <v>6.3398500028844182</v>
      </c>
      <c r="H2583" s="3">
        <f t="shared" si="249"/>
        <v>642.65564634606949</v>
      </c>
      <c r="M2583" s="1">
        <f t="shared" si="250"/>
        <v>1832</v>
      </c>
      <c r="N2583" s="38">
        <f>+M2583*'Failure Data'!F$3</f>
        <v>47.326666666666668</v>
      </c>
    </row>
    <row r="2584" spans="1:14" x14ac:dyDescent="0.15">
      <c r="A2584" s="1">
        <v>2575</v>
      </c>
      <c r="B2584" s="3">
        <f t="shared" si="245"/>
        <v>649.24639983432587</v>
      </c>
      <c r="C2584" s="8"/>
      <c r="D2584" s="3">
        <f t="shared" si="246"/>
        <v>642.90654983144145</v>
      </c>
      <c r="F2584" s="3">
        <f t="shared" si="247"/>
        <v>-549.24639983432587</v>
      </c>
      <c r="G2584" s="3">
        <f t="shared" si="248"/>
        <v>6.3398500028844182</v>
      </c>
      <c r="H2584" s="3">
        <f t="shared" si="249"/>
        <v>642.90654983144145</v>
      </c>
      <c r="M2584" s="1">
        <f t="shared" si="250"/>
        <v>1833</v>
      </c>
      <c r="N2584" s="38">
        <f>+M2584*'Failure Data'!F$3</f>
        <v>47.352499999999999</v>
      </c>
    </row>
    <row r="2585" spans="1:14" x14ac:dyDescent="0.15">
      <c r="A2585" s="1">
        <v>2576</v>
      </c>
      <c r="B2585" s="3">
        <f t="shared" si="245"/>
        <v>649.49730331969783</v>
      </c>
      <c r="C2585" s="8"/>
      <c r="D2585" s="3">
        <f t="shared" si="246"/>
        <v>643.15745331681353</v>
      </c>
      <c r="F2585" s="3">
        <f t="shared" si="247"/>
        <v>-549.49730331969783</v>
      </c>
      <c r="G2585" s="3">
        <f t="shared" si="248"/>
        <v>6.3398500028843046</v>
      </c>
      <c r="H2585" s="3">
        <f t="shared" si="249"/>
        <v>643.15745331681353</v>
      </c>
      <c r="M2585" s="1">
        <f t="shared" si="250"/>
        <v>1834</v>
      </c>
      <c r="N2585" s="38">
        <f>+M2585*'Failure Data'!F$3</f>
        <v>47.37833333333333</v>
      </c>
    </row>
    <row r="2586" spans="1:14" x14ac:dyDescent="0.15">
      <c r="A2586" s="1">
        <v>2577</v>
      </c>
      <c r="B2586" s="3">
        <f t="shared" si="245"/>
        <v>649.74820680506991</v>
      </c>
      <c r="C2586" s="8"/>
      <c r="D2586" s="3">
        <f t="shared" si="246"/>
        <v>643.40835680218549</v>
      </c>
      <c r="F2586" s="3">
        <f t="shared" si="247"/>
        <v>-549.74820680506991</v>
      </c>
      <c r="G2586" s="3">
        <f t="shared" si="248"/>
        <v>6.3398500028844182</v>
      </c>
      <c r="H2586" s="3">
        <f t="shared" si="249"/>
        <v>643.40835680218549</v>
      </c>
      <c r="M2586" s="1">
        <f t="shared" si="250"/>
        <v>1835</v>
      </c>
      <c r="N2586" s="38">
        <f>+M2586*'Failure Data'!F$3</f>
        <v>47.404166666666669</v>
      </c>
    </row>
    <row r="2587" spans="1:14" x14ac:dyDescent="0.15">
      <c r="A2587" s="1">
        <v>2578</v>
      </c>
      <c r="B2587" s="3">
        <f t="shared" si="245"/>
        <v>649.99911029044188</v>
      </c>
      <c r="C2587" s="8"/>
      <c r="D2587" s="3">
        <f t="shared" si="246"/>
        <v>643.65926028755746</v>
      </c>
      <c r="F2587" s="3">
        <f t="shared" si="247"/>
        <v>-549.99911029044188</v>
      </c>
      <c r="G2587" s="3">
        <f t="shared" si="248"/>
        <v>6.3398500028844182</v>
      </c>
      <c r="H2587" s="3">
        <f t="shared" si="249"/>
        <v>643.65926028755746</v>
      </c>
      <c r="M2587" s="1">
        <f t="shared" si="250"/>
        <v>1836</v>
      </c>
      <c r="N2587" s="38">
        <f>+M2587*'Failure Data'!F$3</f>
        <v>47.43</v>
      </c>
    </row>
    <row r="2588" spans="1:14" x14ac:dyDescent="0.15">
      <c r="A2588" s="1">
        <v>2579</v>
      </c>
      <c r="B2588" s="3">
        <f t="shared" si="245"/>
        <v>650.25001377581384</v>
      </c>
      <c r="C2588" s="8"/>
      <c r="D2588" s="3">
        <f t="shared" si="246"/>
        <v>643.91016377292942</v>
      </c>
      <c r="F2588" s="3">
        <f t="shared" si="247"/>
        <v>-550.25001377581384</v>
      </c>
      <c r="G2588" s="3">
        <f t="shared" si="248"/>
        <v>6.3398500028844182</v>
      </c>
      <c r="H2588" s="3">
        <f t="shared" si="249"/>
        <v>643.91016377292942</v>
      </c>
      <c r="M2588" s="1">
        <f t="shared" si="250"/>
        <v>1837</v>
      </c>
      <c r="N2588" s="38">
        <f>+M2588*'Failure Data'!F$3</f>
        <v>47.455833333333331</v>
      </c>
    </row>
    <row r="2589" spans="1:14" x14ac:dyDescent="0.15">
      <c r="A2589" s="1">
        <v>2580</v>
      </c>
      <c r="B2589" s="3">
        <f t="shared" si="245"/>
        <v>650.5009172611858</v>
      </c>
      <c r="C2589" s="8"/>
      <c r="D2589" s="3">
        <f t="shared" si="246"/>
        <v>644.1610672583015</v>
      </c>
      <c r="F2589" s="3">
        <f t="shared" si="247"/>
        <v>-550.5009172611858</v>
      </c>
      <c r="G2589" s="3">
        <f t="shared" si="248"/>
        <v>6.3398500028843046</v>
      </c>
      <c r="H2589" s="3">
        <f t="shared" si="249"/>
        <v>644.1610672583015</v>
      </c>
      <c r="M2589" s="1">
        <f t="shared" si="250"/>
        <v>1838</v>
      </c>
      <c r="N2589" s="38">
        <f>+M2589*'Failure Data'!F$3</f>
        <v>47.481666666666669</v>
      </c>
    </row>
    <row r="2590" spans="1:14" x14ac:dyDescent="0.15">
      <c r="A2590" s="1">
        <v>2581</v>
      </c>
      <c r="B2590" s="3">
        <f t="shared" si="245"/>
        <v>650.75182074655788</v>
      </c>
      <c r="C2590" s="8"/>
      <c r="D2590" s="3">
        <f t="shared" si="246"/>
        <v>644.41197074367346</v>
      </c>
      <c r="F2590" s="3">
        <f t="shared" si="247"/>
        <v>-550.75182074655788</v>
      </c>
      <c r="G2590" s="3">
        <f t="shared" si="248"/>
        <v>6.3398500028844182</v>
      </c>
      <c r="H2590" s="3">
        <f t="shared" si="249"/>
        <v>644.41197074367346</v>
      </c>
      <c r="M2590" s="1">
        <f t="shared" si="250"/>
        <v>1839</v>
      </c>
      <c r="N2590" s="38">
        <f>+M2590*'Failure Data'!F$3</f>
        <v>47.5075</v>
      </c>
    </row>
    <row r="2591" spans="1:14" x14ac:dyDescent="0.15">
      <c r="A2591" s="1">
        <v>2582</v>
      </c>
      <c r="B2591" s="3">
        <f t="shared" ref="B2591:B2654" si="251">+(B$4*A2591)+B$5</f>
        <v>651.00272423192985</v>
      </c>
      <c r="C2591" s="8"/>
      <c r="D2591" s="3">
        <f t="shared" ref="D2591:D2654" si="252">+(D$4*A2591)+D$5</f>
        <v>644.66287422904543</v>
      </c>
      <c r="F2591" s="3">
        <f t="shared" ref="F2591:F2654" si="253">+xmax-B2591</f>
        <v>-551.00272423192985</v>
      </c>
      <c r="G2591" s="3">
        <f t="shared" ref="G2591:G2654" si="254">+B2591-D2591</f>
        <v>6.3398500028844182</v>
      </c>
      <c r="H2591" s="3">
        <f t="shared" ref="H2591:H2654" si="255">D2591</f>
        <v>644.66287422904543</v>
      </c>
      <c r="M2591" s="1">
        <f t="shared" si="250"/>
        <v>1840</v>
      </c>
      <c r="N2591" s="38">
        <f>+M2591*'Failure Data'!F$3</f>
        <v>47.533333333333331</v>
      </c>
    </row>
    <row r="2592" spans="1:14" x14ac:dyDescent="0.15">
      <c r="A2592" s="1">
        <v>2583</v>
      </c>
      <c r="B2592" s="3">
        <f t="shared" si="251"/>
        <v>651.25362771730181</v>
      </c>
      <c r="C2592" s="8"/>
      <c r="D2592" s="3">
        <f t="shared" si="252"/>
        <v>644.91377771441739</v>
      </c>
      <c r="F2592" s="3">
        <f t="shared" si="253"/>
        <v>-551.25362771730181</v>
      </c>
      <c r="G2592" s="3">
        <f t="shared" si="254"/>
        <v>6.3398500028844182</v>
      </c>
      <c r="H2592" s="3">
        <f t="shared" si="255"/>
        <v>644.91377771441739</v>
      </c>
      <c r="M2592" s="1">
        <f t="shared" si="250"/>
        <v>1841</v>
      </c>
      <c r="N2592" s="38">
        <f>+M2592*'Failure Data'!F$3</f>
        <v>47.55916666666667</v>
      </c>
    </row>
    <row r="2593" spans="1:14" x14ac:dyDescent="0.15">
      <c r="A2593" s="1">
        <v>2584</v>
      </c>
      <c r="B2593" s="3">
        <f t="shared" si="251"/>
        <v>651.50453120267377</v>
      </c>
      <c r="C2593" s="8"/>
      <c r="D2593" s="3">
        <f t="shared" si="252"/>
        <v>645.16468119978947</v>
      </c>
      <c r="F2593" s="3">
        <f t="shared" si="253"/>
        <v>-551.50453120267377</v>
      </c>
      <c r="G2593" s="3">
        <f t="shared" si="254"/>
        <v>6.3398500028843046</v>
      </c>
      <c r="H2593" s="3">
        <f t="shared" si="255"/>
        <v>645.16468119978947</v>
      </c>
      <c r="M2593" s="1">
        <f t="shared" si="250"/>
        <v>1842</v>
      </c>
      <c r="N2593" s="38">
        <f>+M2593*'Failure Data'!F$3</f>
        <v>47.585000000000001</v>
      </c>
    </row>
    <row r="2594" spans="1:14" x14ac:dyDescent="0.15">
      <c r="A2594" s="1">
        <v>2585</v>
      </c>
      <c r="B2594" s="3">
        <f t="shared" si="251"/>
        <v>651.75543468804585</v>
      </c>
      <c r="C2594" s="8"/>
      <c r="D2594" s="3">
        <f t="shared" si="252"/>
        <v>645.41558468516143</v>
      </c>
      <c r="F2594" s="3">
        <f t="shared" si="253"/>
        <v>-551.75543468804585</v>
      </c>
      <c r="G2594" s="3">
        <f t="shared" si="254"/>
        <v>6.3398500028844182</v>
      </c>
      <c r="H2594" s="3">
        <f t="shared" si="255"/>
        <v>645.41558468516143</v>
      </c>
      <c r="M2594" s="1">
        <f t="shared" si="250"/>
        <v>1843</v>
      </c>
      <c r="N2594" s="38">
        <f>+M2594*'Failure Data'!F$3</f>
        <v>47.610833333333332</v>
      </c>
    </row>
    <row r="2595" spans="1:14" x14ac:dyDescent="0.15">
      <c r="A2595" s="1">
        <v>2586</v>
      </c>
      <c r="B2595" s="3">
        <f t="shared" si="251"/>
        <v>652.00633817341782</v>
      </c>
      <c r="C2595" s="8"/>
      <c r="D2595" s="3">
        <f t="shared" si="252"/>
        <v>645.6664881705334</v>
      </c>
      <c r="F2595" s="3">
        <f t="shared" si="253"/>
        <v>-552.00633817341782</v>
      </c>
      <c r="G2595" s="3">
        <f t="shared" si="254"/>
        <v>6.3398500028844182</v>
      </c>
      <c r="H2595" s="3">
        <f t="shared" si="255"/>
        <v>645.6664881705334</v>
      </c>
      <c r="M2595" s="1">
        <f t="shared" si="250"/>
        <v>1844</v>
      </c>
      <c r="N2595" s="38">
        <f>+M2595*'Failure Data'!F$3</f>
        <v>47.636666666666663</v>
      </c>
    </row>
    <row r="2596" spans="1:14" x14ac:dyDescent="0.15">
      <c r="A2596" s="1">
        <v>2587</v>
      </c>
      <c r="B2596" s="3">
        <f t="shared" si="251"/>
        <v>652.25724165878978</v>
      </c>
      <c r="C2596" s="8"/>
      <c r="D2596" s="3">
        <f t="shared" si="252"/>
        <v>645.91739165590548</v>
      </c>
      <c r="F2596" s="3">
        <f t="shared" si="253"/>
        <v>-552.25724165878978</v>
      </c>
      <c r="G2596" s="3">
        <f t="shared" si="254"/>
        <v>6.3398500028843046</v>
      </c>
      <c r="H2596" s="3">
        <f t="shared" si="255"/>
        <v>645.91739165590548</v>
      </c>
      <c r="M2596" s="1">
        <f t="shared" si="250"/>
        <v>1845</v>
      </c>
      <c r="N2596" s="38">
        <f>+M2596*'Failure Data'!F$3</f>
        <v>47.662500000000001</v>
      </c>
    </row>
    <row r="2597" spans="1:14" x14ac:dyDescent="0.15">
      <c r="A2597" s="1">
        <v>2588</v>
      </c>
      <c r="B2597" s="3">
        <f t="shared" si="251"/>
        <v>652.50814514416186</v>
      </c>
      <c r="C2597" s="8"/>
      <c r="D2597" s="3">
        <f t="shared" si="252"/>
        <v>646.16829514127744</v>
      </c>
      <c r="F2597" s="3">
        <f t="shared" si="253"/>
        <v>-552.50814514416186</v>
      </c>
      <c r="G2597" s="3">
        <f t="shared" si="254"/>
        <v>6.3398500028844182</v>
      </c>
      <c r="H2597" s="3">
        <f t="shared" si="255"/>
        <v>646.16829514127744</v>
      </c>
      <c r="M2597" s="1">
        <f t="shared" si="250"/>
        <v>1846</v>
      </c>
      <c r="N2597" s="38">
        <f>+M2597*'Failure Data'!F$3</f>
        <v>47.688333333333333</v>
      </c>
    </row>
    <row r="2598" spans="1:14" x14ac:dyDescent="0.15">
      <c r="A2598" s="1">
        <v>2589</v>
      </c>
      <c r="B2598" s="3">
        <f t="shared" si="251"/>
        <v>652.75904862953382</v>
      </c>
      <c r="C2598" s="8"/>
      <c r="D2598" s="3">
        <f t="shared" si="252"/>
        <v>646.4191986266494</v>
      </c>
      <c r="F2598" s="3">
        <f t="shared" si="253"/>
        <v>-552.75904862953382</v>
      </c>
      <c r="G2598" s="3">
        <f t="shared" si="254"/>
        <v>6.3398500028844182</v>
      </c>
      <c r="H2598" s="3">
        <f t="shared" si="255"/>
        <v>646.4191986266494</v>
      </c>
      <c r="M2598" s="1">
        <f t="shared" si="250"/>
        <v>1847</v>
      </c>
      <c r="N2598" s="38">
        <f>+M2598*'Failure Data'!F$3</f>
        <v>47.714166666666664</v>
      </c>
    </row>
    <row r="2599" spans="1:14" x14ac:dyDescent="0.15">
      <c r="A2599" s="1">
        <v>2590</v>
      </c>
      <c r="B2599" s="3">
        <f t="shared" si="251"/>
        <v>653.00995211490579</v>
      </c>
      <c r="C2599" s="8"/>
      <c r="D2599" s="3">
        <f t="shared" si="252"/>
        <v>646.67010211202137</v>
      </c>
      <c r="F2599" s="3">
        <f t="shared" si="253"/>
        <v>-553.00995211490579</v>
      </c>
      <c r="G2599" s="3">
        <f t="shared" si="254"/>
        <v>6.3398500028844182</v>
      </c>
      <c r="H2599" s="3">
        <f t="shared" si="255"/>
        <v>646.67010211202137</v>
      </c>
      <c r="M2599" s="1">
        <f t="shared" si="250"/>
        <v>1848</v>
      </c>
      <c r="N2599" s="38">
        <f>+M2599*'Failure Data'!F$3</f>
        <v>47.74</v>
      </c>
    </row>
    <row r="2600" spans="1:14" x14ac:dyDescent="0.15">
      <c r="A2600" s="1">
        <v>2591</v>
      </c>
      <c r="B2600" s="3">
        <f t="shared" si="251"/>
        <v>653.26085560027775</v>
      </c>
      <c r="C2600" s="8"/>
      <c r="D2600" s="3">
        <f t="shared" si="252"/>
        <v>646.92100559739345</v>
      </c>
      <c r="F2600" s="3">
        <f t="shared" si="253"/>
        <v>-553.26085560027775</v>
      </c>
      <c r="G2600" s="3">
        <f t="shared" si="254"/>
        <v>6.3398500028843046</v>
      </c>
      <c r="H2600" s="3">
        <f t="shared" si="255"/>
        <v>646.92100559739345</v>
      </c>
      <c r="M2600" s="1">
        <f t="shared" si="250"/>
        <v>1849</v>
      </c>
      <c r="N2600" s="38">
        <f>+M2600*'Failure Data'!F$3</f>
        <v>47.765833333333333</v>
      </c>
    </row>
    <row r="2601" spans="1:14" x14ac:dyDescent="0.15">
      <c r="A2601" s="1">
        <v>2592</v>
      </c>
      <c r="B2601" s="3">
        <f t="shared" si="251"/>
        <v>653.51175908564983</v>
      </c>
      <c r="C2601" s="8"/>
      <c r="D2601" s="3">
        <f t="shared" si="252"/>
        <v>647.17190908276541</v>
      </c>
      <c r="F2601" s="3">
        <f t="shared" si="253"/>
        <v>-553.51175908564983</v>
      </c>
      <c r="G2601" s="3">
        <f t="shared" si="254"/>
        <v>6.3398500028844182</v>
      </c>
      <c r="H2601" s="3">
        <f t="shared" si="255"/>
        <v>647.17190908276541</v>
      </c>
      <c r="M2601" s="1">
        <f t="shared" si="250"/>
        <v>1850</v>
      </c>
      <c r="N2601" s="38">
        <f>+M2601*'Failure Data'!F$3</f>
        <v>47.791666666666664</v>
      </c>
    </row>
    <row r="2602" spans="1:14" x14ac:dyDescent="0.15">
      <c r="A2602" s="1">
        <v>2593</v>
      </c>
      <c r="B2602" s="3">
        <f t="shared" si="251"/>
        <v>653.76266257102179</v>
      </c>
      <c r="C2602" s="8"/>
      <c r="D2602" s="3">
        <f t="shared" si="252"/>
        <v>647.42281256813737</v>
      </c>
      <c r="F2602" s="3">
        <f t="shared" si="253"/>
        <v>-553.76266257102179</v>
      </c>
      <c r="G2602" s="3">
        <f t="shared" si="254"/>
        <v>6.3398500028844182</v>
      </c>
      <c r="H2602" s="3">
        <f t="shared" si="255"/>
        <v>647.42281256813737</v>
      </c>
      <c r="M2602" s="1">
        <f t="shared" si="250"/>
        <v>1851</v>
      </c>
      <c r="N2602" s="38">
        <f>+M2602*'Failure Data'!F$3</f>
        <v>47.817500000000003</v>
      </c>
    </row>
    <row r="2603" spans="1:14" x14ac:dyDescent="0.15">
      <c r="A2603" s="1">
        <v>2594</v>
      </c>
      <c r="B2603" s="3">
        <f t="shared" si="251"/>
        <v>654.01356605639376</v>
      </c>
      <c r="C2603" s="8"/>
      <c r="D2603" s="3">
        <f t="shared" si="252"/>
        <v>647.67371605350934</v>
      </c>
      <c r="F2603" s="3">
        <f t="shared" si="253"/>
        <v>-554.01356605639376</v>
      </c>
      <c r="G2603" s="3">
        <f t="shared" si="254"/>
        <v>6.3398500028844182</v>
      </c>
      <c r="H2603" s="3">
        <f t="shared" si="255"/>
        <v>647.67371605350934</v>
      </c>
      <c r="M2603" s="1">
        <f t="shared" si="250"/>
        <v>1852</v>
      </c>
      <c r="N2603" s="38">
        <f>+M2603*'Failure Data'!F$3</f>
        <v>47.843333333333334</v>
      </c>
    </row>
    <row r="2604" spans="1:14" x14ac:dyDescent="0.15">
      <c r="A2604" s="1">
        <v>2595</v>
      </c>
      <c r="B2604" s="3">
        <f t="shared" si="251"/>
        <v>654.26446954176572</v>
      </c>
      <c r="C2604" s="8"/>
      <c r="D2604" s="3">
        <f t="shared" si="252"/>
        <v>647.92461953888142</v>
      </c>
      <c r="F2604" s="3">
        <f t="shared" si="253"/>
        <v>-554.26446954176572</v>
      </c>
      <c r="G2604" s="3">
        <f t="shared" si="254"/>
        <v>6.3398500028843046</v>
      </c>
      <c r="H2604" s="3">
        <f t="shared" si="255"/>
        <v>647.92461953888142</v>
      </c>
      <c r="M2604" s="1">
        <f t="shared" si="250"/>
        <v>1853</v>
      </c>
      <c r="N2604" s="38">
        <f>+M2604*'Failure Data'!F$3</f>
        <v>47.869166666666665</v>
      </c>
    </row>
    <row r="2605" spans="1:14" x14ac:dyDescent="0.15">
      <c r="A2605" s="1">
        <v>2596</v>
      </c>
      <c r="B2605" s="3">
        <f t="shared" si="251"/>
        <v>654.5153730271378</v>
      </c>
      <c r="C2605" s="8"/>
      <c r="D2605" s="3">
        <f t="shared" si="252"/>
        <v>648.17552302425338</v>
      </c>
      <c r="F2605" s="3">
        <f t="shared" si="253"/>
        <v>-554.5153730271378</v>
      </c>
      <c r="G2605" s="3">
        <f t="shared" si="254"/>
        <v>6.3398500028844182</v>
      </c>
      <c r="H2605" s="3">
        <f t="shared" si="255"/>
        <v>648.17552302425338</v>
      </c>
      <c r="M2605" s="1">
        <f t="shared" si="250"/>
        <v>1854</v>
      </c>
      <c r="N2605" s="38">
        <f>+M2605*'Failure Data'!F$3</f>
        <v>47.895000000000003</v>
      </c>
    </row>
    <row r="2606" spans="1:14" x14ac:dyDescent="0.15">
      <c r="A2606" s="1">
        <v>2597</v>
      </c>
      <c r="B2606" s="3">
        <f t="shared" si="251"/>
        <v>654.76627651250976</v>
      </c>
      <c r="C2606" s="8"/>
      <c r="D2606" s="3">
        <f t="shared" si="252"/>
        <v>648.42642650962534</v>
      </c>
      <c r="F2606" s="3">
        <f t="shared" si="253"/>
        <v>-554.76627651250976</v>
      </c>
      <c r="G2606" s="3">
        <f t="shared" si="254"/>
        <v>6.3398500028844182</v>
      </c>
      <c r="H2606" s="3">
        <f t="shared" si="255"/>
        <v>648.42642650962534</v>
      </c>
      <c r="M2606" s="1">
        <f t="shared" si="250"/>
        <v>1855</v>
      </c>
      <c r="N2606" s="38">
        <f>+M2606*'Failure Data'!F$3</f>
        <v>47.920833333333334</v>
      </c>
    </row>
    <row r="2607" spans="1:14" x14ac:dyDescent="0.15">
      <c r="A2607" s="1">
        <v>2598</v>
      </c>
      <c r="B2607" s="3">
        <f t="shared" si="251"/>
        <v>655.01717999788173</v>
      </c>
      <c r="C2607" s="8"/>
      <c r="D2607" s="3">
        <f t="shared" si="252"/>
        <v>648.67732999499731</v>
      </c>
      <c r="F2607" s="3">
        <f t="shared" si="253"/>
        <v>-555.01717999788173</v>
      </c>
      <c r="G2607" s="3">
        <f t="shared" si="254"/>
        <v>6.3398500028844182</v>
      </c>
      <c r="H2607" s="3">
        <f t="shared" si="255"/>
        <v>648.67732999499731</v>
      </c>
      <c r="M2607" s="1">
        <f t="shared" si="250"/>
        <v>1856</v>
      </c>
      <c r="N2607" s="38">
        <f>+M2607*'Failure Data'!F$3</f>
        <v>47.946666666666665</v>
      </c>
    </row>
    <row r="2608" spans="1:14" x14ac:dyDescent="0.15">
      <c r="A2608" s="1">
        <v>2599</v>
      </c>
      <c r="B2608" s="3">
        <f t="shared" si="251"/>
        <v>655.26808348325369</v>
      </c>
      <c r="C2608" s="8"/>
      <c r="D2608" s="3">
        <f t="shared" si="252"/>
        <v>648.92823348036939</v>
      </c>
      <c r="F2608" s="3">
        <f t="shared" si="253"/>
        <v>-555.26808348325369</v>
      </c>
      <c r="G2608" s="3">
        <f t="shared" si="254"/>
        <v>6.3398500028843046</v>
      </c>
      <c r="H2608" s="3">
        <f t="shared" si="255"/>
        <v>648.92823348036939</v>
      </c>
      <c r="M2608" s="1">
        <f t="shared" si="250"/>
        <v>1857</v>
      </c>
      <c r="N2608" s="38">
        <f>+M2608*'Failure Data'!F$3</f>
        <v>47.972499999999997</v>
      </c>
    </row>
    <row r="2609" spans="1:14" x14ac:dyDescent="0.15">
      <c r="A2609" s="1">
        <v>2600</v>
      </c>
      <c r="B2609" s="3">
        <f t="shared" si="251"/>
        <v>655.51898696862577</v>
      </c>
      <c r="C2609" s="8"/>
      <c r="D2609" s="3">
        <f t="shared" si="252"/>
        <v>649.17913696574135</v>
      </c>
      <c r="F2609" s="3">
        <f t="shared" si="253"/>
        <v>-555.51898696862577</v>
      </c>
      <c r="G2609" s="3">
        <f t="shared" si="254"/>
        <v>6.3398500028844182</v>
      </c>
      <c r="H2609" s="3">
        <f t="shared" si="255"/>
        <v>649.17913696574135</v>
      </c>
      <c r="M2609" s="1">
        <f t="shared" si="250"/>
        <v>1858</v>
      </c>
      <c r="N2609" s="38">
        <f>+M2609*'Failure Data'!F$3</f>
        <v>47.998333333333335</v>
      </c>
    </row>
    <row r="2610" spans="1:14" x14ac:dyDescent="0.15">
      <c r="A2610" s="1">
        <v>2601</v>
      </c>
      <c r="B2610" s="3">
        <f t="shared" si="251"/>
        <v>655.76989045399773</v>
      </c>
      <c r="C2610" s="8"/>
      <c r="D2610" s="3">
        <f t="shared" si="252"/>
        <v>649.43004045111331</v>
      </c>
      <c r="F2610" s="3">
        <f t="shared" si="253"/>
        <v>-555.76989045399773</v>
      </c>
      <c r="G2610" s="3">
        <f t="shared" si="254"/>
        <v>6.3398500028844182</v>
      </c>
      <c r="H2610" s="3">
        <f t="shared" si="255"/>
        <v>649.43004045111331</v>
      </c>
      <c r="M2610" s="1">
        <f t="shared" si="250"/>
        <v>1859</v>
      </c>
      <c r="N2610" s="38">
        <f>+M2610*'Failure Data'!F$3</f>
        <v>48.024166666666666</v>
      </c>
    </row>
    <row r="2611" spans="1:14" x14ac:dyDescent="0.15">
      <c r="A2611" s="1">
        <v>2602</v>
      </c>
      <c r="B2611" s="3">
        <f t="shared" si="251"/>
        <v>656.0207939393697</v>
      </c>
      <c r="C2611" s="8"/>
      <c r="D2611" s="3">
        <f t="shared" si="252"/>
        <v>649.68094393648528</v>
      </c>
      <c r="F2611" s="3">
        <f t="shared" si="253"/>
        <v>-556.0207939393697</v>
      </c>
      <c r="G2611" s="3">
        <f t="shared" si="254"/>
        <v>6.3398500028844182</v>
      </c>
      <c r="H2611" s="3">
        <f t="shared" si="255"/>
        <v>649.68094393648528</v>
      </c>
      <c r="M2611" s="1">
        <f t="shared" si="250"/>
        <v>1860</v>
      </c>
      <c r="N2611" s="38">
        <f>+M2611*'Failure Data'!F$3</f>
        <v>48.05</v>
      </c>
    </row>
    <row r="2612" spans="1:14" x14ac:dyDescent="0.15">
      <c r="A2612" s="1">
        <v>2603</v>
      </c>
      <c r="B2612" s="3">
        <f t="shared" si="251"/>
        <v>656.27169742474166</v>
      </c>
      <c r="C2612" s="8"/>
      <c r="D2612" s="3">
        <f t="shared" si="252"/>
        <v>649.93184742185736</v>
      </c>
      <c r="F2612" s="3">
        <f t="shared" si="253"/>
        <v>-556.27169742474166</v>
      </c>
      <c r="G2612" s="3">
        <f t="shared" si="254"/>
        <v>6.3398500028843046</v>
      </c>
      <c r="H2612" s="3">
        <f t="shared" si="255"/>
        <v>649.93184742185736</v>
      </c>
      <c r="M2612" s="1">
        <f t="shared" si="250"/>
        <v>1861</v>
      </c>
      <c r="N2612" s="38">
        <f>+M2612*'Failure Data'!F$3</f>
        <v>48.075833333333335</v>
      </c>
    </row>
    <row r="2613" spans="1:14" x14ac:dyDescent="0.15">
      <c r="A2613" s="1">
        <v>2604</v>
      </c>
      <c r="B2613" s="3">
        <f t="shared" si="251"/>
        <v>656.52260091011374</v>
      </c>
      <c r="C2613" s="8"/>
      <c r="D2613" s="3">
        <f t="shared" si="252"/>
        <v>650.18275090722932</v>
      </c>
      <c r="F2613" s="3">
        <f t="shared" si="253"/>
        <v>-556.52260091011374</v>
      </c>
      <c r="G2613" s="3">
        <f t="shared" si="254"/>
        <v>6.3398500028844182</v>
      </c>
      <c r="H2613" s="3">
        <f t="shared" si="255"/>
        <v>650.18275090722932</v>
      </c>
      <c r="M2613" s="1">
        <f t="shared" si="250"/>
        <v>1862</v>
      </c>
      <c r="N2613" s="38">
        <f>+M2613*'Failure Data'!F$3</f>
        <v>48.101666666666667</v>
      </c>
    </row>
    <row r="2614" spans="1:14" x14ac:dyDescent="0.15">
      <c r="A2614" s="1">
        <v>2605</v>
      </c>
      <c r="B2614" s="3">
        <f t="shared" si="251"/>
        <v>656.7735043954857</v>
      </c>
      <c r="C2614" s="8"/>
      <c r="D2614" s="3">
        <f t="shared" si="252"/>
        <v>650.43365439260128</v>
      </c>
      <c r="F2614" s="3">
        <f t="shared" si="253"/>
        <v>-556.7735043954857</v>
      </c>
      <c r="G2614" s="3">
        <f t="shared" si="254"/>
        <v>6.3398500028844182</v>
      </c>
      <c r="H2614" s="3">
        <f t="shared" si="255"/>
        <v>650.43365439260128</v>
      </c>
      <c r="M2614" s="1">
        <f t="shared" si="250"/>
        <v>1863</v>
      </c>
      <c r="N2614" s="38">
        <f>+M2614*'Failure Data'!F$3</f>
        <v>48.127499999999998</v>
      </c>
    </row>
    <row r="2615" spans="1:14" x14ac:dyDescent="0.15">
      <c r="A2615" s="1">
        <v>2606</v>
      </c>
      <c r="B2615" s="3">
        <f t="shared" si="251"/>
        <v>657.02440788085767</v>
      </c>
      <c r="C2615" s="8"/>
      <c r="D2615" s="3">
        <f t="shared" si="252"/>
        <v>650.68455787797325</v>
      </c>
      <c r="F2615" s="3">
        <f t="shared" si="253"/>
        <v>-557.02440788085767</v>
      </c>
      <c r="G2615" s="3">
        <f t="shared" si="254"/>
        <v>6.3398500028844182</v>
      </c>
      <c r="H2615" s="3">
        <f t="shared" si="255"/>
        <v>650.68455787797325</v>
      </c>
      <c r="M2615" s="1">
        <f t="shared" si="250"/>
        <v>1864</v>
      </c>
      <c r="N2615" s="38">
        <f>+M2615*'Failure Data'!F$3</f>
        <v>48.153333333333336</v>
      </c>
    </row>
    <row r="2616" spans="1:14" x14ac:dyDescent="0.15">
      <c r="A2616" s="1">
        <v>2607</v>
      </c>
      <c r="B2616" s="3">
        <f t="shared" si="251"/>
        <v>657.27531136622963</v>
      </c>
      <c r="C2616" s="8"/>
      <c r="D2616" s="3">
        <f t="shared" si="252"/>
        <v>650.93546136334533</v>
      </c>
      <c r="F2616" s="3">
        <f t="shared" si="253"/>
        <v>-557.27531136622963</v>
      </c>
      <c r="G2616" s="3">
        <f t="shared" si="254"/>
        <v>6.3398500028843046</v>
      </c>
      <c r="H2616" s="3">
        <f t="shared" si="255"/>
        <v>650.93546136334533</v>
      </c>
      <c r="M2616" s="1">
        <f t="shared" si="250"/>
        <v>1865</v>
      </c>
      <c r="N2616" s="38">
        <f>+M2616*'Failure Data'!F$3</f>
        <v>48.179166666666667</v>
      </c>
    </row>
    <row r="2617" spans="1:14" x14ac:dyDescent="0.15">
      <c r="A2617" s="1">
        <v>2608</v>
      </c>
      <c r="B2617" s="3">
        <f t="shared" si="251"/>
        <v>657.52621485160171</v>
      </c>
      <c r="C2617" s="8"/>
      <c r="D2617" s="3">
        <f t="shared" si="252"/>
        <v>651.18636484871729</v>
      </c>
      <c r="F2617" s="3">
        <f t="shared" si="253"/>
        <v>-557.52621485160171</v>
      </c>
      <c r="G2617" s="3">
        <f t="shared" si="254"/>
        <v>6.3398500028844182</v>
      </c>
      <c r="H2617" s="3">
        <f t="shared" si="255"/>
        <v>651.18636484871729</v>
      </c>
      <c r="M2617" s="1">
        <f t="shared" si="250"/>
        <v>1866</v>
      </c>
      <c r="N2617" s="38">
        <f>+M2617*'Failure Data'!F$3</f>
        <v>48.204999999999998</v>
      </c>
    </row>
    <row r="2618" spans="1:14" x14ac:dyDescent="0.15">
      <c r="A2618" s="1">
        <v>2609</v>
      </c>
      <c r="B2618" s="3">
        <f t="shared" si="251"/>
        <v>657.77711833697367</v>
      </c>
      <c r="C2618" s="8"/>
      <c r="D2618" s="3">
        <f t="shared" si="252"/>
        <v>651.43726833408925</v>
      </c>
      <c r="F2618" s="3">
        <f t="shared" si="253"/>
        <v>-557.77711833697367</v>
      </c>
      <c r="G2618" s="3">
        <f t="shared" si="254"/>
        <v>6.3398500028844182</v>
      </c>
      <c r="H2618" s="3">
        <f t="shared" si="255"/>
        <v>651.43726833408925</v>
      </c>
      <c r="M2618" s="1">
        <f t="shared" si="250"/>
        <v>1867</v>
      </c>
      <c r="N2618" s="38">
        <f>+M2618*'Failure Data'!F$3</f>
        <v>48.230833333333329</v>
      </c>
    </row>
    <row r="2619" spans="1:14" x14ac:dyDescent="0.15">
      <c r="A2619" s="1">
        <v>2610</v>
      </c>
      <c r="B2619" s="3">
        <f t="shared" si="251"/>
        <v>658.02802182234564</v>
      </c>
      <c r="C2619" s="8"/>
      <c r="D2619" s="3">
        <f t="shared" si="252"/>
        <v>651.68817181946133</v>
      </c>
      <c r="F2619" s="3">
        <f t="shared" si="253"/>
        <v>-558.02802182234564</v>
      </c>
      <c r="G2619" s="3">
        <f t="shared" si="254"/>
        <v>6.3398500028843046</v>
      </c>
      <c r="H2619" s="3">
        <f t="shared" si="255"/>
        <v>651.68817181946133</v>
      </c>
      <c r="M2619" s="1">
        <f t="shared" si="250"/>
        <v>1868</v>
      </c>
      <c r="N2619" s="38">
        <f>+M2619*'Failure Data'!F$3</f>
        <v>48.256666666666668</v>
      </c>
    </row>
    <row r="2620" spans="1:14" x14ac:dyDescent="0.15">
      <c r="A2620" s="1">
        <v>2611</v>
      </c>
      <c r="B2620" s="3">
        <f t="shared" si="251"/>
        <v>658.27892530771771</v>
      </c>
      <c r="C2620" s="8"/>
      <c r="D2620" s="3">
        <f t="shared" si="252"/>
        <v>651.9390753048333</v>
      </c>
      <c r="F2620" s="3">
        <f t="shared" si="253"/>
        <v>-558.27892530771771</v>
      </c>
      <c r="G2620" s="3">
        <f t="shared" si="254"/>
        <v>6.3398500028844182</v>
      </c>
      <c r="H2620" s="3">
        <f t="shared" si="255"/>
        <v>651.9390753048333</v>
      </c>
      <c r="M2620" s="1">
        <f t="shared" si="250"/>
        <v>1869</v>
      </c>
      <c r="N2620" s="38">
        <f>+M2620*'Failure Data'!F$3</f>
        <v>48.282499999999999</v>
      </c>
    </row>
    <row r="2621" spans="1:14" x14ac:dyDescent="0.15">
      <c r="A2621" s="1">
        <v>2612</v>
      </c>
      <c r="B2621" s="3">
        <f t="shared" si="251"/>
        <v>658.52982879308968</v>
      </c>
      <c r="C2621" s="8"/>
      <c r="D2621" s="3">
        <f t="shared" si="252"/>
        <v>652.18997879020526</v>
      </c>
      <c r="F2621" s="3">
        <f t="shared" si="253"/>
        <v>-558.52982879308968</v>
      </c>
      <c r="G2621" s="3">
        <f t="shared" si="254"/>
        <v>6.3398500028844182</v>
      </c>
      <c r="H2621" s="3">
        <f t="shared" si="255"/>
        <v>652.18997879020526</v>
      </c>
      <c r="M2621" s="1">
        <f t="shared" si="250"/>
        <v>1870</v>
      </c>
      <c r="N2621" s="38">
        <f>+M2621*'Failure Data'!F$3</f>
        <v>48.30833333333333</v>
      </c>
    </row>
    <row r="2622" spans="1:14" x14ac:dyDescent="0.15">
      <c r="A2622" s="1">
        <v>2613</v>
      </c>
      <c r="B2622" s="3">
        <f t="shared" si="251"/>
        <v>658.78073227846164</v>
      </c>
      <c r="C2622" s="8"/>
      <c r="D2622" s="3">
        <f t="shared" si="252"/>
        <v>652.44088227557722</v>
      </c>
      <c r="F2622" s="3">
        <f t="shared" si="253"/>
        <v>-558.78073227846164</v>
      </c>
      <c r="G2622" s="3">
        <f t="shared" si="254"/>
        <v>6.3398500028844182</v>
      </c>
      <c r="H2622" s="3">
        <f t="shared" si="255"/>
        <v>652.44088227557722</v>
      </c>
      <c r="M2622" s="1">
        <f t="shared" si="250"/>
        <v>1871</v>
      </c>
      <c r="N2622" s="38">
        <f>+M2622*'Failure Data'!F$3</f>
        <v>48.334166666666668</v>
      </c>
    </row>
    <row r="2623" spans="1:14" x14ac:dyDescent="0.15">
      <c r="A2623" s="1">
        <v>2614</v>
      </c>
      <c r="B2623" s="3">
        <f t="shared" si="251"/>
        <v>659.03163576383361</v>
      </c>
      <c r="C2623" s="8"/>
      <c r="D2623" s="3">
        <f t="shared" si="252"/>
        <v>652.6917857609493</v>
      </c>
      <c r="F2623" s="3">
        <f t="shared" si="253"/>
        <v>-559.03163576383361</v>
      </c>
      <c r="G2623" s="3">
        <f t="shared" si="254"/>
        <v>6.3398500028843046</v>
      </c>
      <c r="H2623" s="3">
        <f t="shared" si="255"/>
        <v>652.6917857609493</v>
      </c>
      <c r="M2623" s="1">
        <f t="shared" si="250"/>
        <v>1872</v>
      </c>
      <c r="N2623" s="38">
        <f>+M2623*'Failure Data'!F$3</f>
        <v>48.36</v>
      </c>
    </row>
    <row r="2624" spans="1:14" x14ac:dyDescent="0.15">
      <c r="A2624" s="1">
        <v>2615</v>
      </c>
      <c r="B2624" s="3">
        <f t="shared" si="251"/>
        <v>659.28253924920568</v>
      </c>
      <c r="C2624" s="8"/>
      <c r="D2624" s="3">
        <f t="shared" si="252"/>
        <v>652.94268924632127</v>
      </c>
      <c r="F2624" s="3">
        <f t="shared" si="253"/>
        <v>-559.28253924920568</v>
      </c>
      <c r="G2624" s="3">
        <f t="shared" si="254"/>
        <v>6.3398500028844182</v>
      </c>
      <c r="H2624" s="3">
        <f t="shared" si="255"/>
        <v>652.94268924632127</v>
      </c>
      <c r="M2624" s="1">
        <f t="shared" si="250"/>
        <v>1873</v>
      </c>
      <c r="N2624" s="38">
        <f>+M2624*'Failure Data'!F$3</f>
        <v>48.385833333333331</v>
      </c>
    </row>
    <row r="2625" spans="1:14" x14ac:dyDescent="0.15">
      <c r="A2625" s="1">
        <v>2616</v>
      </c>
      <c r="B2625" s="3">
        <f t="shared" si="251"/>
        <v>659.53344273457765</v>
      </c>
      <c r="C2625" s="8"/>
      <c r="D2625" s="3">
        <f t="shared" si="252"/>
        <v>653.19359273169323</v>
      </c>
      <c r="F2625" s="3">
        <f t="shared" si="253"/>
        <v>-559.53344273457765</v>
      </c>
      <c r="G2625" s="3">
        <f t="shared" si="254"/>
        <v>6.3398500028844182</v>
      </c>
      <c r="H2625" s="3">
        <f t="shared" si="255"/>
        <v>653.19359273169323</v>
      </c>
      <c r="M2625" s="1">
        <f t="shared" ref="M2625:M2688" si="256">M2624+1</f>
        <v>1874</v>
      </c>
      <c r="N2625" s="38">
        <f>+M2625*'Failure Data'!F$3</f>
        <v>48.411666666666669</v>
      </c>
    </row>
    <row r="2626" spans="1:14" x14ac:dyDescent="0.15">
      <c r="A2626" s="1">
        <v>2617</v>
      </c>
      <c r="B2626" s="3">
        <f t="shared" si="251"/>
        <v>659.78434621994961</v>
      </c>
      <c r="C2626" s="8"/>
      <c r="D2626" s="3">
        <f t="shared" si="252"/>
        <v>653.44449621706519</v>
      </c>
      <c r="F2626" s="3">
        <f t="shared" si="253"/>
        <v>-559.78434621994961</v>
      </c>
      <c r="G2626" s="3">
        <f t="shared" si="254"/>
        <v>6.3398500028844182</v>
      </c>
      <c r="H2626" s="3">
        <f t="shared" si="255"/>
        <v>653.44449621706519</v>
      </c>
      <c r="M2626" s="1">
        <f t="shared" si="256"/>
        <v>1875</v>
      </c>
      <c r="N2626" s="38">
        <f>+M2626*'Failure Data'!F$3</f>
        <v>48.4375</v>
      </c>
    </row>
    <row r="2627" spans="1:14" x14ac:dyDescent="0.15">
      <c r="A2627" s="1">
        <v>2618</v>
      </c>
      <c r="B2627" s="3">
        <f t="shared" si="251"/>
        <v>660.03524970532158</v>
      </c>
      <c r="C2627" s="8"/>
      <c r="D2627" s="3">
        <f t="shared" si="252"/>
        <v>653.69539970243727</v>
      </c>
      <c r="F2627" s="3">
        <f t="shared" si="253"/>
        <v>-560.03524970532158</v>
      </c>
      <c r="G2627" s="3">
        <f t="shared" si="254"/>
        <v>6.3398500028843046</v>
      </c>
      <c r="H2627" s="3">
        <f t="shared" si="255"/>
        <v>653.69539970243727</v>
      </c>
      <c r="M2627" s="1">
        <f t="shared" si="256"/>
        <v>1876</v>
      </c>
      <c r="N2627" s="38">
        <f>+M2627*'Failure Data'!F$3</f>
        <v>48.463333333333331</v>
      </c>
    </row>
    <row r="2628" spans="1:14" x14ac:dyDescent="0.15">
      <c r="A2628" s="1">
        <v>2619</v>
      </c>
      <c r="B2628" s="3">
        <f t="shared" si="251"/>
        <v>660.28615319069365</v>
      </c>
      <c r="C2628" s="8"/>
      <c r="D2628" s="3">
        <f t="shared" si="252"/>
        <v>653.94630318780924</v>
      </c>
      <c r="F2628" s="3">
        <f t="shared" si="253"/>
        <v>-560.28615319069365</v>
      </c>
      <c r="G2628" s="3">
        <f t="shared" si="254"/>
        <v>6.3398500028844182</v>
      </c>
      <c r="H2628" s="3">
        <f t="shared" si="255"/>
        <v>653.94630318780924</v>
      </c>
      <c r="M2628" s="1">
        <f t="shared" si="256"/>
        <v>1877</v>
      </c>
      <c r="N2628" s="38">
        <f>+M2628*'Failure Data'!F$3</f>
        <v>48.489166666666669</v>
      </c>
    </row>
    <row r="2629" spans="1:14" x14ac:dyDescent="0.15">
      <c r="A2629" s="1">
        <v>2620</v>
      </c>
      <c r="B2629" s="3">
        <f t="shared" si="251"/>
        <v>660.53705667606562</v>
      </c>
      <c r="C2629" s="8"/>
      <c r="D2629" s="3">
        <f t="shared" si="252"/>
        <v>654.1972066731812</v>
      </c>
      <c r="F2629" s="3">
        <f t="shared" si="253"/>
        <v>-560.53705667606562</v>
      </c>
      <c r="G2629" s="3">
        <f t="shared" si="254"/>
        <v>6.3398500028844182</v>
      </c>
      <c r="H2629" s="3">
        <f t="shared" si="255"/>
        <v>654.1972066731812</v>
      </c>
      <c r="M2629" s="1">
        <f t="shared" si="256"/>
        <v>1878</v>
      </c>
      <c r="N2629" s="38">
        <f>+M2629*'Failure Data'!F$3</f>
        <v>48.515000000000001</v>
      </c>
    </row>
    <row r="2630" spans="1:14" x14ac:dyDescent="0.15">
      <c r="A2630" s="1">
        <v>2621</v>
      </c>
      <c r="B2630" s="3">
        <f t="shared" si="251"/>
        <v>660.78796016143758</v>
      </c>
      <c r="C2630" s="8"/>
      <c r="D2630" s="3">
        <f t="shared" si="252"/>
        <v>654.44811015855316</v>
      </c>
      <c r="F2630" s="3">
        <f t="shared" si="253"/>
        <v>-560.78796016143758</v>
      </c>
      <c r="G2630" s="3">
        <f t="shared" si="254"/>
        <v>6.3398500028844182</v>
      </c>
      <c r="H2630" s="3">
        <f t="shared" si="255"/>
        <v>654.44811015855316</v>
      </c>
      <c r="M2630" s="1">
        <f t="shared" si="256"/>
        <v>1879</v>
      </c>
      <c r="N2630" s="38">
        <f>+M2630*'Failure Data'!F$3</f>
        <v>48.540833333333332</v>
      </c>
    </row>
    <row r="2631" spans="1:14" x14ac:dyDescent="0.15">
      <c r="A2631" s="1">
        <v>2622</v>
      </c>
      <c r="B2631" s="3">
        <f t="shared" si="251"/>
        <v>661.03886364680955</v>
      </c>
      <c r="C2631" s="8"/>
      <c r="D2631" s="3">
        <f t="shared" si="252"/>
        <v>654.69901364392524</v>
      </c>
      <c r="F2631" s="3">
        <f t="shared" si="253"/>
        <v>-561.03886364680955</v>
      </c>
      <c r="G2631" s="3">
        <f t="shared" si="254"/>
        <v>6.3398500028843046</v>
      </c>
      <c r="H2631" s="3">
        <f t="shared" si="255"/>
        <v>654.69901364392524</v>
      </c>
      <c r="M2631" s="1">
        <f t="shared" si="256"/>
        <v>1880</v>
      </c>
      <c r="N2631" s="38">
        <f>+M2631*'Failure Data'!F$3</f>
        <v>48.566666666666663</v>
      </c>
    </row>
    <row r="2632" spans="1:14" x14ac:dyDescent="0.15">
      <c r="A2632" s="1">
        <v>2623</v>
      </c>
      <c r="B2632" s="3">
        <f t="shared" si="251"/>
        <v>661.28976713218162</v>
      </c>
      <c r="C2632" s="8"/>
      <c r="D2632" s="3">
        <f t="shared" si="252"/>
        <v>654.94991712929721</v>
      </c>
      <c r="F2632" s="3">
        <f t="shared" si="253"/>
        <v>-561.28976713218162</v>
      </c>
      <c r="G2632" s="3">
        <f t="shared" si="254"/>
        <v>6.3398500028844182</v>
      </c>
      <c r="H2632" s="3">
        <f t="shared" si="255"/>
        <v>654.94991712929721</v>
      </c>
      <c r="M2632" s="1">
        <f t="shared" si="256"/>
        <v>1881</v>
      </c>
      <c r="N2632" s="38">
        <f>+M2632*'Failure Data'!F$3</f>
        <v>48.592500000000001</v>
      </c>
    </row>
    <row r="2633" spans="1:14" x14ac:dyDescent="0.15">
      <c r="A2633" s="1">
        <v>2624</v>
      </c>
      <c r="B2633" s="3">
        <f t="shared" si="251"/>
        <v>661.54067061755359</v>
      </c>
      <c r="C2633" s="8"/>
      <c r="D2633" s="3">
        <f t="shared" si="252"/>
        <v>655.20082061466917</v>
      </c>
      <c r="F2633" s="3">
        <f t="shared" si="253"/>
        <v>-561.54067061755359</v>
      </c>
      <c r="G2633" s="3">
        <f t="shared" si="254"/>
        <v>6.3398500028844182</v>
      </c>
      <c r="H2633" s="3">
        <f t="shared" si="255"/>
        <v>655.20082061466917</v>
      </c>
      <c r="M2633" s="1">
        <f t="shared" si="256"/>
        <v>1882</v>
      </c>
      <c r="N2633" s="38">
        <f>+M2633*'Failure Data'!F$3</f>
        <v>48.618333333333332</v>
      </c>
    </row>
    <row r="2634" spans="1:14" x14ac:dyDescent="0.15">
      <c r="A2634" s="1">
        <v>2625</v>
      </c>
      <c r="B2634" s="3">
        <f t="shared" si="251"/>
        <v>661.79157410292555</v>
      </c>
      <c r="C2634" s="8"/>
      <c r="D2634" s="3">
        <f t="shared" si="252"/>
        <v>655.45172410004113</v>
      </c>
      <c r="F2634" s="3">
        <f t="shared" si="253"/>
        <v>-561.79157410292555</v>
      </c>
      <c r="G2634" s="3">
        <f t="shared" si="254"/>
        <v>6.3398500028844182</v>
      </c>
      <c r="H2634" s="3">
        <f t="shared" si="255"/>
        <v>655.45172410004113</v>
      </c>
      <c r="M2634" s="1">
        <f t="shared" si="256"/>
        <v>1883</v>
      </c>
      <c r="N2634" s="38">
        <f>+M2634*'Failure Data'!F$3</f>
        <v>48.644166666666663</v>
      </c>
    </row>
    <row r="2635" spans="1:14" x14ac:dyDescent="0.15">
      <c r="A2635" s="1">
        <v>2626</v>
      </c>
      <c r="B2635" s="3">
        <f t="shared" si="251"/>
        <v>662.04247758829752</v>
      </c>
      <c r="C2635" s="8"/>
      <c r="D2635" s="3">
        <f t="shared" si="252"/>
        <v>655.70262758541321</v>
      </c>
      <c r="F2635" s="3">
        <f t="shared" si="253"/>
        <v>-562.04247758829752</v>
      </c>
      <c r="G2635" s="3">
        <f t="shared" si="254"/>
        <v>6.3398500028843046</v>
      </c>
      <c r="H2635" s="3">
        <f t="shared" si="255"/>
        <v>655.70262758541321</v>
      </c>
      <c r="M2635" s="1">
        <f t="shared" si="256"/>
        <v>1884</v>
      </c>
      <c r="N2635" s="38">
        <f>+M2635*'Failure Data'!F$3</f>
        <v>48.67</v>
      </c>
    </row>
    <row r="2636" spans="1:14" x14ac:dyDescent="0.15">
      <c r="A2636" s="1">
        <v>2627</v>
      </c>
      <c r="B2636" s="3">
        <f t="shared" si="251"/>
        <v>662.29338107366959</v>
      </c>
      <c r="C2636" s="8"/>
      <c r="D2636" s="3">
        <f t="shared" si="252"/>
        <v>655.95353107078517</v>
      </c>
      <c r="F2636" s="3">
        <f t="shared" si="253"/>
        <v>-562.29338107366959</v>
      </c>
      <c r="G2636" s="3">
        <f t="shared" si="254"/>
        <v>6.3398500028844182</v>
      </c>
      <c r="H2636" s="3">
        <f t="shared" si="255"/>
        <v>655.95353107078517</v>
      </c>
      <c r="M2636" s="1">
        <f t="shared" si="256"/>
        <v>1885</v>
      </c>
      <c r="N2636" s="38">
        <f>+M2636*'Failure Data'!F$3</f>
        <v>48.695833333333333</v>
      </c>
    </row>
    <row r="2637" spans="1:14" x14ac:dyDescent="0.15">
      <c r="A2637" s="1">
        <v>2628</v>
      </c>
      <c r="B2637" s="3">
        <f t="shared" si="251"/>
        <v>662.54428455904156</v>
      </c>
      <c r="C2637" s="8"/>
      <c r="D2637" s="3">
        <f t="shared" si="252"/>
        <v>656.20443455615714</v>
      </c>
      <c r="F2637" s="3">
        <f t="shared" si="253"/>
        <v>-562.54428455904156</v>
      </c>
      <c r="G2637" s="3">
        <f t="shared" si="254"/>
        <v>6.3398500028844182</v>
      </c>
      <c r="H2637" s="3">
        <f t="shared" si="255"/>
        <v>656.20443455615714</v>
      </c>
      <c r="M2637" s="1">
        <f t="shared" si="256"/>
        <v>1886</v>
      </c>
      <c r="N2637" s="38">
        <f>+M2637*'Failure Data'!F$3</f>
        <v>48.721666666666664</v>
      </c>
    </row>
    <row r="2638" spans="1:14" x14ac:dyDescent="0.15">
      <c r="A2638" s="1">
        <v>2629</v>
      </c>
      <c r="B2638" s="3">
        <f t="shared" si="251"/>
        <v>662.79518804441352</v>
      </c>
      <c r="C2638" s="8"/>
      <c r="D2638" s="3">
        <f t="shared" si="252"/>
        <v>656.4553380415291</v>
      </c>
      <c r="F2638" s="3">
        <f t="shared" si="253"/>
        <v>-562.79518804441352</v>
      </c>
      <c r="G2638" s="3">
        <f t="shared" si="254"/>
        <v>6.3398500028844182</v>
      </c>
      <c r="H2638" s="3">
        <f t="shared" si="255"/>
        <v>656.4553380415291</v>
      </c>
      <c r="M2638" s="1">
        <f t="shared" si="256"/>
        <v>1887</v>
      </c>
      <c r="N2638" s="38">
        <f>+M2638*'Failure Data'!F$3</f>
        <v>48.747500000000002</v>
      </c>
    </row>
    <row r="2639" spans="1:14" x14ac:dyDescent="0.15">
      <c r="A2639" s="1">
        <v>2630</v>
      </c>
      <c r="B2639" s="3">
        <f t="shared" si="251"/>
        <v>663.04609152978549</v>
      </c>
      <c r="C2639" s="8"/>
      <c r="D2639" s="3">
        <f t="shared" si="252"/>
        <v>656.70624152690118</v>
      </c>
      <c r="F2639" s="3">
        <f t="shared" si="253"/>
        <v>-563.04609152978549</v>
      </c>
      <c r="G2639" s="3">
        <f t="shared" si="254"/>
        <v>6.3398500028843046</v>
      </c>
      <c r="H2639" s="3">
        <f t="shared" si="255"/>
        <v>656.70624152690118</v>
      </c>
      <c r="M2639" s="1">
        <f t="shared" si="256"/>
        <v>1888</v>
      </c>
      <c r="N2639" s="38">
        <f>+M2639*'Failure Data'!F$3</f>
        <v>48.773333333333333</v>
      </c>
    </row>
    <row r="2640" spans="1:14" x14ac:dyDescent="0.15">
      <c r="A2640" s="1">
        <v>2631</v>
      </c>
      <c r="B2640" s="3">
        <f t="shared" si="251"/>
        <v>663.29699501515756</v>
      </c>
      <c r="C2640" s="8"/>
      <c r="D2640" s="3">
        <f t="shared" si="252"/>
        <v>656.95714501227314</v>
      </c>
      <c r="F2640" s="3">
        <f t="shared" si="253"/>
        <v>-563.29699501515756</v>
      </c>
      <c r="G2640" s="3">
        <f t="shared" si="254"/>
        <v>6.3398500028844182</v>
      </c>
      <c r="H2640" s="3">
        <f t="shared" si="255"/>
        <v>656.95714501227314</v>
      </c>
      <c r="M2640" s="1">
        <f t="shared" si="256"/>
        <v>1889</v>
      </c>
      <c r="N2640" s="38">
        <f>+M2640*'Failure Data'!F$3</f>
        <v>48.799166666666665</v>
      </c>
    </row>
    <row r="2641" spans="1:14" x14ac:dyDescent="0.15">
      <c r="A2641" s="1">
        <v>2632</v>
      </c>
      <c r="B2641" s="3">
        <f t="shared" si="251"/>
        <v>663.54789850052953</v>
      </c>
      <c r="C2641" s="8"/>
      <c r="D2641" s="3">
        <f t="shared" si="252"/>
        <v>657.20804849764511</v>
      </c>
      <c r="F2641" s="3">
        <f t="shared" si="253"/>
        <v>-563.54789850052953</v>
      </c>
      <c r="G2641" s="3">
        <f t="shared" si="254"/>
        <v>6.3398500028844182</v>
      </c>
      <c r="H2641" s="3">
        <f t="shared" si="255"/>
        <v>657.20804849764511</v>
      </c>
      <c r="M2641" s="1">
        <f t="shared" si="256"/>
        <v>1890</v>
      </c>
      <c r="N2641" s="38">
        <f>+M2641*'Failure Data'!F$3</f>
        <v>48.825000000000003</v>
      </c>
    </row>
    <row r="2642" spans="1:14" x14ac:dyDescent="0.15">
      <c r="A2642" s="1">
        <v>2633</v>
      </c>
      <c r="B2642" s="3">
        <f t="shared" si="251"/>
        <v>663.79880198590149</v>
      </c>
      <c r="C2642" s="8"/>
      <c r="D2642" s="3">
        <f t="shared" si="252"/>
        <v>657.45895198301719</v>
      </c>
      <c r="F2642" s="3">
        <f t="shared" si="253"/>
        <v>-563.79880198590149</v>
      </c>
      <c r="G2642" s="3">
        <f t="shared" si="254"/>
        <v>6.3398500028843046</v>
      </c>
      <c r="H2642" s="3">
        <f t="shared" si="255"/>
        <v>657.45895198301719</v>
      </c>
      <c r="M2642" s="1">
        <f t="shared" si="256"/>
        <v>1891</v>
      </c>
      <c r="N2642" s="38">
        <f>+M2642*'Failure Data'!F$3</f>
        <v>48.850833333333334</v>
      </c>
    </row>
    <row r="2643" spans="1:14" x14ac:dyDescent="0.15">
      <c r="A2643" s="1">
        <v>2634</v>
      </c>
      <c r="B2643" s="3">
        <f t="shared" si="251"/>
        <v>664.04970547127357</v>
      </c>
      <c r="C2643" s="8"/>
      <c r="D2643" s="3">
        <f t="shared" si="252"/>
        <v>657.70985546838915</v>
      </c>
      <c r="F2643" s="3">
        <f t="shared" si="253"/>
        <v>-564.04970547127357</v>
      </c>
      <c r="G2643" s="3">
        <f t="shared" si="254"/>
        <v>6.3398500028844182</v>
      </c>
      <c r="H2643" s="3">
        <f t="shared" si="255"/>
        <v>657.70985546838915</v>
      </c>
      <c r="M2643" s="1">
        <f t="shared" si="256"/>
        <v>1892</v>
      </c>
      <c r="N2643" s="38">
        <f>+M2643*'Failure Data'!F$3</f>
        <v>48.876666666666665</v>
      </c>
    </row>
    <row r="2644" spans="1:14" x14ac:dyDescent="0.15">
      <c r="A2644" s="1">
        <v>2635</v>
      </c>
      <c r="B2644" s="3">
        <f t="shared" si="251"/>
        <v>664.30060895664553</v>
      </c>
      <c r="C2644" s="8"/>
      <c r="D2644" s="3">
        <f t="shared" si="252"/>
        <v>657.96075895376111</v>
      </c>
      <c r="F2644" s="3">
        <f t="shared" si="253"/>
        <v>-564.30060895664553</v>
      </c>
      <c r="G2644" s="3">
        <f t="shared" si="254"/>
        <v>6.3398500028844182</v>
      </c>
      <c r="H2644" s="3">
        <f t="shared" si="255"/>
        <v>657.96075895376111</v>
      </c>
      <c r="M2644" s="1">
        <f t="shared" si="256"/>
        <v>1893</v>
      </c>
      <c r="N2644" s="38">
        <f>+M2644*'Failure Data'!F$3</f>
        <v>48.902499999999996</v>
      </c>
    </row>
    <row r="2645" spans="1:14" x14ac:dyDescent="0.15">
      <c r="A2645" s="1">
        <v>2636</v>
      </c>
      <c r="B2645" s="3">
        <f t="shared" si="251"/>
        <v>664.5515124420175</v>
      </c>
      <c r="C2645" s="8"/>
      <c r="D2645" s="3">
        <f t="shared" si="252"/>
        <v>658.21166243913308</v>
      </c>
      <c r="F2645" s="3">
        <f t="shared" si="253"/>
        <v>-564.5515124420175</v>
      </c>
      <c r="G2645" s="3">
        <f t="shared" si="254"/>
        <v>6.3398500028844182</v>
      </c>
      <c r="H2645" s="3">
        <f t="shared" si="255"/>
        <v>658.21166243913308</v>
      </c>
      <c r="M2645" s="1">
        <f t="shared" si="256"/>
        <v>1894</v>
      </c>
      <c r="N2645" s="38">
        <f>+M2645*'Failure Data'!F$3</f>
        <v>48.928333333333335</v>
      </c>
    </row>
    <row r="2646" spans="1:14" x14ac:dyDescent="0.15">
      <c r="A2646" s="1">
        <v>2637</v>
      </c>
      <c r="B2646" s="3">
        <f t="shared" si="251"/>
        <v>664.80241592738946</v>
      </c>
      <c r="C2646" s="8"/>
      <c r="D2646" s="3">
        <f t="shared" si="252"/>
        <v>658.46256592450516</v>
      </c>
      <c r="F2646" s="3">
        <f t="shared" si="253"/>
        <v>-564.80241592738946</v>
      </c>
      <c r="G2646" s="3">
        <f t="shared" si="254"/>
        <v>6.3398500028843046</v>
      </c>
      <c r="H2646" s="3">
        <f t="shared" si="255"/>
        <v>658.46256592450516</v>
      </c>
      <c r="M2646" s="1">
        <f t="shared" si="256"/>
        <v>1895</v>
      </c>
      <c r="N2646" s="38">
        <f>+M2646*'Failure Data'!F$3</f>
        <v>48.954166666666666</v>
      </c>
    </row>
    <row r="2647" spans="1:14" x14ac:dyDescent="0.15">
      <c r="A2647" s="1">
        <v>2638</v>
      </c>
      <c r="B2647" s="3">
        <f t="shared" si="251"/>
        <v>665.05331941276154</v>
      </c>
      <c r="C2647" s="8"/>
      <c r="D2647" s="3">
        <f t="shared" si="252"/>
        <v>658.71346940987712</v>
      </c>
      <c r="F2647" s="3">
        <f t="shared" si="253"/>
        <v>-565.05331941276154</v>
      </c>
      <c r="G2647" s="3">
        <f t="shared" si="254"/>
        <v>6.3398500028844182</v>
      </c>
      <c r="H2647" s="3">
        <f t="shared" si="255"/>
        <v>658.71346940987712</v>
      </c>
      <c r="M2647" s="1">
        <f t="shared" si="256"/>
        <v>1896</v>
      </c>
      <c r="N2647" s="38">
        <f>+M2647*'Failure Data'!F$3</f>
        <v>48.98</v>
      </c>
    </row>
    <row r="2648" spans="1:14" x14ac:dyDescent="0.15">
      <c r="A2648" s="1">
        <v>2639</v>
      </c>
      <c r="B2648" s="3">
        <f t="shared" si="251"/>
        <v>665.3042228981335</v>
      </c>
      <c r="C2648" s="8"/>
      <c r="D2648" s="3">
        <f t="shared" si="252"/>
        <v>658.96437289524908</v>
      </c>
      <c r="F2648" s="3">
        <f t="shared" si="253"/>
        <v>-565.3042228981335</v>
      </c>
      <c r="G2648" s="3">
        <f t="shared" si="254"/>
        <v>6.3398500028844182</v>
      </c>
      <c r="H2648" s="3">
        <f t="shared" si="255"/>
        <v>658.96437289524908</v>
      </c>
      <c r="M2648" s="1">
        <f t="shared" si="256"/>
        <v>1897</v>
      </c>
      <c r="N2648" s="38">
        <f>+M2648*'Failure Data'!F$3</f>
        <v>49.005833333333335</v>
      </c>
    </row>
    <row r="2649" spans="1:14" x14ac:dyDescent="0.15">
      <c r="A2649" s="1">
        <v>2640</v>
      </c>
      <c r="B2649" s="3">
        <f t="shared" si="251"/>
        <v>665.55512638350547</v>
      </c>
      <c r="C2649" s="8"/>
      <c r="D2649" s="3">
        <f t="shared" si="252"/>
        <v>659.21527638062105</v>
      </c>
      <c r="F2649" s="3">
        <f t="shared" si="253"/>
        <v>-565.55512638350547</v>
      </c>
      <c r="G2649" s="3">
        <f t="shared" si="254"/>
        <v>6.3398500028844182</v>
      </c>
      <c r="H2649" s="3">
        <f t="shared" si="255"/>
        <v>659.21527638062105</v>
      </c>
      <c r="M2649" s="1">
        <f t="shared" si="256"/>
        <v>1898</v>
      </c>
      <c r="N2649" s="38">
        <f>+M2649*'Failure Data'!F$3</f>
        <v>49.031666666666666</v>
      </c>
    </row>
    <row r="2650" spans="1:14" x14ac:dyDescent="0.15">
      <c r="A2650" s="1">
        <v>2641</v>
      </c>
      <c r="B2650" s="3">
        <f t="shared" si="251"/>
        <v>665.80602986887743</v>
      </c>
      <c r="C2650" s="8"/>
      <c r="D2650" s="3">
        <f t="shared" si="252"/>
        <v>659.46617986599313</v>
      </c>
      <c r="F2650" s="3">
        <f t="shared" si="253"/>
        <v>-565.80602986887743</v>
      </c>
      <c r="G2650" s="3">
        <f t="shared" si="254"/>
        <v>6.3398500028843046</v>
      </c>
      <c r="H2650" s="3">
        <f t="shared" si="255"/>
        <v>659.46617986599313</v>
      </c>
      <c r="M2650" s="1">
        <f t="shared" si="256"/>
        <v>1899</v>
      </c>
      <c r="N2650" s="38">
        <f>+M2650*'Failure Data'!F$3</f>
        <v>49.057499999999997</v>
      </c>
    </row>
    <row r="2651" spans="1:14" x14ac:dyDescent="0.15">
      <c r="A2651" s="1">
        <v>2642</v>
      </c>
      <c r="B2651" s="3">
        <f t="shared" si="251"/>
        <v>666.05693335424951</v>
      </c>
      <c r="C2651" s="8"/>
      <c r="D2651" s="3">
        <f t="shared" si="252"/>
        <v>659.71708335136509</v>
      </c>
      <c r="F2651" s="3">
        <f t="shared" si="253"/>
        <v>-566.05693335424951</v>
      </c>
      <c r="G2651" s="3">
        <f t="shared" si="254"/>
        <v>6.3398500028844182</v>
      </c>
      <c r="H2651" s="3">
        <f t="shared" si="255"/>
        <v>659.71708335136509</v>
      </c>
      <c r="M2651" s="1">
        <f t="shared" si="256"/>
        <v>1900</v>
      </c>
      <c r="N2651" s="38">
        <f>+M2651*'Failure Data'!F$3</f>
        <v>49.083333333333336</v>
      </c>
    </row>
    <row r="2652" spans="1:14" x14ac:dyDescent="0.15">
      <c r="A2652" s="1">
        <v>2643</v>
      </c>
      <c r="B2652" s="3">
        <f t="shared" si="251"/>
        <v>666.30783683962147</v>
      </c>
      <c r="C2652" s="8"/>
      <c r="D2652" s="3">
        <f t="shared" si="252"/>
        <v>659.96798683673705</v>
      </c>
      <c r="F2652" s="3">
        <f t="shared" si="253"/>
        <v>-566.30783683962147</v>
      </c>
      <c r="G2652" s="3">
        <f t="shared" si="254"/>
        <v>6.3398500028844182</v>
      </c>
      <c r="H2652" s="3">
        <f t="shared" si="255"/>
        <v>659.96798683673705</v>
      </c>
      <c r="M2652" s="1">
        <f t="shared" si="256"/>
        <v>1901</v>
      </c>
      <c r="N2652" s="38">
        <f>+M2652*'Failure Data'!F$3</f>
        <v>49.109166666666667</v>
      </c>
    </row>
    <row r="2653" spans="1:14" x14ac:dyDescent="0.15">
      <c r="A2653" s="1">
        <v>2644</v>
      </c>
      <c r="B2653" s="3">
        <f t="shared" si="251"/>
        <v>666.55874032499344</v>
      </c>
      <c r="C2653" s="8"/>
      <c r="D2653" s="3">
        <f t="shared" si="252"/>
        <v>660.21889032210902</v>
      </c>
      <c r="F2653" s="3">
        <f t="shared" si="253"/>
        <v>-566.55874032499344</v>
      </c>
      <c r="G2653" s="3">
        <f t="shared" si="254"/>
        <v>6.3398500028844182</v>
      </c>
      <c r="H2653" s="3">
        <f t="shared" si="255"/>
        <v>660.21889032210902</v>
      </c>
      <c r="M2653" s="1">
        <f t="shared" si="256"/>
        <v>1902</v>
      </c>
      <c r="N2653" s="38">
        <f>+M2653*'Failure Data'!F$3</f>
        <v>49.134999999999998</v>
      </c>
    </row>
    <row r="2654" spans="1:14" x14ac:dyDescent="0.15">
      <c r="A2654" s="1">
        <v>2645</v>
      </c>
      <c r="B2654" s="3">
        <f t="shared" si="251"/>
        <v>666.8096438103654</v>
      </c>
      <c r="C2654" s="8"/>
      <c r="D2654" s="3">
        <f t="shared" si="252"/>
        <v>660.4697938074811</v>
      </c>
      <c r="F2654" s="3">
        <f t="shared" si="253"/>
        <v>-566.8096438103654</v>
      </c>
      <c r="G2654" s="3">
        <f t="shared" si="254"/>
        <v>6.3398500028843046</v>
      </c>
      <c r="H2654" s="3">
        <f t="shared" si="255"/>
        <v>660.4697938074811</v>
      </c>
      <c r="M2654" s="1">
        <f t="shared" si="256"/>
        <v>1903</v>
      </c>
      <c r="N2654" s="38">
        <f>+M2654*'Failure Data'!F$3</f>
        <v>49.160833333333336</v>
      </c>
    </row>
    <row r="2655" spans="1:14" x14ac:dyDescent="0.15">
      <c r="A2655" s="1">
        <v>2646</v>
      </c>
      <c r="B2655" s="3">
        <f t="shared" ref="B2655:B2718" si="257">+(B$4*A2655)+B$5</f>
        <v>667.06054729573748</v>
      </c>
      <c r="C2655" s="8"/>
      <c r="D2655" s="3">
        <f t="shared" ref="D2655:D2718" si="258">+(D$4*A2655)+D$5</f>
        <v>660.72069729285306</v>
      </c>
      <c r="F2655" s="3">
        <f t="shared" ref="F2655:F2718" si="259">+xmax-B2655</f>
        <v>-567.06054729573748</v>
      </c>
      <c r="G2655" s="3">
        <f t="shared" ref="G2655:G2718" si="260">+B2655-D2655</f>
        <v>6.3398500028844182</v>
      </c>
      <c r="H2655" s="3">
        <f t="shared" ref="H2655:H2718" si="261">D2655</f>
        <v>660.72069729285306</v>
      </c>
      <c r="M2655" s="1">
        <f t="shared" si="256"/>
        <v>1904</v>
      </c>
      <c r="N2655" s="38">
        <f>+M2655*'Failure Data'!F$3</f>
        <v>49.186666666666667</v>
      </c>
    </row>
    <row r="2656" spans="1:14" x14ac:dyDescent="0.15">
      <c r="A2656" s="1">
        <v>2647</v>
      </c>
      <c r="B2656" s="3">
        <f t="shared" si="257"/>
        <v>667.31145078110944</v>
      </c>
      <c r="C2656" s="8"/>
      <c r="D2656" s="3">
        <f t="shared" si="258"/>
        <v>660.97160077822502</v>
      </c>
      <c r="F2656" s="3">
        <f t="shared" si="259"/>
        <v>-567.31145078110944</v>
      </c>
      <c r="G2656" s="3">
        <f t="shared" si="260"/>
        <v>6.3398500028844182</v>
      </c>
      <c r="H2656" s="3">
        <f t="shared" si="261"/>
        <v>660.97160077822502</v>
      </c>
      <c r="M2656" s="1">
        <f t="shared" si="256"/>
        <v>1905</v>
      </c>
      <c r="N2656" s="38">
        <f>+M2656*'Failure Data'!F$3</f>
        <v>49.212499999999999</v>
      </c>
    </row>
    <row r="2657" spans="1:14" x14ac:dyDescent="0.15">
      <c r="A2657" s="1">
        <v>2648</v>
      </c>
      <c r="B2657" s="3">
        <f t="shared" si="257"/>
        <v>667.56235426648141</v>
      </c>
      <c r="C2657" s="8"/>
      <c r="D2657" s="3">
        <f t="shared" si="258"/>
        <v>661.22250426359699</v>
      </c>
      <c r="F2657" s="3">
        <f t="shared" si="259"/>
        <v>-567.56235426648141</v>
      </c>
      <c r="G2657" s="3">
        <f t="shared" si="260"/>
        <v>6.3398500028844182</v>
      </c>
      <c r="H2657" s="3">
        <f t="shared" si="261"/>
        <v>661.22250426359699</v>
      </c>
      <c r="M2657" s="1">
        <f t="shared" si="256"/>
        <v>1906</v>
      </c>
      <c r="N2657" s="38">
        <f>+M2657*'Failure Data'!F$3</f>
        <v>49.23833333333333</v>
      </c>
    </row>
    <row r="2658" spans="1:14" x14ac:dyDescent="0.15">
      <c r="A2658" s="1">
        <v>2649</v>
      </c>
      <c r="B2658" s="3">
        <f t="shared" si="257"/>
        <v>667.81325775185337</v>
      </c>
      <c r="C2658" s="8"/>
      <c r="D2658" s="3">
        <f t="shared" si="258"/>
        <v>661.47340774896907</v>
      </c>
      <c r="F2658" s="3">
        <f t="shared" si="259"/>
        <v>-567.81325775185337</v>
      </c>
      <c r="G2658" s="3">
        <f t="shared" si="260"/>
        <v>6.3398500028843046</v>
      </c>
      <c r="H2658" s="3">
        <f t="shared" si="261"/>
        <v>661.47340774896907</v>
      </c>
      <c r="M2658" s="1">
        <f t="shared" si="256"/>
        <v>1907</v>
      </c>
      <c r="N2658" s="38">
        <f>+M2658*'Failure Data'!F$3</f>
        <v>49.264166666666668</v>
      </c>
    </row>
    <row r="2659" spans="1:14" x14ac:dyDescent="0.15">
      <c r="A2659" s="1">
        <v>2650</v>
      </c>
      <c r="B2659" s="3">
        <f t="shared" si="257"/>
        <v>668.06416123722545</v>
      </c>
      <c r="C2659" s="8"/>
      <c r="D2659" s="3">
        <f t="shared" si="258"/>
        <v>661.72431123434103</v>
      </c>
      <c r="F2659" s="3">
        <f t="shared" si="259"/>
        <v>-568.06416123722545</v>
      </c>
      <c r="G2659" s="3">
        <f t="shared" si="260"/>
        <v>6.3398500028844182</v>
      </c>
      <c r="H2659" s="3">
        <f t="shared" si="261"/>
        <v>661.72431123434103</v>
      </c>
      <c r="M2659" s="1">
        <f t="shared" si="256"/>
        <v>1908</v>
      </c>
      <c r="N2659" s="38">
        <f>+M2659*'Failure Data'!F$3</f>
        <v>49.29</v>
      </c>
    </row>
    <row r="2660" spans="1:14" x14ac:dyDescent="0.15">
      <c r="A2660" s="1">
        <v>2651</v>
      </c>
      <c r="B2660" s="3">
        <f t="shared" si="257"/>
        <v>668.31506472259741</v>
      </c>
      <c r="C2660" s="8"/>
      <c r="D2660" s="3">
        <f t="shared" si="258"/>
        <v>661.97521471971299</v>
      </c>
      <c r="F2660" s="3">
        <f t="shared" si="259"/>
        <v>-568.31506472259741</v>
      </c>
      <c r="G2660" s="3">
        <f t="shared" si="260"/>
        <v>6.3398500028844182</v>
      </c>
      <c r="H2660" s="3">
        <f t="shared" si="261"/>
        <v>661.97521471971299</v>
      </c>
      <c r="M2660" s="1">
        <f t="shared" si="256"/>
        <v>1909</v>
      </c>
      <c r="N2660" s="38">
        <f>+M2660*'Failure Data'!F$3</f>
        <v>49.31583333333333</v>
      </c>
    </row>
    <row r="2661" spans="1:14" x14ac:dyDescent="0.15">
      <c r="A2661" s="1">
        <v>2652</v>
      </c>
      <c r="B2661" s="3">
        <f t="shared" si="257"/>
        <v>668.56596820796938</v>
      </c>
      <c r="C2661" s="8"/>
      <c r="D2661" s="3">
        <f t="shared" si="258"/>
        <v>662.22611820508496</v>
      </c>
      <c r="F2661" s="3">
        <f t="shared" si="259"/>
        <v>-568.56596820796938</v>
      </c>
      <c r="G2661" s="3">
        <f t="shared" si="260"/>
        <v>6.3398500028844182</v>
      </c>
      <c r="H2661" s="3">
        <f t="shared" si="261"/>
        <v>662.22611820508496</v>
      </c>
      <c r="M2661" s="1">
        <f t="shared" si="256"/>
        <v>1910</v>
      </c>
      <c r="N2661" s="38">
        <f>+M2661*'Failure Data'!F$3</f>
        <v>49.341666666666669</v>
      </c>
    </row>
    <row r="2662" spans="1:14" x14ac:dyDescent="0.15">
      <c r="A2662" s="1">
        <v>2653</v>
      </c>
      <c r="B2662" s="3">
        <f t="shared" si="257"/>
        <v>668.81687169334134</v>
      </c>
      <c r="C2662" s="8"/>
      <c r="D2662" s="3">
        <f t="shared" si="258"/>
        <v>662.47702169045704</v>
      </c>
      <c r="F2662" s="3">
        <f t="shared" si="259"/>
        <v>-568.81687169334134</v>
      </c>
      <c r="G2662" s="3">
        <f t="shared" si="260"/>
        <v>6.3398500028843046</v>
      </c>
      <c r="H2662" s="3">
        <f t="shared" si="261"/>
        <v>662.47702169045704</v>
      </c>
      <c r="M2662" s="1">
        <f t="shared" si="256"/>
        <v>1911</v>
      </c>
      <c r="N2662" s="38">
        <f>+M2662*'Failure Data'!F$3</f>
        <v>49.3675</v>
      </c>
    </row>
    <row r="2663" spans="1:14" x14ac:dyDescent="0.15">
      <c r="A2663" s="1">
        <v>2654</v>
      </c>
      <c r="B2663" s="3">
        <f t="shared" si="257"/>
        <v>669.06777517871342</v>
      </c>
      <c r="C2663" s="8"/>
      <c r="D2663" s="3">
        <f t="shared" si="258"/>
        <v>662.727925175829</v>
      </c>
      <c r="F2663" s="3">
        <f t="shared" si="259"/>
        <v>-569.06777517871342</v>
      </c>
      <c r="G2663" s="3">
        <f t="shared" si="260"/>
        <v>6.3398500028844182</v>
      </c>
      <c r="H2663" s="3">
        <f t="shared" si="261"/>
        <v>662.727925175829</v>
      </c>
      <c r="M2663" s="1">
        <f t="shared" si="256"/>
        <v>1912</v>
      </c>
      <c r="N2663" s="38">
        <f>+M2663*'Failure Data'!F$3</f>
        <v>49.393333333333331</v>
      </c>
    </row>
    <row r="2664" spans="1:14" x14ac:dyDescent="0.15">
      <c r="A2664" s="1">
        <v>2655</v>
      </c>
      <c r="B2664" s="3">
        <f t="shared" si="257"/>
        <v>669.31867866408538</v>
      </c>
      <c r="C2664" s="8"/>
      <c r="D2664" s="3">
        <f t="shared" si="258"/>
        <v>662.97882866120096</v>
      </c>
      <c r="F2664" s="3">
        <f t="shared" si="259"/>
        <v>-569.31867866408538</v>
      </c>
      <c r="G2664" s="3">
        <f t="shared" si="260"/>
        <v>6.3398500028844182</v>
      </c>
      <c r="H2664" s="3">
        <f t="shared" si="261"/>
        <v>662.97882866120096</v>
      </c>
      <c r="M2664" s="1">
        <f t="shared" si="256"/>
        <v>1913</v>
      </c>
      <c r="N2664" s="38">
        <f>+M2664*'Failure Data'!F$3</f>
        <v>49.419166666666669</v>
      </c>
    </row>
    <row r="2665" spans="1:14" x14ac:dyDescent="0.15">
      <c r="A2665" s="1">
        <v>2656</v>
      </c>
      <c r="B2665" s="3">
        <f t="shared" si="257"/>
        <v>669.56958214945735</v>
      </c>
      <c r="C2665" s="8"/>
      <c r="D2665" s="3">
        <f t="shared" si="258"/>
        <v>663.22973214657304</v>
      </c>
      <c r="F2665" s="3">
        <f t="shared" si="259"/>
        <v>-569.56958214945735</v>
      </c>
      <c r="G2665" s="3">
        <f t="shared" si="260"/>
        <v>6.3398500028843046</v>
      </c>
      <c r="H2665" s="3">
        <f t="shared" si="261"/>
        <v>663.22973214657304</v>
      </c>
      <c r="M2665" s="1">
        <f t="shared" si="256"/>
        <v>1914</v>
      </c>
      <c r="N2665" s="38">
        <f>+M2665*'Failure Data'!F$3</f>
        <v>49.445</v>
      </c>
    </row>
    <row r="2666" spans="1:14" x14ac:dyDescent="0.15">
      <c r="A2666" s="1">
        <v>2657</v>
      </c>
      <c r="B2666" s="3">
        <f t="shared" si="257"/>
        <v>669.82048563482931</v>
      </c>
      <c r="C2666" s="8"/>
      <c r="D2666" s="3">
        <f t="shared" si="258"/>
        <v>663.48063563194501</v>
      </c>
      <c r="F2666" s="3">
        <f t="shared" si="259"/>
        <v>-569.82048563482931</v>
      </c>
      <c r="G2666" s="3">
        <f t="shared" si="260"/>
        <v>6.3398500028843046</v>
      </c>
      <c r="H2666" s="3">
        <f t="shared" si="261"/>
        <v>663.48063563194501</v>
      </c>
      <c r="M2666" s="1">
        <f t="shared" si="256"/>
        <v>1915</v>
      </c>
      <c r="N2666" s="38">
        <f>+M2666*'Failure Data'!F$3</f>
        <v>49.470833333333331</v>
      </c>
    </row>
    <row r="2667" spans="1:14" x14ac:dyDescent="0.15">
      <c r="A2667" s="1">
        <v>2658</v>
      </c>
      <c r="B2667" s="3">
        <f t="shared" si="257"/>
        <v>670.07138912020139</v>
      </c>
      <c r="C2667" s="8"/>
      <c r="D2667" s="3">
        <f t="shared" si="258"/>
        <v>663.73153911731697</v>
      </c>
      <c r="F2667" s="3">
        <f t="shared" si="259"/>
        <v>-570.07138912020139</v>
      </c>
      <c r="G2667" s="3">
        <f t="shared" si="260"/>
        <v>6.3398500028844182</v>
      </c>
      <c r="H2667" s="3">
        <f t="shared" si="261"/>
        <v>663.73153911731697</v>
      </c>
      <c r="M2667" s="1">
        <f t="shared" si="256"/>
        <v>1916</v>
      </c>
      <c r="N2667" s="38">
        <f>+M2667*'Failure Data'!F$3</f>
        <v>49.49666666666667</v>
      </c>
    </row>
    <row r="2668" spans="1:14" x14ac:dyDescent="0.15">
      <c r="A2668" s="1">
        <v>2659</v>
      </c>
      <c r="B2668" s="3">
        <f t="shared" si="257"/>
        <v>670.32229260557335</v>
      </c>
      <c r="C2668" s="8"/>
      <c r="D2668" s="3">
        <f t="shared" si="258"/>
        <v>663.98244260268893</v>
      </c>
      <c r="F2668" s="3">
        <f t="shared" si="259"/>
        <v>-570.32229260557335</v>
      </c>
      <c r="G2668" s="3">
        <f t="shared" si="260"/>
        <v>6.3398500028844182</v>
      </c>
      <c r="H2668" s="3">
        <f t="shared" si="261"/>
        <v>663.98244260268893</v>
      </c>
      <c r="M2668" s="1">
        <f t="shared" si="256"/>
        <v>1917</v>
      </c>
      <c r="N2668" s="38">
        <f>+M2668*'Failure Data'!F$3</f>
        <v>49.522500000000001</v>
      </c>
    </row>
    <row r="2669" spans="1:14" x14ac:dyDescent="0.15">
      <c r="A2669" s="1">
        <v>2660</v>
      </c>
      <c r="B2669" s="3">
        <f t="shared" si="257"/>
        <v>670.57319609094532</v>
      </c>
      <c r="C2669" s="8"/>
      <c r="D2669" s="3">
        <f t="shared" si="258"/>
        <v>664.23334608806101</v>
      </c>
      <c r="F2669" s="3">
        <f t="shared" si="259"/>
        <v>-570.57319609094532</v>
      </c>
      <c r="G2669" s="3">
        <f t="shared" si="260"/>
        <v>6.3398500028843046</v>
      </c>
      <c r="H2669" s="3">
        <f t="shared" si="261"/>
        <v>664.23334608806101</v>
      </c>
      <c r="M2669" s="1">
        <f t="shared" si="256"/>
        <v>1918</v>
      </c>
      <c r="N2669" s="38">
        <f>+M2669*'Failure Data'!F$3</f>
        <v>49.548333333333332</v>
      </c>
    </row>
    <row r="2670" spans="1:14" x14ac:dyDescent="0.15">
      <c r="A2670" s="1">
        <v>2661</v>
      </c>
      <c r="B2670" s="3">
        <f t="shared" si="257"/>
        <v>670.82409957631739</v>
      </c>
      <c r="C2670" s="8"/>
      <c r="D2670" s="3">
        <f t="shared" si="258"/>
        <v>664.48424957343298</v>
      </c>
      <c r="F2670" s="3">
        <f t="shared" si="259"/>
        <v>-570.82409957631739</v>
      </c>
      <c r="G2670" s="3">
        <f t="shared" si="260"/>
        <v>6.3398500028844182</v>
      </c>
      <c r="H2670" s="3">
        <f t="shared" si="261"/>
        <v>664.48424957343298</v>
      </c>
      <c r="M2670" s="1">
        <f t="shared" si="256"/>
        <v>1919</v>
      </c>
      <c r="N2670" s="38">
        <f>+M2670*'Failure Data'!F$3</f>
        <v>49.574166666666663</v>
      </c>
    </row>
    <row r="2671" spans="1:14" x14ac:dyDescent="0.15">
      <c r="A2671" s="1">
        <v>2662</v>
      </c>
      <c r="B2671" s="3">
        <f t="shared" si="257"/>
        <v>671.07500306168936</v>
      </c>
      <c r="C2671" s="8"/>
      <c r="D2671" s="3">
        <f t="shared" si="258"/>
        <v>664.73515305880494</v>
      </c>
      <c r="F2671" s="3">
        <f t="shared" si="259"/>
        <v>-571.07500306168936</v>
      </c>
      <c r="G2671" s="3">
        <f t="shared" si="260"/>
        <v>6.3398500028844182</v>
      </c>
      <c r="H2671" s="3">
        <f t="shared" si="261"/>
        <v>664.73515305880494</v>
      </c>
      <c r="M2671" s="1">
        <f t="shared" si="256"/>
        <v>1920</v>
      </c>
      <c r="N2671" s="38">
        <f>+M2671*'Failure Data'!F$3</f>
        <v>49.6</v>
      </c>
    </row>
    <row r="2672" spans="1:14" x14ac:dyDescent="0.15">
      <c r="A2672" s="1">
        <v>2663</v>
      </c>
      <c r="B2672" s="3">
        <f t="shared" si="257"/>
        <v>671.32590654706132</v>
      </c>
      <c r="C2672" s="8"/>
      <c r="D2672" s="3">
        <f t="shared" si="258"/>
        <v>664.9860565441769</v>
      </c>
      <c r="F2672" s="3">
        <f t="shared" si="259"/>
        <v>-571.32590654706132</v>
      </c>
      <c r="G2672" s="3">
        <f t="shared" si="260"/>
        <v>6.3398500028844182</v>
      </c>
      <c r="H2672" s="3">
        <f t="shared" si="261"/>
        <v>664.9860565441769</v>
      </c>
      <c r="M2672" s="1">
        <f t="shared" si="256"/>
        <v>1921</v>
      </c>
      <c r="N2672" s="38">
        <f>+M2672*'Failure Data'!F$3</f>
        <v>49.625833333333333</v>
      </c>
    </row>
    <row r="2673" spans="1:14" x14ac:dyDescent="0.15">
      <c r="A2673" s="1">
        <v>2664</v>
      </c>
      <c r="B2673" s="3">
        <f t="shared" si="257"/>
        <v>671.57681003243329</v>
      </c>
      <c r="C2673" s="8"/>
      <c r="D2673" s="3">
        <f t="shared" si="258"/>
        <v>665.23696002954898</v>
      </c>
      <c r="F2673" s="3">
        <f t="shared" si="259"/>
        <v>-571.57681003243329</v>
      </c>
      <c r="G2673" s="3">
        <f t="shared" si="260"/>
        <v>6.3398500028843046</v>
      </c>
      <c r="H2673" s="3">
        <f t="shared" si="261"/>
        <v>665.23696002954898</v>
      </c>
      <c r="M2673" s="1">
        <f t="shared" si="256"/>
        <v>1922</v>
      </c>
      <c r="N2673" s="38">
        <f>+M2673*'Failure Data'!F$3</f>
        <v>49.651666666666664</v>
      </c>
    </row>
    <row r="2674" spans="1:14" x14ac:dyDescent="0.15">
      <c r="A2674" s="1">
        <v>2665</v>
      </c>
      <c r="B2674" s="3">
        <f t="shared" si="257"/>
        <v>671.82771351780536</v>
      </c>
      <c r="C2674" s="8"/>
      <c r="D2674" s="3">
        <f t="shared" si="258"/>
        <v>665.48786351492095</v>
      </c>
      <c r="F2674" s="3">
        <f t="shared" si="259"/>
        <v>-571.82771351780536</v>
      </c>
      <c r="G2674" s="3">
        <f t="shared" si="260"/>
        <v>6.3398500028844182</v>
      </c>
      <c r="H2674" s="3">
        <f t="shared" si="261"/>
        <v>665.48786351492095</v>
      </c>
      <c r="M2674" s="1">
        <f t="shared" si="256"/>
        <v>1923</v>
      </c>
      <c r="N2674" s="38">
        <f>+M2674*'Failure Data'!F$3</f>
        <v>49.677500000000002</v>
      </c>
    </row>
    <row r="2675" spans="1:14" x14ac:dyDescent="0.15">
      <c r="A2675" s="1">
        <v>2666</v>
      </c>
      <c r="B2675" s="3">
        <f t="shared" si="257"/>
        <v>672.07861700317733</v>
      </c>
      <c r="C2675" s="8"/>
      <c r="D2675" s="3">
        <f t="shared" si="258"/>
        <v>665.73876700029291</v>
      </c>
      <c r="F2675" s="3">
        <f t="shared" si="259"/>
        <v>-572.07861700317733</v>
      </c>
      <c r="G2675" s="3">
        <f t="shared" si="260"/>
        <v>6.3398500028844182</v>
      </c>
      <c r="H2675" s="3">
        <f t="shared" si="261"/>
        <v>665.73876700029291</v>
      </c>
      <c r="M2675" s="1">
        <f t="shared" si="256"/>
        <v>1924</v>
      </c>
      <c r="N2675" s="38">
        <f>+M2675*'Failure Data'!F$3</f>
        <v>49.703333333333333</v>
      </c>
    </row>
    <row r="2676" spans="1:14" x14ac:dyDescent="0.15">
      <c r="A2676" s="1">
        <v>2667</v>
      </c>
      <c r="B2676" s="3">
        <f t="shared" si="257"/>
        <v>672.32952048854929</v>
      </c>
      <c r="C2676" s="8"/>
      <c r="D2676" s="3">
        <f t="shared" si="258"/>
        <v>665.98967048566487</v>
      </c>
      <c r="F2676" s="3">
        <f t="shared" si="259"/>
        <v>-572.32952048854929</v>
      </c>
      <c r="G2676" s="3">
        <f t="shared" si="260"/>
        <v>6.3398500028844182</v>
      </c>
      <c r="H2676" s="3">
        <f t="shared" si="261"/>
        <v>665.98967048566487</v>
      </c>
      <c r="M2676" s="1">
        <f t="shared" si="256"/>
        <v>1925</v>
      </c>
      <c r="N2676" s="38">
        <f>+M2676*'Failure Data'!F$3</f>
        <v>49.729166666666664</v>
      </c>
    </row>
    <row r="2677" spans="1:14" x14ac:dyDescent="0.15">
      <c r="A2677" s="1">
        <v>2668</v>
      </c>
      <c r="B2677" s="3">
        <f t="shared" si="257"/>
        <v>672.58042397392126</v>
      </c>
      <c r="C2677" s="8"/>
      <c r="D2677" s="3">
        <f t="shared" si="258"/>
        <v>666.24057397103695</v>
      </c>
      <c r="F2677" s="3">
        <f t="shared" si="259"/>
        <v>-572.58042397392126</v>
      </c>
      <c r="G2677" s="3">
        <f t="shared" si="260"/>
        <v>6.3398500028843046</v>
      </c>
      <c r="H2677" s="3">
        <f t="shared" si="261"/>
        <v>666.24057397103695</v>
      </c>
      <c r="M2677" s="1">
        <f t="shared" si="256"/>
        <v>1926</v>
      </c>
      <c r="N2677" s="38">
        <f>+M2677*'Failure Data'!F$3</f>
        <v>49.755000000000003</v>
      </c>
    </row>
    <row r="2678" spans="1:14" x14ac:dyDescent="0.15">
      <c r="A2678" s="1">
        <v>2669</v>
      </c>
      <c r="B2678" s="3">
        <f t="shared" si="257"/>
        <v>672.83132745929333</v>
      </c>
      <c r="C2678" s="8"/>
      <c r="D2678" s="3">
        <f t="shared" si="258"/>
        <v>666.49147745640892</v>
      </c>
      <c r="F2678" s="3">
        <f t="shared" si="259"/>
        <v>-572.83132745929333</v>
      </c>
      <c r="G2678" s="3">
        <f t="shared" si="260"/>
        <v>6.3398500028844182</v>
      </c>
      <c r="H2678" s="3">
        <f t="shared" si="261"/>
        <v>666.49147745640892</v>
      </c>
      <c r="M2678" s="1">
        <f t="shared" si="256"/>
        <v>1927</v>
      </c>
      <c r="N2678" s="38">
        <f>+M2678*'Failure Data'!F$3</f>
        <v>49.780833333333334</v>
      </c>
    </row>
    <row r="2679" spans="1:14" x14ac:dyDescent="0.15">
      <c r="A2679" s="1">
        <v>2670</v>
      </c>
      <c r="B2679" s="3">
        <f t="shared" si="257"/>
        <v>673.0822309446653</v>
      </c>
      <c r="C2679" s="8"/>
      <c r="D2679" s="3">
        <f t="shared" si="258"/>
        <v>666.74238094178088</v>
      </c>
      <c r="F2679" s="3">
        <f t="shared" si="259"/>
        <v>-573.0822309446653</v>
      </c>
      <c r="G2679" s="3">
        <f t="shared" si="260"/>
        <v>6.3398500028844182</v>
      </c>
      <c r="H2679" s="3">
        <f t="shared" si="261"/>
        <v>666.74238094178088</v>
      </c>
      <c r="M2679" s="1">
        <f t="shared" si="256"/>
        <v>1928</v>
      </c>
      <c r="N2679" s="38">
        <f>+M2679*'Failure Data'!F$3</f>
        <v>49.806666666666665</v>
      </c>
    </row>
    <row r="2680" spans="1:14" x14ac:dyDescent="0.15">
      <c r="A2680" s="1">
        <v>2671</v>
      </c>
      <c r="B2680" s="3">
        <f t="shared" si="257"/>
        <v>673.33313443003726</v>
      </c>
      <c r="C2680" s="8"/>
      <c r="D2680" s="3">
        <f t="shared" si="258"/>
        <v>666.99328442715284</v>
      </c>
      <c r="F2680" s="3">
        <f t="shared" si="259"/>
        <v>-573.33313443003726</v>
      </c>
      <c r="G2680" s="3">
        <f t="shared" si="260"/>
        <v>6.3398500028844182</v>
      </c>
      <c r="H2680" s="3">
        <f t="shared" si="261"/>
        <v>666.99328442715284</v>
      </c>
      <c r="M2680" s="1">
        <f t="shared" si="256"/>
        <v>1929</v>
      </c>
      <c r="N2680" s="38">
        <f>+M2680*'Failure Data'!F$3</f>
        <v>49.832500000000003</v>
      </c>
    </row>
    <row r="2681" spans="1:14" x14ac:dyDescent="0.15">
      <c r="A2681" s="1">
        <v>2672</v>
      </c>
      <c r="B2681" s="3">
        <f t="shared" si="257"/>
        <v>673.58403791540923</v>
      </c>
      <c r="C2681" s="8"/>
      <c r="D2681" s="3">
        <f t="shared" si="258"/>
        <v>667.24418791252492</v>
      </c>
      <c r="F2681" s="3">
        <f t="shared" si="259"/>
        <v>-573.58403791540923</v>
      </c>
      <c r="G2681" s="3">
        <f t="shared" si="260"/>
        <v>6.3398500028843046</v>
      </c>
      <c r="H2681" s="3">
        <f t="shared" si="261"/>
        <v>667.24418791252492</v>
      </c>
      <c r="M2681" s="1">
        <f t="shared" si="256"/>
        <v>1930</v>
      </c>
      <c r="N2681" s="38">
        <f>+M2681*'Failure Data'!F$3</f>
        <v>49.858333333333334</v>
      </c>
    </row>
    <row r="2682" spans="1:14" x14ac:dyDescent="0.15">
      <c r="A2682" s="1">
        <v>2673</v>
      </c>
      <c r="B2682" s="3">
        <f t="shared" si="257"/>
        <v>673.8349414007813</v>
      </c>
      <c r="C2682" s="8"/>
      <c r="D2682" s="3">
        <f t="shared" si="258"/>
        <v>667.49509139789689</v>
      </c>
      <c r="F2682" s="3">
        <f t="shared" si="259"/>
        <v>-573.8349414007813</v>
      </c>
      <c r="G2682" s="3">
        <f t="shared" si="260"/>
        <v>6.3398500028844182</v>
      </c>
      <c r="H2682" s="3">
        <f t="shared" si="261"/>
        <v>667.49509139789689</v>
      </c>
      <c r="M2682" s="1">
        <f t="shared" si="256"/>
        <v>1931</v>
      </c>
      <c r="N2682" s="38">
        <f>+M2682*'Failure Data'!F$3</f>
        <v>49.884166666666665</v>
      </c>
    </row>
    <row r="2683" spans="1:14" x14ac:dyDescent="0.15">
      <c r="A2683" s="1">
        <v>2674</v>
      </c>
      <c r="B2683" s="3">
        <f t="shared" si="257"/>
        <v>674.08584488615327</v>
      </c>
      <c r="C2683" s="8"/>
      <c r="D2683" s="3">
        <f t="shared" si="258"/>
        <v>667.74599488326885</v>
      </c>
      <c r="F2683" s="3">
        <f t="shared" si="259"/>
        <v>-574.08584488615327</v>
      </c>
      <c r="G2683" s="3">
        <f t="shared" si="260"/>
        <v>6.3398500028844182</v>
      </c>
      <c r="H2683" s="3">
        <f t="shared" si="261"/>
        <v>667.74599488326885</v>
      </c>
      <c r="M2683" s="1">
        <f t="shared" si="256"/>
        <v>1932</v>
      </c>
      <c r="N2683" s="38">
        <f>+M2683*'Failure Data'!F$3</f>
        <v>49.91</v>
      </c>
    </row>
    <row r="2684" spans="1:14" x14ac:dyDescent="0.15">
      <c r="A2684" s="1">
        <v>2675</v>
      </c>
      <c r="B2684" s="3">
        <f t="shared" si="257"/>
        <v>674.33674837152523</v>
      </c>
      <c r="C2684" s="8"/>
      <c r="D2684" s="3">
        <f t="shared" si="258"/>
        <v>667.99689836864081</v>
      </c>
      <c r="F2684" s="3">
        <f t="shared" si="259"/>
        <v>-574.33674837152523</v>
      </c>
      <c r="G2684" s="3">
        <f t="shared" si="260"/>
        <v>6.3398500028844182</v>
      </c>
      <c r="H2684" s="3">
        <f t="shared" si="261"/>
        <v>667.99689836864081</v>
      </c>
      <c r="M2684" s="1">
        <f t="shared" si="256"/>
        <v>1933</v>
      </c>
      <c r="N2684" s="38">
        <f>+M2684*'Failure Data'!F$3</f>
        <v>49.935833333333335</v>
      </c>
    </row>
    <row r="2685" spans="1:14" x14ac:dyDescent="0.15">
      <c r="A2685" s="1">
        <v>2676</v>
      </c>
      <c r="B2685" s="3">
        <f t="shared" si="257"/>
        <v>674.5876518568972</v>
      </c>
      <c r="C2685" s="8"/>
      <c r="D2685" s="3">
        <f t="shared" si="258"/>
        <v>668.24780185401289</v>
      </c>
      <c r="F2685" s="3">
        <f t="shared" si="259"/>
        <v>-574.5876518568972</v>
      </c>
      <c r="G2685" s="3">
        <f t="shared" si="260"/>
        <v>6.3398500028843046</v>
      </c>
      <c r="H2685" s="3">
        <f t="shared" si="261"/>
        <v>668.24780185401289</v>
      </c>
      <c r="M2685" s="1">
        <f t="shared" si="256"/>
        <v>1934</v>
      </c>
      <c r="N2685" s="38">
        <f>+M2685*'Failure Data'!F$3</f>
        <v>49.961666666666666</v>
      </c>
    </row>
    <row r="2686" spans="1:14" x14ac:dyDescent="0.15">
      <c r="A2686" s="1">
        <v>2677</v>
      </c>
      <c r="B2686" s="3">
        <f t="shared" si="257"/>
        <v>674.83855534226927</v>
      </c>
      <c r="C2686" s="8"/>
      <c r="D2686" s="3">
        <f t="shared" si="258"/>
        <v>668.49870533938486</v>
      </c>
      <c r="F2686" s="3">
        <f t="shared" si="259"/>
        <v>-574.83855534226927</v>
      </c>
      <c r="G2686" s="3">
        <f t="shared" si="260"/>
        <v>6.3398500028844182</v>
      </c>
      <c r="H2686" s="3">
        <f t="shared" si="261"/>
        <v>668.49870533938486</v>
      </c>
      <c r="M2686" s="1">
        <f t="shared" si="256"/>
        <v>1935</v>
      </c>
      <c r="N2686" s="38">
        <f>+M2686*'Failure Data'!F$3</f>
        <v>49.987499999999997</v>
      </c>
    </row>
    <row r="2687" spans="1:14" x14ac:dyDescent="0.15">
      <c r="A2687" s="1">
        <v>2678</v>
      </c>
      <c r="B2687" s="3">
        <f t="shared" si="257"/>
        <v>675.08945882764124</v>
      </c>
      <c r="C2687" s="8"/>
      <c r="D2687" s="3">
        <f t="shared" si="258"/>
        <v>668.74960882475682</v>
      </c>
      <c r="F2687" s="3">
        <f t="shared" si="259"/>
        <v>-575.08945882764124</v>
      </c>
      <c r="G2687" s="3">
        <f t="shared" si="260"/>
        <v>6.3398500028844182</v>
      </c>
      <c r="H2687" s="3">
        <f t="shared" si="261"/>
        <v>668.74960882475682</v>
      </c>
      <c r="M2687" s="1">
        <f t="shared" si="256"/>
        <v>1936</v>
      </c>
      <c r="N2687" s="38">
        <f>+M2687*'Failure Data'!F$3</f>
        <v>50.013333333333335</v>
      </c>
    </row>
    <row r="2688" spans="1:14" x14ac:dyDescent="0.15">
      <c r="A2688" s="1">
        <v>2679</v>
      </c>
      <c r="B2688" s="3">
        <f t="shared" si="257"/>
        <v>675.3403623130132</v>
      </c>
      <c r="C2688" s="8"/>
      <c r="D2688" s="3">
        <f t="shared" si="258"/>
        <v>669.0005123101289</v>
      </c>
      <c r="F2688" s="3">
        <f t="shared" si="259"/>
        <v>-575.3403623130132</v>
      </c>
      <c r="G2688" s="3">
        <f t="shared" si="260"/>
        <v>6.3398500028843046</v>
      </c>
      <c r="H2688" s="3">
        <f t="shared" si="261"/>
        <v>669.0005123101289</v>
      </c>
      <c r="M2688" s="1">
        <f t="shared" si="256"/>
        <v>1937</v>
      </c>
      <c r="N2688" s="38">
        <f>+M2688*'Failure Data'!F$3</f>
        <v>50.039166666666667</v>
      </c>
    </row>
    <row r="2689" spans="1:14" x14ac:dyDescent="0.15">
      <c r="A2689" s="1">
        <v>2680</v>
      </c>
      <c r="B2689" s="3">
        <f t="shared" si="257"/>
        <v>675.59126579838517</v>
      </c>
      <c r="C2689" s="8"/>
      <c r="D2689" s="3">
        <f t="shared" si="258"/>
        <v>669.25141579550086</v>
      </c>
      <c r="F2689" s="3">
        <f t="shared" si="259"/>
        <v>-575.59126579838517</v>
      </c>
      <c r="G2689" s="3">
        <f t="shared" si="260"/>
        <v>6.3398500028843046</v>
      </c>
      <c r="H2689" s="3">
        <f t="shared" si="261"/>
        <v>669.25141579550086</v>
      </c>
      <c r="M2689" s="1">
        <f t="shared" ref="M2689:M2752" si="262">M2688+1</f>
        <v>1938</v>
      </c>
      <c r="N2689" s="38">
        <f>+M2689*'Failure Data'!F$3</f>
        <v>50.064999999999998</v>
      </c>
    </row>
    <row r="2690" spans="1:14" x14ac:dyDescent="0.15">
      <c r="A2690" s="1">
        <v>2681</v>
      </c>
      <c r="B2690" s="3">
        <f t="shared" si="257"/>
        <v>675.84216928375724</v>
      </c>
      <c r="C2690" s="8"/>
      <c r="D2690" s="3">
        <f t="shared" si="258"/>
        <v>669.50231928087283</v>
      </c>
      <c r="F2690" s="3">
        <f t="shared" si="259"/>
        <v>-575.84216928375724</v>
      </c>
      <c r="G2690" s="3">
        <f t="shared" si="260"/>
        <v>6.3398500028844182</v>
      </c>
      <c r="H2690" s="3">
        <f t="shared" si="261"/>
        <v>669.50231928087283</v>
      </c>
      <c r="M2690" s="1">
        <f t="shared" si="262"/>
        <v>1939</v>
      </c>
      <c r="N2690" s="38">
        <f>+M2690*'Failure Data'!F$3</f>
        <v>50.090833333333336</v>
      </c>
    </row>
    <row r="2691" spans="1:14" x14ac:dyDescent="0.15">
      <c r="A2691" s="1">
        <v>2682</v>
      </c>
      <c r="B2691" s="3">
        <f t="shared" si="257"/>
        <v>676.09307276912921</v>
      </c>
      <c r="C2691" s="8"/>
      <c r="D2691" s="3">
        <f t="shared" si="258"/>
        <v>669.75322276624479</v>
      </c>
      <c r="F2691" s="3">
        <f t="shared" si="259"/>
        <v>-576.09307276912921</v>
      </c>
      <c r="G2691" s="3">
        <f t="shared" si="260"/>
        <v>6.3398500028844182</v>
      </c>
      <c r="H2691" s="3">
        <f t="shared" si="261"/>
        <v>669.75322276624479</v>
      </c>
      <c r="M2691" s="1">
        <f t="shared" si="262"/>
        <v>1940</v>
      </c>
      <c r="N2691" s="38">
        <f>+M2691*'Failure Data'!F$3</f>
        <v>50.116666666666667</v>
      </c>
    </row>
    <row r="2692" spans="1:14" x14ac:dyDescent="0.15">
      <c r="A2692" s="1">
        <v>2683</v>
      </c>
      <c r="B2692" s="3">
        <f t="shared" si="257"/>
        <v>676.34397625450117</v>
      </c>
      <c r="C2692" s="8"/>
      <c r="D2692" s="3">
        <f t="shared" si="258"/>
        <v>670.00412625161687</v>
      </c>
      <c r="F2692" s="3">
        <f t="shared" si="259"/>
        <v>-576.34397625450117</v>
      </c>
      <c r="G2692" s="3">
        <f t="shared" si="260"/>
        <v>6.3398500028843046</v>
      </c>
      <c r="H2692" s="3">
        <f t="shared" si="261"/>
        <v>670.00412625161687</v>
      </c>
      <c r="M2692" s="1">
        <f t="shared" si="262"/>
        <v>1941</v>
      </c>
      <c r="N2692" s="38">
        <f>+M2692*'Failure Data'!F$3</f>
        <v>50.142499999999998</v>
      </c>
    </row>
    <row r="2693" spans="1:14" x14ac:dyDescent="0.15">
      <c r="A2693" s="1">
        <v>2684</v>
      </c>
      <c r="B2693" s="3">
        <f t="shared" si="257"/>
        <v>676.59487973987325</v>
      </c>
      <c r="C2693" s="8"/>
      <c r="D2693" s="3">
        <f t="shared" si="258"/>
        <v>670.25502973698883</v>
      </c>
      <c r="F2693" s="3">
        <f t="shared" si="259"/>
        <v>-576.59487973987325</v>
      </c>
      <c r="G2693" s="3">
        <f t="shared" si="260"/>
        <v>6.3398500028844182</v>
      </c>
      <c r="H2693" s="3">
        <f t="shared" si="261"/>
        <v>670.25502973698883</v>
      </c>
      <c r="M2693" s="1">
        <f t="shared" si="262"/>
        <v>1942</v>
      </c>
      <c r="N2693" s="38">
        <f>+M2693*'Failure Data'!F$3</f>
        <v>50.168333333333329</v>
      </c>
    </row>
    <row r="2694" spans="1:14" x14ac:dyDescent="0.15">
      <c r="A2694" s="1">
        <v>2685</v>
      </c>
      <c r="B2694" s="3">
        <f t="shared" si="257"/>
        <v>676.84578322524521</v>
      </c>
      <c r="C2694" s="8"/>
      <c r="D2694" s="3">
        <f t="shared" si="258"/>
        <v>670.5059332223608</v>
      </c>
      <c r="F2694" s="3">
        <f t="shared" si="259"/>
        <v>-576.84578322524521</v>
      </c>
      <c r="G2694" s="3">
        <f t="shared" si="260"/>
        <v>6.3398500028844182</v>
      </c>
      <c r="H2694" s="3">
        <f t="shared" si="261"/>
        <v>670.5059332223608</v>
      </c>
      <c r="M2694" s="1">
        <f t="shared" si="262"/>
        <v>1943</v>
      </c>
      <c r="N2694" s="38">
        <f>+M2694*'Failure Data'!F$3</f>
        <v>50.194166666666668</v>
      </c>
    </row>
    <row r="2695" spans="1:14" x14ac:dyDescent="0.15">
      <c r="A2695" s="1">
        <v>2686</v>
      </c>
      <c r="B2695" s="3">
        <f t="shared" si="257"/>
        <v>677.09668671061718</v>
      </c>
      <c r="C2695" s="8"/>
      <c r="D2695" s="3">
        <f t="shared" si="258"/>
        <v>670.75683670773276</v>
      </c>
      <c r="F2695" s="3">
        <f t="shared" si="259"/>
        <v>-577.09668671061718</v>
      </c>
      <c r="G2695" s="3">
        <f t="shared" si="260"/>
        <v>6.3398500028844182</v>
      </c>
      <c r="H2695" s="3">
        <f t="shared" si="261"/>
        <v>670.75683670773276</v>
      </c>
      <c r="M2695" s="1">
        <f t="shared" si="262"/>
        <v>1944</v>
      </c>
      <c r="N2695" s="38">
        <f>+M2695*'Failure Data'!F$3</f>
        <v>50.22</v>
      </c>
    </row>
    <row r="2696" spans="1:14" x14ac:dyDescent="0.15">
      <c r="A2696" s="1">
        <v>2687</v>
      </c>
      <c r="B2696" s="3">
        <f t="shared" si="257"/>
        <v>677.34759019598914</v>
      </c>
      <c r="C2696" s="8"/>
      <c r="D2696" s="3">
        <f t="shared" si="258"/>
        <v>671.00774019310484</v>
      </c>
      <c r="F2696" s="3">
        <f t="shared" si="259"/>
        <v>-577.34759019598914</v>
      </c>
      <c r="G2696" s="3">
        <f t="shared" si="260"/>
        <v>6.3398500028843046</v>
      </c>
      <c r="H2696" s="3">
        <f t="shared" si="261"/>
        <v>671.00774019310484</v>
      </c>
      <c r="M2696" s="1">
        <f t="shared" si="262"/>
        <v>1945</v>
      </c>
      <c r="N2696" s="38">
        <f>+M2696*'Failure Data'!F$3</f>
        <v>50.24583333333333</v>
      </c>
    </row>
    <row r="2697" spans="1:14" x14ac:dyDescent="0.15">
      <c r="A2697" s="1">
        <v>2688</v>
      </c>
      <c r="B2697" s="3">
        <f t="shared" si="257"/>
        <v>677.59849368136122</v>
      </c>
      <c r="C2697" s="8"/>
      <c r="D2697" s="3">
        <f t="shared" si="258"/>
        <v>671.2586436784768</v>
      </c>
      <c r="F2697" s="3">
        <f t="shared" si="259"/>
        <v>-577.59849368136122</v>
      </c>
      <c r="G2697" s="3">
        <f t="shared" si="260"/>
        <v>6.3398500028844182</v>
      </c>
      <c r="H2697" s="3">
        <f t="shared" si="261"/>
        <v>671.2586436784768</v>
      </c>
      <c r="M2697" s="1">
        <f t="shared" si="262"/>
        <v>1946</v>
      </c>
      <c r="N2697" s="38">
        <f>+M2697*'Failure Data'!F$3</f>
        <v>50.271666666666668</v>
      </c>
    </row>
    <row r="2698" spans="1:14" x14ac:dyDescent="0.15">
      <c r="A2698" s="1">
        <v>2689</v>
      </c>
      <c r="B2698" s="3">
        <f t="shared" si="257"/>
        <v>677.84939716673318</v>
      </c>
      <c r="C2698" s="8"/>
      <c r="D2698" s="3">
        <f t="shared" si="258"/>
        <v>671.50954716384877</v>
      </c>
      <c r="F2698" s="3">
        <f t="shared" si="259"/>
        <v>-577.84939716673318</v>
      </c>
      <c r="G2698" s="3">
        <f t="shared" si="260"/>
        <v>6.3398500028844182</v>
      </c>
      <c r="H2698" s="3">
        <f t="shared" si="261"/>
        <v>671.50954716384877</v>
      </c>
      <c r="M2698" s="1">
        <f t="shared" si="262"/>
        <v>1947</v>
      </c>
      <c r="N2698" s="38">
        <f>+M2698*'Failure Data'!F$3</f>
        <v>50.297499999999999</v>
      </c>
    </row>
    <row r="2699" spans="1:14" x14ac:dyDescent="0.15">
      <c r="A2699" s="1">
        <v>2690</v>
      </c>
      <c r="B2699" s="3">
        <f t="shared" si="257"/>
        <v>678.10030065210515</v>
      </c>
      <c r="C2699" s="8"/>
      <c r="D2699" s="3">
        <f t="shared" si="258"/>
        <v>671.76045064922073</v>
      </c>
      <c r="F2699" s="3">
        <f t="shared" si="259"/>
        <v>-578.10030065210515</v>
      </c>
      <c r="G2699" s="3">
        <f t="shared" si="260"/>
        <v>6.3398500028844182</v>
      </c>
      <c r="H2699" s="3">
        <f t="shared" si="261"/>
        <v>671.76045064922073</v>
      </c>
      <c r="M2699" s="1">
        <f t="shared" si="262"/>
        <v>1948</v>
      </c>
      <c r="N2699" s="38">
        <f>+M2699*'Failure Data'!F$3</f>
        <v>50.323333333333331</v>
      </c>
    </row>
    <row r="2700" spans="1:14" x14ac:dyDescent="0.15">
      <c r="A2700" s="1">
        <v>2691</v>
      </c>
      <c r="B2700" s="3">
        <f t="shared" si="257"/>
        <v>678.35120413747711</v>
      </c>
      <c r="C2700" s="8"/>
      <c r="D2700" s="3">
        <f t="shared" si="258"/>
        <v>672.01135413459281</v>
      </c>
      <c r="F2700" s="3">
        <f t="shared" si="259"/>
        <v>-578.35120413747711</v>
      </c>
      <c r="G2700" s="3">
        <f t="shared" si="260"/>
        <v>6.3398500028843046</v>
      </c>
      <c r="H2700" s="3">
        <f t="shared" si="261"/>
        <v>672.01135413459281</v>
      </c>
      <c r="M2700" s="1">
        <f t="shared" si="262"/>
        <v>1949</v>
      </c>
      <c r="N2700" s="38">
        <f>+M2700*'Failure Data'!F$3</f>
        <v>50.349166666666669</v>
      </c>
    </row>
    <row r="2701" spans="1:14" x14ac:dyDescent="0.15">
      <c r="A2701" s="1">
        <v>2692</v>
      </c>
      <c r="B2701" s="3">
        <f t="shared" si="257"/>
        <v>678.60210762284919</v>
      </c>
      <c r="C2701" s="8"/>
      <c r="D2701" s="3">
        <f t="shared" si="258"/>
        <v>672.26225761996477</v>
      </c>
      <c r="F2701" s="3">
        <f t="shared" si="259"/>
        <v>-578.60210762284919</v>
      </c>
      <c r="G2701" s="3">
        <f t="shared" si="260"/>
        <v>6.3398500028844182</v>
      </c>
      <c r="H2701" s="3">
        <f t="shared" si="261"/>
        <v>672.26225761996477</v>
      </c>
      <c r="M2701" s="1">
        <f t="shared" si="262"/>
        <v>1950</v>
      </c>
      <c r="N2701" s="38">
        <f>+M2701*'Failure Data'!F$3</f>
        <v>50.375</v>
      </c>
    </row>
    <row r="2702" spans="1:14" x14ac:dyDescent="0.15">
      <c r="A2702" s="1">
        <v>2693</v>
      </c>
      <c r="B2702" s="3">
        <f t="shared" si="257"/>
        <v>678.85301110822115</v>
      </c>
      <c r="C2702" s="8"/>
      <c r="D2702" s="3">
        <f t="shared" si="258"/>
        <v>672.51316110533674</v>
      </c>
      <c r="F2702" s="3">
        <f t="shared" si="259"/>
        <v>-578.85301110822115</v>
      </c>
      <c r="G2702" s="3">
        <f t="shared" si="260"/>
        <v>6.3398500028844182</v>
      </c>
      <c r="H2702" s="3">
        <f t="shared" si="261"/>
        <v>672.51316110533674</v>
      </c>
      <c r="M2702" s="1">
        <f t="shared" si="262"/>
        <v>1951</v>
      </c>
      <c r="N2702" s="38">
        <f>+M2702*'Failure Data'!F$3</f>
        <v>50.400833333333331</v>
      </c>
    </row>
    <row r="2703" spans="1:14" x14ac:dyDescent="0.15">
      <c r="A2703" s="1">
        <v>2694</v>
      </c>
      <c r="B2703" s="3">
        <f t="shared" si="257"/>
        <v>679.10391459359312</v>
      </c>
      <c r="C2703" s="8"/>
      <c r="D2703" s="3">
        <f t="shared" si="258"/>
        <v>672.7640645907087</v>
      </c>
      <c r="F2703" s="3">
        <f t="shared" si="259"/>
        <v>-579.10391459359312</v>
      </c>
      <c r="G2703" s="3">
        <f t="shared" si="260"/>
        <v>6.3398500028844182</v>
      </c>
      <c r="H2703" s="3">
        <f t="shared" si="261"/>
        <v>672.7640645907087</v>
      </c>
      <c r="M2703" s="1">
        <f t="shared" si="262"/>
        <v>1952</v>
      </c>
      <c r="N2703" s="38">
        <f>+M2703*'Failure Data'!F$3</f>
        <v>50.426666666666669</v>
      </c>
    </row>
    <row r="2704" spans="1:14" x14ac:dyDescent="0.15">
      <c r="A2704" s="1">
        <v>2695</v>
      </c>
      <c r="B2704" s="3">
        <f t="shared" si="257"/>
        <v>679.35481807896508</v>
      </c>
      <c r="C2704" s="8"/>
      <c r="D2704" s="3">
        <f t="shared" si="258"/>
        <v>673.01496807608078</v>
      </c>
      <c r="F2704" s="3">
        <f t="shared" si="259"/>
        <v>-579.35481807896508</v>
      </c>
      <c r="G2704" s="3">
        <f t="shared" si="260"/>
        <v>6.3398500028843046</v>
      </c>
      <c r="H2704" s="3">
        <f t="shared" si="261"/>
        <v>673.01496807608078</v>
      </c>
      <c r="M2704" s="1">
        <f t="shared" si="262"/>
        <v>1953</v>
      </c>
      <c r="N2704" s="38">
        <f>+M2704*'Failure Data'!F$3</f>
        <v>50.452500000000001</v>
      </c>
    </row>
    <row r="2705" spans="1:14" x14ac:dyDescent="0.15">
      <c r="A2705" s="1">
        <v>2696</v>
      </c>
      <c r="B2705" s="3">
        <f t="shared" si="257"/>
        <v>679.60572156433716</v>
      </c>
      <c r="C2705" s="8"/>
      <c r="D2705" s="3">
        <f t="shared" si="258"/>
        <v>673.26587156145274</v>
      </c>
      <c r="F2705" s="3">
        <f t="shared" si="259"/>
        <v>-579.60572156433716</v>
      </c>
      <c r="G2705" s="3">
        <f t="shared" si="260"/>
        <v>6.3398500028844182</v>
      </c>
      <c r="H2705" s="3">
        <f t="shared" si="261"/>
        <v>673.26587156145274</v>
      </c>
      <c r="M2705" s="1">
        <f t="shared" si="262"/>
        <v>1954</v>
      </c>
      <c r="N2705" s="38">
        <f>+M2705*'Failure Data'!F$3</f>
        <v>50.478333333333332</v>
      </c>
    </row>
    <row r="2706" spans="1:14" x14ac:dyDescent="0.15">
      <c r="A2706" s="1">
        <v>2697</v>
      </c>
      <c r="B2706" s="3">
        <f t="shared" si="257"/>
        <v>679.85662504970912</v>
      </c>
      <c r="C2706" s="8"/>
      <c r="D2706" s="3">
        <f t="shared" si="258"/>
        <v>673.5167750468247</v>
      </c>
      <c r="F2706" s="3">
        <f t="shared" si="259"/>
        <v>-579.85662504970912</v>
      </c>
      <c r="G2706" s="3">
        <f t="shared" si="260"/>
        <v>6.3398500028844182</v>
      </c>
      <c r="H2706" s="3">
        <f t="shared" si="261"/>
        <v>673.5167750468247</v>
      </c>
      <c r="M2706" s="1">
        <f t="shared" si="262"/>
        <v>1955</v>
      </c>
      <c r="N2706" s="38">
        <f>+M2706*'Failure Data'!F$3</f>
        <v>50.504166666666663</v>
      </c>
    </row>
    <row r="2707" spans="1:14" x14ac:dyDescent="0.15">
      <c r="A2707" s="1">
        <v>2698</v>
      </c>
      <c r="B2707" s="3">
        <f t="shared" si="257"/>
        <v>680.10752853508109</v>
      </c>
      <c r="C2707" s="8"/>
      <c r="D2707" s="3">
        <f t="shared" si="258"/>
        <v>673.76767853219667</v>
      </c>
      <c r="F2707" s="3">
        <f t="shared" si="259"/>
        <v>-580.10752853508109</v>
      </c>
      <c r="G2707" s="3">
        <f t="shared" si="260"/>
        <v>6.3398500028844182</v>
      </c>
      <c r="H2707" s="3">
        <f t="shared" si="261"/>
        <v>673.76767853219667</v>
      </c>
      <c r="M2707" s="1">
        <f t="shared" si="262"/>
        <v>1956</v>
      </c>
      <c r="N2707" s="38">
        <f>+M2707*'Failure Data'!F$3</f>
        <v>50.53</v>
      </c>
    </row>
    <row r="2708" spans="1:14" x14ac:dyDescent="0.15">
      <c r="A2708" s="1">
        <v>2699</v>
      </c>
      <c r="B2708" s="3">
        <f t="shared" si="257"/>
        <v>680.35843202045305</v>
      </c>
      <c r="C2708" s="8"/>
      <c r="D2708" s="3">
        <f t="shared" si="258"/>
        <v>674.01858201756875</v>
      </c>
      <c r="F2708" s="3">
        <f t="shared" si="259"/>
        <v>-580.35843202045305</v>
      </c>
      <c r="G2708" s="3">
        <f t="shared" si="260"/>
        <v>6.3398500028843046</v>
      </c>
      <c r="H2708" s="3">
        <f t="shared" si="261"/>
        <v>674.01858201756875</v>
      </c>
      <c r="M2708" s="1">
        <f t="shared" si="262"/>
        <v>1957</v>
      </c>
      <c r="N2708" s="38">
        <f>+M2708*'Failure Data'!F$3</f>
        <v>50.555833333333332</v>
      </c>
    </row>
    <row r="2709" spans="1:14" x14ac:dyDescent="0.15">
      <c r="A2709" s="1">
        <v>2700</v>
      </c>
      <c r="B2709" s="3">
        <f t="shared" si="257"/>
        <v>680.60933550582513</v>
      </c>
      <c r="C2709" s="8"/>
      <c r="D2709" s="3">
        <f t="shared" si="258"/>
        <v>674.26948550294071</v>
      </c>
      <c r="F2709" s="3">
        <f t="shared" si="259"/>
        <v>-580.60933550582513</v>
      </c>
      <c r="G2709" s="3">
        <f t="shared" si="260"/>
        <v>6.3398500028844182</v>
      </c>
      <c r="H2709" s="3">
        <f t="shared" si="261"/>
        <v>674.26948550294071</v>
      </c>
      <c r="M2709" s="1">
        <f t="shared" si="262"/>
        <v>1958</v>
      </c>
      <c r="N2709" s="38">
        <f>+M2709*'Failure Data'!F$3</f>
        <v>50.581666666666663</v>
      </c>
    </row>
    <row r="2710" spans="1:14" x14ac:dyDescent="0.15">
      <c r="A2710" s="1">
        <v>2701</v>
      </c>
      <c r="B2710" s="3">
        <f t="shared" si="257"/>
        <v>680.86023899119709</v>
      </c>
      <c r="C2710" s="8"/>
      <c r="D2710" s="3">
        <f t="shared" si="258"/>
        <v>674.52038898831267</v>
      </c>
      <c r="F2710" s="3">
        <f t="shared" si="259"/>
        <v>-580.86023899119709</v>
      </c>
      <c r="G2710" s="3">
        <f t="shared" si="260"/>
        <v>6.3398500028844182</v>
      </c>
      <c r="H2710" s="3">
        <f t="shared" si="261"/>
        <v>674.52038898831267</v>
      </c>
      <c r="M2710" s="1">
        <f t="shared" si="262"/>
        <v>1959</v>
      </c>
      <c r="N2710" s="38">
        <f>+M2710*'Failure Data'!F$3</f>
        <v>50.607500000000002</v>
      </c>
    </row>
    <row r="2711" spans="1:14" x14ac:dyDescent="0.15">
      <c r="A2711" s="1">
        <v>2702</v>
      </c>
      <c r="B2711" s="3">
        <f t="shared" si="257"/>
        <v>681.11114247656906</v>
      </c>
      <c r="C2711" s="8"/>
      <c r="D2711" s="3">
        <f t="shared" si="258"/>
        <v>674.77129247368475</v>
      </c>
      <c r="F2711" s="3">
        <f t="shared" si="259"/>
        <v>-581.11114247656906</v>
      </c>
      <c r="G2711" s="3">
        <f t="shared" si="260"/>
        <v>6.3398500028843046</v>
      </c>
      <c r="H2711" s="3">
        <f t="shared" si="261"/>
        <v>674.77129247368475</v>
      </c>
      <c r="M2711" s="1">
        <f t="shared" si="262"/>
        <v>1960</v>
      </c>
      <c r="N2711" s="38">
        <f>+M2711*'Failure Data'!F$3</f>
        <v>50.633333333333333</v>
      </c>
    </row>
    <row r="2712" spans="1:14" x14ac:dyDescent="0.15">
      <c r="A2712" s="1">
        <v>2703</v>
      </c>
      <c r="B2712" s="3">
        <f t="shared" si="257"/>
        <v>681.36204596194102</v>
      </c>
      <c r="C2712" s="8"/>
      <c r="D2712" s="3">
        <f t="shared" si="258"/>
        <v>675.02219595905672</v>
      </c>
      <c r="F2712" s="3">
        <f t="shared" si="259"/>
        <v>-581.36204596194102</v>
      </c>
      <c r="G2712" s="3">
        <f t="shared" si="260"/>
        <v>6.3398500028843046</v>
      </c>
      <c r="H2712" s="3">
        <f t="shared" si="261"/>
        <v>675.02219595905672</v>
      </c>
      <c r="M2712" s="1">
        <f t="shared" si="262"/>
        <v>1961</v>
      </c>
      <c r="N2712" s="38">
        <f>+M2712*'Failure Data'!F$3</f>
        <v>50.659166666666664</v>
      </c>
    </row>
    <row r="2713" spans="1:14" x14ac:dyDescent="0.15">
      <c r="A2713" s="1">
        <v>2704</v>
      </c>
      <c r="B2713" s="3">
        <f t="shared" si="257"/>
        <v>681.6129494473131</v>
      </c>
      <c r="C2713" s="8"/>
      <c r="D2713" s="3">
        <f t="shared" si="258"/>
        <v>675.27309944442868</v>
      </c>
      <c r="F2713" s="3">
        <f t="shared" si="259"/>
        <v>-581.6129494473131</v>
      </c>
      <c r="G2713" s="3">
        <f t="shared" si="260"/>
        <v>6.3398500028844182</v>
      </c>
      <c r="H2713" s="3">
        <f t="shared" si="261"/>
        <v>675.27309944442868</v>
      </c>
      <c r="M2713" s="1">
        <f t="shared" si="262"/>
        <v>1962</v>
      </c>
      <c r="N2713" s="38">
        <f>+M2713*'Failure Data'!F$3</f>
        <v>50.685000000000002</v>
      </c>
    </row>
    <row r="2714" spans="1:14" x14ac:dyDescent="0.15">
      <c r="A2714" s="1">
        <v>2705</v>
      </c>
      <c r="B2714" s="3">
        <f t="shared" si="257"/>
        <v>681.86385293268506</v>
      </c>
      <c r="C2714" s="8"/>
      <c r="D2714" s="3">
        <f t="shared" si="258"/>
        <v>675.52400292980064</v>
      </c>
      <c r="F2714" s="3">
        <f t="shared" si="259"/>
        <v>-581.86385293268506</v>
      </c>
      <c r="G2714" s="3">
        <f t="shared" si="260"/>
        <v>6.3398500028844182</v>
      </c>
      <c r="H2714" s="3">
        <f t="shared" si="261"/>
        <v>675.52400292980064</v>
      </c>
      <c r="M2714" s="1">
        <f t="shared" si="262"/>
        <v>1963</v>
      </c>
      <c r="N2714" s="38">
        <f>+M2714*'Failure Data'!F$3</f>
        <v>50.710833333333333</v>
      </c>
    </row>
    <row r="2715" spans="1:14" x14ac:dyDescent="0.15">
      <c r="A2715" s="1">
        <v>2706</v>
      </c>
      <c r="B2715" s="3">
        <f t="shared" si="257"/>
        <v>682.11475641805703</v>
      </c>
      <c r="C2715" s="8"/>
      <c r="D2715" s="3">
        <f t="shared" si="258"/>
        <v>675.77490641517272</v>
      </c>
      <c r="F2715" s="3">
        <f t="shared" si="259"/>
        <v>-582.11475641805703</v>
      </c>
      <c r="G2715" s="3">
        <f t="shared" si="260"/>
        <v>6.3398500028843046</v>
      </c>
      <c r="H2715" s="3">
        <f t="shared" si="261"/>
        <v>675.77490641517272</v>
      </c>
      <c r="M2715" s="1">
        <f t="shared" si="262"/>
        <v>1964</v>
      </c>
      <c r="N2715" s="38">
        <f>+M2715*'Failure Data'!F$3</f>
        <v>50.736666666666665</v>
      </c>
    </row>
    <row r="2716" spans="1:14" x14ac:dyDescent="0.15">
      <c r="A2716" s="1">
        <v>2707</v>
      </c>
      <c r="B2716" s="3">
        <f t="shared" si="257"/>
        <v>682.3656599034291</v>
      </c>
      <c r="C2716" s="8"/>
      <c r="D2716" s="3">
        <f t="shared" si="258"/>
        <v>676.02580990054469</v>
      </c>
      <c r="F2716" s="3">
        <f t="shared" si="259"/>
        <v>-582.3656599034291</v>
      </c>
      <c r="G2716" s="3">
        <f t="shared" si="260"/>
        <v>6.3398500028844182</v>
      </c>
      <c r="H2716" s="3">
        <f t="shared" si="261"/>
        <v>676.02580990054469</v>
      </c>
      <c r="M2716" s="1">
        <f t="shared" si="262"/>
        <v>1965</v>
      </c>
      <c r="N2716" s="38">
        <f>+M2716*'Failure Data'!F$3</f>
        <v>50.762500000000003</v>
      </c>
    </row>
    <row r="2717" spans="1:14" x14ac:dyDescent="0.15">
      <c r="A2717" s="1">
        <v>2708</v>
      </c>
      <c r="B2717" s="3">
        <f t="shared" si="257"/>
        <v>682.61656338880107</v>
      </c>
      <c r="C2717" s="8"/>
      <c r="D2717" s="3">
        <f t="shared" si="258"/>
        <v>676.27671338591665</v>
      </c>
      <c r="F2717" s="3">
        <f t="shared" si="259"/>
        <v>-582.61656338880107</v>
      </c>
      <c r="G2717" s="3">
        <f t="shared" si="260"/>
        <v>6.3398500028844182</v>
      </c>
      <c r="H2717" s="3">
        <f t="shared" si="261"/>
        <v>676.27671338591665</v>
      </c>
      <c r="M2717" s="1">
        <f t="shared" si="262"/>
        <v>1966</v>
      </c>
      <c r="N2717" s="38">
        <f>+M2717*'Failure Data'!F$3</f>
        <v>50.788333333333334</v>
      </c>
    </row>
    <row r="2718" spans="1:14" x14ac:dyDescent="0.15">
      <c r="A2718" s="1">
        <v>2709</v>
      </c>
      <c r="B2718" s="3">
        <f t="shared" si="257"/>
        <v>682.86746687417303</v>
      </c>
      <c r="C2718" s="8"/>
      <c r="D2718" s="3">
        <f t="shared" si="258"/>
        <v>676.52761687128861</v>
      </c>
      <c r="F2718" s="3">
        <f t="shared" si="259"/>
        <v>-582.86746687417303</v>
      </c>
      <c r="G2718" s="3">
        <f t="shared" si="260"/>
        <v>6.3398500028844182</v>
      </c>
      <c r="H2718" s="3">
        <f t="shared" si="261"/>
        <v>676.52761687128861</v>
      </c>
      <c r="M2718" s="1">
        <f t="shared" si="262"/>
        <v>1967</v>
      </c>
      <c r="N2718" s="38">
        <f>+M2718*'Failure Data'!F$3</f>
        <v>50.814166666666665</v>
      </c>
    </row>
    <row r="2719" spans="1:14" x14ac:dyDescent="0.15">
      <c r="A2719" s="1">
        <v>2710</v>
      </c>
      <c r="B2719" s="3">
        <f t="shared" ref="B2719:B2782" si="263">+(B$4*A2719)+B$5</f>
        <v>683.118370359545</v>
      </c>
      <c r="C2719" s="8"/>
      <c r="D2719" s="3">
        <f t="shared" ref="D2719:D2782" si="264">+(D$4*A2719)+D$5</f>
        <v>676.77852035666069</v>
      </c>
      <c r="F2719" s="3">
        <f t="shared" ref="F2719:F2782" si="265">+xmax-B2719</f>
        <v>-583.118370359545</v>
      </c>
      <c r="G2719" s="3">
        <f t="shared" ref="G2719:G2782" si="266">+B2719-D2719</f>
        <v>6.3398500028843046</v>
      </c>
      <c r="H2719" s="3">
        <f t="shared" ref="H2719:H2782" si="267">D2719</f>
        <v>676.77852035666069</v>
      </c>
      <c r="M2719" s="1">
        <f t="shared" si="262"/>
        <v>1968</v>
      </c>
      <c r="N2719" s="38">
        <f>+M2719*'Failure Data'!F$3</f>
        <v>50.839999999999996</v>
      </c>
    </row>
    <row r="2720" spans="1:14" x14ac:dyDescent="0.15">
      <c r="A2720" s="1">
        <v>2711</v>
      </c>
      <c r="B2720" s="3">
        <f t="shared" si="263"/>
        <v>683.36927384491707</v>
      </c>
      <c r="C2720" s="8"/>
      <c r="D2720" s="3">
        <f t="shared" si="264"/>
        <v>677.02942384203266</v>
      </c>
      <c r="F2720" s="3">
        <f t="shared" si="265"/>
        <v>-583.36927384491707</v>
      </c>
      <c r="G2720" s="3">
        <f t="shared" si="266"/>
        <v>6.3398500028844182</v>
      </c>
      <c r="H2720" s="3">
        <f t="shared" si="267"/>
        <v>677.02942384203266</v>
      </c>
      <c r="M2720" s="1">
        <f t="shared" si="262"/>
        <v>1969</v>
      </c>
      <c r="N2720" s="38">
        <f>+M2720*'Failure Data'!F$3</f>
        <v>50.865833333333335</v>
      </c>
    </row>
    <row r="2721" spans="1:14" x14ac:dyDescent="0.15">
      <c r="A2721" s="1">
        <v>2712</v>
      </c>
      <c r="B2721" s="3">
        <f t="shared" si="263"/>
        <v>683.62017733028904</v>
      </c>
      <c r="C2721" s="8"/>
      <c r="D2721" s="3">
        <f t="shared" si="264"/>
        <v>677.28032732740462</v>
      </c>
      <c r="F2721" s="3">
        <f t="shared" si="265"/>
        <v>-583.62017733028904</v>
      </c>
      <c r="G2721" s="3">
        <f t="shared" si="266"/>
        <v>6.3398500028844182</v>
      </c>
      <c r="H2721" s="3">
        <f t="shared" si="267"/>
        <v>677.28032732740462</v>
      </c>
      <c r="M2721" s="1">
        <f t="shared" si="262"/>
        <v>1970</v>
      </c>
      <c r="N2721" s="38">
        <f>+M2721*'Failure Data'!F$3</f>
        <v>50.891666666666666</v>
      </c>
    </row>
    <row r="2722" spans="1:14" x14ac:dyDescent="0.15">
      <c r="A2722" s="1">
        <v>2713</v>
      </c>
      <c r="B2722" s="3">
        <f t="shared" si="263"/>
        <v>683.871080815661</v>
      </c>
      <c r="C2722" s="8"/>
      <c r="D2722" s="3">
        <f t="shared" si="264"/>
        <v>677.53123081277658</v>
      </c>
      <c r="F2722" s="3">
        <f t="shared" si="265"/>
        <v>-583.871080815661</v>
      </c>
      <c r="G2722" s="3">
        <f t="shared" si="266"/>
        <v>6.3398500028844182</v>
      </c>
      <c r="H2722" s="3">
        <f t="shared" si="267"/>
        <v>677.53123081277658</v>
      </c>
      <c r="M2722" s="1">
        <f t="shared" si="262"/>
        <v>1971</v>
      </c>
      <c r="N2722" s="38">
        <f>+M2722*'Failure Data'!F$3</f>
        <v>50.917499999999997</v>
      </c>
    </row>
    <row r="2723" spans="1:14" x14ac:dyDescent="0.15">
      <c r="A2723" s="1">
        <v>2714</v>
      </c>
      <c r="B2723" s="3">
        <f t="shared" si="263"/>
        <v>684.12198430103297</v>
      </c>
      <c r="C2723" s="8"/>
      <c r="D2723" s="3">
        <f t="shared" si="264"/>
        <v>677.78213429814866</v>
      </c>
      <c r="F2723" s="3">
        <f t="shared" si="265"/>
        <v>-584.12198430103297</v>
      </c>
      <c r="G2723" s="3">
        <f t="shared" si="266"/>
        <v>6.3398500028843046</v>
      </c>
      <c r="H2723" s="3">
        <f t="shared" si="267"/>
        <v>677.78213429814866</v>
      </c>
      <c r="M2723" s="1">
        <f t="shared" si="262"/>
        <v>1972</v>
      </c>
      <c r="N2723" s="38">
        <f>+M2723*'Failure Data'!F$3</f>
        <v>50.943333333333335</v>
      </c>
    </row>
    <row r="2724" spans="1:14" x14ac:dyDescent="0.15">
      <c r="A2724" s="1">
        <v>2715</v>
      </c>
      <c r="B2724" s="3">
        <f t="shared" si="263"/>
        <v>684.37288778640504</v>
      </c>
      <c r="C2724" s="8"/>
      <c r="D2724" s="3">
        <f t="shared" si="264"/>
        <v>678.03303778352063</v>
      </c>
      <c r="F2724" s="3">
        <f t="shared" si="265"/>
        <v>-584.37288778640504</v>
      </c>
      <c r="G2724" s="3">
        <f t="shared" si="266"/>
        <v>6.3398500028844182</v>
      </c>
      <c r="H2724" s="3">
        <f t="shared" si="267"/>
        <v>678.03303778352063</v>
      </c>
      <c r="M2724" s="1">
        <f t="shared" si="262"/>
        <v>1973</v>
      </c>
      <c r="N2724" s="38">
        <f>+M2724*'Failure Data'!F$3</f>
        <v>50.969166666666666</v>
      </c>
    </row>
    <row r="2725" spans="1:14" x14ac:dyDescent="0.15">
      <c r="A2725" s="1">
        <v>2716</v>
      </c>
      <c r="B2725" s="3">
        <f t="shared" si="263"/>
        <v>684.62379127177701</v>
      </c>
      <c r="C2725" s="8"/>
      <c r="D2725" s="3">
        <f t="shared" si="264"/>
        <v>678.28394126889259</v>
      </c>
      <c r="F2725" s="3">
        <f t="shared" si="265"/>
        <v>-584.62379127177701</v>
      </c>
      <c r="G2725" s="3">
        <f t="shared" si="266"/>
        <v>6.3398500028844182</v>
      </c>
      <c r="H2725" s="3">
        <f t="shared" si="267"/>
        <v>678.28394126889259</v>
      </c>
      <c r="M2725" s="1">
        <f t="shared" si="262"/>
        <v>1974</v>
      </c>
      <c r="N2725" s="38">
        <f>+M2725*'Failure Data'!F$3</f>
        <v>50.994999999999997</v>
      </c>
    </row>
    <row r="2726" spans="1:14" x14ac:dyDescent="0.15">
      <c r="A2726" s="1">
        <v>2717</v>
      </c>
      <c r="B2726" s="3">
        <f t="shared" si="263"/>
        <v>684.87469475714897</v>
      </c>
      <c r="C2726" s="8"/>
      <c r="D2726" s="3">
        <f t="shared" si="264"/>
        <v>678.53484475426455</v>
      </c>
      <c r="F2726" s="3">
        <f t="shared" si="265"/>
        <v>-584.87469475714897</v>
      </c>
      <c r="G2726" s="3">
        <f t="shared" si="266"/>
        <v>6.3398500028844182</v>
      </c>
      <c r="H2726" s="3">
        <f t="shared" si="267"/>
        <v>678.53484475426455</v>
      </c>
      <c r="M2726" s="1">
        <f t="shared" si="262"/>
        <v>1975</v>
      </c>
      <c r="N2726" s="38">
        <f>+M2726*'Failure Data'!F$3</f>
        <v>51.020833333333336</v>
      </c>
    </row>
    <row r="2727" spans="1:14" x14ac:dyDescent="0.15">
      <c r="A2727" s="1">
        <v>2718</v>
      </c>
      <c r="B2727" s="3">
        <f t="shared" si="263"/>
        <v>685.12559824252094</v>
      </c>
      <c r="C2727" s="8"/>
      <c r="D2727" s="3">
        <f t="shared" si="264"/>
        <v>678.78574823963663</v>
      </c>
      <c r="F2727" s="3">
        <f t="shared" si="265"/>
        <v>-585.12559824252094</v>
      </c>
      <c r="G2727" s="3">
        <f t="shared" si="266"/>
        <v>6.3398500028843046</v>
      </c>
      <c r="H2727" s="3">
        <f t="shared" si="267"/>
        <v>678.78574823963663</v>
      </c>
      <c r="M2727" s="1">
        <f t="shared" si="262"/>
        <v>1976</v>
      </c>
      <c r="N2727" s="38">
        <f>+M2727*'Failure Data'!F$3</f>
        <v>51.046666666666667</v>
      </c>
    </row>
    <row r="2728" spans="1:14" x14ac:dyDescent="0.15">
      <c r="A2728" s="1">
        <v>2719</v>
      </c>
      <c r="B2728" s="3">
        <f t="shared" si="263"/>
        <v>685.37650172789301</v>
      </c>
      <c r="C2728" s="8"/>
      <c r="D2728" s="3">
        <f t="shared" si="264"/>
        <v>679.0366517250086</v>
      </c>
      <c r="F2728" s="3">
        <f t="shared" si="265"/>
        <v>-585.37650172789301</v>
      </c>
      <c r="G2728" s="3">
        <f t="shared" si="266"/>
        <v>6.3398500028844182</v>
      </c>
      <c r="H2728" s="3">
        <f t="shared" si="267"/>
        <v>679.0366517250086</v>
      </c>
      <c r="M2728" s="1">
        <f t="shared" si="262"/>
        <v>1977</v>
      </c>
      <c r="N2728" s="38">
        <f>+M2728*'Failure Data'!F$3</f>
        <v>51.072499999999998</v>
      </c>
    </row>
    <row r="2729" spans="1:14" x14ac:dyDescent="0.15">
      <c r="A2729" s="1">
        <v>2720</v>
      </c>
      <c r="B2729" s="3">
        <f t="shared" si="263"/>
        <v>685.62740521326498</v>
      </c>
      <c r="C2729" s="8"/>
      <c r="D2729" s="3">
        <f t="shared" si="264"/>
        <v>679.28755521038056</v>
      </c>
      <c r="F2729" s="3">
        <f t="shared" si="265"/>
        <v>-585.62740521326498</v>
      </c>
      <c r="G2729" s="3">
        <f t="shared" si="266"/>
        <v>6.3398500028844182</v>
      </c>
      <c r="H2729" s="3">
        <f t="shared" si="267"/>
        <v>679.28755521038056</v>
      </c>
      <c r="M2729" s="1">
        <f t="shared" si="262"/>
        <v>1978</v>
      </c>
      <c r="N2729" s="38">
        <f>+M2729*'Failure Data'!F$3</f>
        <v>51.098333333333336</v>
      </c>
    </row>
    <row r="2730" spans="1:14" x14ac:dyDescent="0.15">
      <c r="A2730" s="1">
        <v>2721</v>
      </c>
      <c r="B2730" s="3">
        <f t="shared" si="263"/>
        <v>685.87830869863694</v>
      </c>
      <c r="C2730" s="8"/>
      <c r="D2730" s="3">
        <f t="shared" si="264"/>
        <v>679.53845869575252</v>
      </c>
      <c r="F2730" s="3">
        <f t="shared" si="265"/>
        <v>-585.87830869863694</v>
      </c>
      <c r="G2730" s="3">
        <f t="shared" si="266"/>
        <v>6.3398500028844182</v>
      </c>
      <c r="H2730" s="3">
        <f t="shared" si="267"/>
        <v>679.53845869575252</v>
      </c>
      <c r="M2730" s="1">
        <f t="shared" si="262"/>
        <v>1979</v>
      </c>
      <c r="N2730" s="38">
        <f>+M2730*'Failure Data'!F$3</f>
        <v>51.124166666666667</v>
      </c>
    </row>
    <row r="2731" spans="1:14" x14ac:dyDescent="0.15">
      <c r="A2731" s="1">
        <v>2722</v>
      </c>
      <c r="B2731" s="3">
        <f t="shared" si="263"/>
        <v>686.12921218400891</v>
      </c>
      <c r="C2731" s="8"/>
      <c r="D2731" s="3">
        <f t="shared" si="264"/>
        <v>679.7893621811246</v>
      </c>
      <c r="F2731" s="3">
        <f t="shared" si="265"/>
        <v>-586.12921218400891</v>
      </c>
      <c r="G2731" s="3">
        <f t="shared" si="266"/>
        <v>6.3398500028843046</v>
      </c>
      <c r="H2731" s="3">
        <f t="shared" si="267"/>
        <v>679.7893621811246</v>
      </c>
      <c r="M2731" s="1">
        <f t="shared" si="262"/>
        <v>1980</v>
      </c>
      <c r="N2731" s="38">
        <f>+M2731*'Failure Data'!F$3</f>
        <v>51.15</v>
      </c>
    </row>
    <row r="2732" spans="1:14" x14ac:dyDescent="0.15">
      <c r="A2732" s="1">
        <v>2723</v>
      </c>
      <c r="B2732" s="3">
        <f t="shared" si="263"/>
        <v>686.38011566938098</v>
      </c>
      <c r="C2732" s="8"/>
      <c r="D2732" s="3">
        <f t="shared" si="264"/>
        <v>680.04026566649657</v>
      </c>
      <c r="F2732" s="3">
        <f t="shared" si="265"/>
        <v>-586.38011566938098</v>
      </c>
      <c r="G2732" s="3">
        <f t="shared" si="266"/>
        <v>6.3398500028844182</v>
      </c>
      <c r="H2732" s="3">
        <f t="shared" si="267"/>
        <v>680.04026566649657</v>
      </c>
      <c r="M2732" s="1">
        <f t="shared" si="262"/>
        <v>1981</v>
      </c>
      <c r="N2732" s="38">
        <f>+M2732*'Failure Data'!F$3</f>
        <v>51.17583333333333</v>
      </c>
    </row>
    <row r="2733" spans="1:14" x14ac:dyDescent="0.15">
      <c r="A2733" s="1">
        <v>2724</v>
      </c>
      <c r="B2733" s="3">
        <f t="shared" si="263"/>
        <v>686.63101915475295</v>
      </c>
      <c r="C2733" s="8"/>
      <c r="D2733" s="3">
        <f t="shared" si="264"/>
        <v>680.29116915186853</v>
      </c>
      <c r="F2733" s="3">
        <f t="shared" si="265"/>
        <v>-586.63101915475295</v>
      </c>
      <c r="G2733" s="3">
        <f t="shared" si="266"/>
        <v>6.3398500028844182</v>
      </c>
      <c r="H2733" s="3">
        <f t="shared" si="267"/>
        <v>680.29116915186853</v>
      </c>
      <c r="M2733" s="1">
        <f t="shared" si="262"/>
        <v>1982</v>
      </c>
      <c r="N2733" s="38">
        <f>+M2733*'Failure Data'!F$3</f>
        <v>51.201666666666668</v>
      </c>
    </row>
    <row r="2734" spans="1:14" x14ac:dyDescent="0.15">
      <c r="A2734" s="1">
        <v>2725</v>
      </c>
      <c r="B2734" s="3">
        <f t="shared" si="263"/>
        <v>686.88192264012491</v>
      </c>
      <c r="C2734" s="8"/>
      <c r="D2734" s="3">
        <f t="shared" si="264"/>
        <v>680.54207263724061</v>
      </c>
      <c r="F2734" s="3">
        <f t="shared" si="265"/>
        <v>-586.88192264012491</v>
      </c>
      <c r="G2734" s="3">
        <f t="shared" si="266"/>
        <v>6.3398500028843046</v>
      </c>
      <c r="H2734" s="3">
        <f t="shared" si="267"/>
        <v>680.54207263724061</v>
      </c>
      <c r="M2734" s="1">
        <f t="shared" si="262"/>
        <v>1983</v>
      </c>
      <c r="N2734" s="38">
        <f>+M2734*'Failure Data'!F$3</f>
        <v>51.227499999999999</v>
      </c>
    </row>
    <row r="2735" spans="1:14" x14ac:dyDescent="0.15">
      <c r="A2735" s="1">
        <v>2726</v>
      </c>
      <c r="B2735" s="3">
        <f t="shared" si="263"/>
        <v>687.13282612549688</v>
      </c>
      <c r="C2735" s="8"/>
      <c r="D2735" s="3">
        <f t="shared" si="264"/>
        <v>680.79297612261257</v>
      </c>
      <c r="F2735" s="3">
        <f t="shared" si="265"/>
        <v>-587.13282612549688</v>
      </c>
      <c r="G2735" s="3">
        <f t="shared" si="266"/>
        <v>6.3398500028843046</v>
      </c>
      <c r="H2735" s="3">
        <f t="shared" si="267"/>
        <v>680.79297612261257</v>
      </c>
      <c r="M2735" s="1">
        <f t="shared" si="262"/>
        <v>1984</v>
      </c>
      <c r="N2735" s="38">
        <f>+M2735*'Failure Data'!F$3</f>
        <v>51.25333333333333</v>
      </c>
    </row>
    <row r="2736" spans="1:14" x14ac:dyDescent="0.15">
      <c r="A2736" s="1">
        <v>2727</v>
      </c>
      <c r="B2736" s="3">
        <f t="shared" si="263"/>
        <v>687.38372961086895</v>
      </c>
      <c r="C2736" s="8"/>
      <c r="D2736" s="3">
        <f t="shared" si="264"/>
        <v>681.04387960798454</v>
      </c>
      <c r="F2736" s="3">
        <f t="shared" si="265"/>
        <v>-587.38372961086895</v>
      </c>
      <c r="G2736" s="3">
        <f t="shared" si="266"/>
        <v>6.3398500028844182</v>
      </c>
      <c r="H2736" s="3">
        <f t="shared" si="267"/>
        <v>681.04387960798454</v>
      </c>
      <c r="M2736" s="1">
        <f t="shared" si="262"/>
        <v>1985</v>
      </c>
      <c r="N2736" s="38">
        <f>+M2736*'Failure Data'!F$3</f>
        <v>51.279166666666669</v>
      </c>
    </row>
    <row r="2737" spans="1:14" x14ac:dyDescent="0.15">
      <c r="A2737" s="1">
        <v>2728</v>
      </c>
      <c r="B2737" s="3">
        <f t="shared" si="263"/>
        <v>687.63463309624092</v>
      </c>
      <c r="C2737" s="8"/>
      <c r="D2737" s="3">
        <f t="shared" si="264"/>
        <v>681.2947830933565</v>
      </c>
      <c r="F2737" s="3">
        <f t="shared" si="265"/>
        <v>-587.63463309624092</v>
      </c>
      <c r="G2737" s="3">
        <f t="shared" si="266"/>
        <v>6.3398500028844182</v>
      </c>
      <c r="H2737" s="3">
        <f t="shared" si="267"/>
        <v>681.2947830933565</v>
      </c>
      <c r="M2737" s="1">
        <f t="shared" si="262"/>
        <v>1986</v>
      </c>
      <c r="N2737" s="38">
        <f>+M2737*'Failure Data'!F$3</f>
        <v>51.305</v>
      </c>
    </row>
    <row r="2738" spans="1:14" x14ac:dyDescent="0.15">
      <c r="A2738" s="1">
        <v>2729</v>
      </c>
      <c r="B2738" s="3">
        <f t="shared" si="263"/>
        <v>687.88553658161288</v>
      </c>
      <c r="C2738" s="8"/>
      <c r="D2738" s="3">
        <f t="shared" si="264"/>
        <v>681.54568657872858</v>
      </c>
      <c r="F2738" s="3">
        <f t="shared" si="265"/>
        <v>-587.88553658161288</v>
      </c>
      <c r="G2738" s="3">
        <f t="shared" si="266"/>
        <v>6.3398500028843046</v>
      </c>
      <c r="H2738" s="3">
        <f t="shared" si="267"/>
        <v>681.54568657872858</v>
      </c>
      <c r="M2738" s="1">
        <f t="shared" si="262"/>
        <v>1987</v>
      </c>
      <c r="N2738" s="38">
        <f>+M2738*'Failure Data'!F$3</f>
        <v>51.330833333333331</v>
      </c>
    </row>
    <row r="2739" spans="1:14" x14ac:dyDescent="0.15">
      <c r="A2739" s="1">
        <v>2730</v>
      </c>
      <c r="B2739" s="3">
        <f t="shared" si="263"/>
        <v>688.13644006698485</v>
      </c>
      <c r="C2739" s="8"/>
      <c r="D2739" s="3">
        <f t="shared" si="264"/>
        <v>681.79659006410054</v>
      </c>
      <c r="F2739" s="3">
        <f t="shared" si="265"/>
        <v>-588.13644006698485</v>
      </c>
      <c r="G2739" s="3">
        <f t="shared" si="266"/>
        <v>6.3398500028843046</v>
      </c>
      <c r="H2739" s="3">
        <f t="shared" si="267"/>
        <v>681.79659006410054</v>
      </c>
      <c r="M2739" s="1">
        <f t="shared" si="262"/>
        <v>1988</v>
      </c>
      <c r="N2739" s="38">
        <f>+M2739*'Failure Data'!F$3</f>
        <v>51.356666666666669</v>
      </c>
    </row>
    <row r="2740" spans="1:14" x14ac:dyDescent="0.15">
      <c r="A2740" s="1">
        <v>2731</v>
      </c>
      <c r="B2740" s="3">
        <f t="shared" si="263"/>
        <v>688.38734355235692</v>
      </c>
      <c r="C2740" s="8"/>
      <c r="D2740" s="3">
        <f t="shared" si="264"/>
        <v>682.04749354947251</v>
      </c>
      <c r="F2740" s="3">
        <f t="shared" si="265"/>
        <v>-588.38734355235692</v>
      </c>
      <c r="G2740" s="3">
        <f t="shared" si="266"/>
        <v>6.3398500028844182</v>
      </c>
      <c r="H2740" s="3">
        <f t="shared" si="267"/>
        <v>682.04749354947251</v>
      </c>
      <c r="M2740" s="1">
        <f t="shared" si="262"/>
        <v>1989</v>
      </c>
      <c r="N2740" s="38">
        <f>+M2740*'Failure Data'!F$3</f>
        <v>51.3825</v>
      </c>
    </row>
    <row r="2741" spans="1:14" x14ac:dyDescent="0.15">
      <c r="A2741" s="1">
        <v>2732</v>
      </c>
      <c r="B2741" s="3">
        <f t="shared" si="263"/>
        <v>688.63824703772889</v>
      </c>
      <c r="C2741" s="8"/>
      <c r="D2741" s="3">
        <f t="shared" si="264"/>
        <v>682.29839703484447</v>
      </c>
      <c r="F2741" s="3">
        <f t="shared" si="265"/>
        <v>-588.63824703772889</v>
      </c>
      <c r="G2741" s="3">
        <f t="shared" si="266"/>
        <v>6.3398500028844182</v>
      </c>
      <c r="H2741" s="3">
        <f t="shared" si="267"/>
        <v>682.29839703484447</v>
      </c>
      <c r="M2741" s="1">
        <f t="shared" si="262"/>
        <v>1990</v>
      </c>
      <c r="N2741" s="38">
        <f>+M2741*'Failure Data'!F$3</f>
        <v>51.408333333333331</v>
      </c>
    </row>
    <row r="2742" spans="1:14" x14ac:dyDescent="0.15">
      <c r="A2742" s="1">
        <v>2733</v>
      </c>
      <c r="B2742" s="3">
        <f t="shared" si="263"/>
        <v>688.88915052310085</v>
      </c>
      <c r="C2742" s="8"/>
      <c r="D2742" s="3">
        <f t="shared" si="264"/>
        <v>682.54930052021655</v>
      </c>
      <c r="F2742" s="3">
        <f t="shared" si="265"/>
        <v>-588.88915052310085</v>
      </c>
      <c r="G2742" s="3">
        <f t="shared" si="266"/>
        <v>6.3398500028843046</v>
      </c>
      <c r="H2742" s="3">
        <f t="shared" si="267"/>
        <v>682.54930052021655</v>
      </c>
      <c r="M2742" s="1">
        <f t="shared" si="262"/>
        <v>1991</v>
      </c>
      <c r="N2742" s="38">
        <f>+M2742*'Failure Data'!F$3</f>
        <v>51.43416666666667</v>
      </c>
    </row>
    <row r="2743" spans="1:14" x14ac:dyDescent="0.15">
      <c r="A2743" s="1">
        <v>2734</v>
      </c>
      <c r="B2743" s="3">
        <f t="shared" si="263"/>
        <v>689.14005400847293</v>
      </c>
      <c r="C2743" s="8"/>
      <c r="D2743" s="3">
        <f t="shared" si="264"/>
        <v>682.80020400558851</v>
      </c>
      <c r="F2743" s="3">
        <f t="shared" si="265"/>
        <v>-589.14005400847293</v>
      </c>
      <c r="G2743" s="3">
        <f t="shared" si="266"/>
        <v>6.3398500028844182</v>
      </c>
      <c r="H2743" s="3">
        <f t="shared" si="267"/>
        <v>682.80020400558851</v>
      </c>
      <c r="M2743" s="1">
        <f t="shared" si="262"/>
        <v>1992</v>
      </c>
      <c r="N2743" s="38">
        <f>+M2743*'Failure Data'!F$3</f>
        <v>51.46</v>
      </c>
    </row>
    <row r="2744" spans="1:14" x14ac:dyDescent="0.15">
      <c r="A2744" s="1">
        <v>2735</v>
      </c>
      <c r="B2744" s="3">
        <f t="shared" si="263"/>
        <v>689.39095749384489</v>
      </c>
      <c r="C2744" s="8"/>
      <c r="D2744" s="3">
        <f t="shared" si="264"/>
        <v>683.05110749096048</v>
      </c>
      <c r="F2744" s="3">
        <f t="shared" si="265"/>
        <v>-589.39095749384489</v>
      </c>
      <c r="G2744" s="3">
        <f t="shared" si="266"/>
        <v>6.3398500028844182</v>
      </c>
      <c r="H2744" s="3">
        <f t="shared" si="267"/>
        <v>683.05110749096048</v>
      </c>
      <c r="M2744" s="1">
        <f t="shared" si="262"/>
        <v>1993</v>
      </c>
      <c r="N2744" s="38">
        <f>+M2744*'Failure Data'!F$3</f>
        <v>51.485833333333332</v>
      </c>
    </row>
    <row r="2745" spans="1:14" x14ac:dyDescent="0.15">
      <c r="A2745" s="1">
        <v>2736</v>
      </c>
      <c r="B2745" s="3">
        <f t="shared" si="263"/>
        <v>689.64186097921686</v>
      </c>
      <c r="C2745" s="8"/>
      <c r="D2745" s="3">
        <f t="shared" si="264"/>
        <v>683.30201097633244</v>
      </c>
      <c r="F2745" s="3">
        <f t="shared" si="265"/>
        <v>-589.64186097921686</v>
      </c>
      <c r="G2745" s="3">
        <f t="shared" si="266"/>
        <v>6.3398500028844182</v>
      </c>
      <c r="H2745" s="3">
        <f t="shared" si="267"/>
        <v>683.30201097633244</v>
      </c>
      <c r="M2745" s="1">
        <f t="shared" si="262"/>
        <v>1994</v>
      </c>
      <c r="N2745" s="38">
        <f>+M2745*'Failure Data'!F$3</f>
        <v>51.511666666666663</v>
      </c>
    </row>
    <row r="2746" spans="1:14" x14ac:dyDescent="0.15">
      <c r="A2746" s="1">
        <v>2737</v>
      </c>
      <c r="B2746" s="3">
        <f t="shared" si="263"/>
        <v>689.89276446458882</v>
      </c>
      <c r="C2746" s="8"/>
      <c r="D2746" s="3">
        <f t="shared" si="264"/>
        <v>683.55291446170452</v>
      </c>
      <c r="F2746" s="3">
        <f t="shared" si="265"/>
        <v>-589.89276446458882</v>
      </c>
      <c r="G2746" s="3">
        <f t="shared" si="266"/>
        <v>6.3398500028843046</v>
      </c>
      <c r="H2746" s="3">
        <f t="shared" si="267"/>
        <v>683.55291446170452</v>
      </c>
      <c r="M2746" s="1">
        <f t="shared" si="262"/>
        <v>1995</v>
      </c>
      <c r="N2746" s="38">
        <f>+M2746*'Failure Data'!F$3</f>
        <v>51.537500000000001</v>
      </c>
    </row>
    <row r="2747" spans="1:14" x14ac:dyDescent="0.15">
      <c r="A2747" s="1">
        <v>2738</v>
      </c>
      <c r="B2747" s="3">
        <f t="shared" si="263"/>
        <v>690.1436679499609</v>
      </c>
      <c r="C2747" s="8"/>
      <c r="D2747" s="3">
        <f t="shared" si="264"/>
        <v>683.80381794707648</v>
      </c>
      <c r="F2747" s="3">
        <f t="shared" si="265"/>
        <v>-590.1436679499609</v>
      </c>
      <c r="G2747" s="3">
        <f t="shared" si="266"/>
        <v>6.3398500028844182</v>
      </c>
      <c r="H2747" s="3">
        <f t="shared" si="267"/>
        <v>683.80381794707648</v>
      </c>
      <c r="M2747" s="1">
        <f t="shared" si="262"/>
        <v>1996</v>
      </c>
      <c r="N2747" s="38">
        <f>+M2747*'Failure Data'!F$3</f>
        <v>51.563333333333333</v>
      </c>
    </row>
    <row r="2748" spans="1:14" x14ac:dyDescent="0.15">
      <c r="A2748" s="1">
        <v>2739</v>
      </c>
      <c r="B2748" s="3">
        <f t="shared" si="263"/>
        <v>690.39457143533286</v>
      </c>
      <c r="C2748" s="8"/>
      <c r="D2748" s="3">
        <f t="shared" si="264"/>
        <v>684.05472143244845</v>
      </c>
      <c r="F2748" s="3">
        <f t="shared" si="265"/>
        <v>-590.39457143533286</v>
      </c>
      <c r="G2748" s="3">
        <f t="shared" si="266"/>
        <v>6.3398500028844182</v>
      </c>
      <c r="H2748" s="3">
        <f t="shared" si="267"/>
        <v>684.05472143244845</v>
      </c>
      <c r="M2748" s="1">
        <f t="shared" si="262"/>
        <v>1997</v>
      </c>
      <c r="N2748" s="38">
        <f>+M2748*'Failure Data'!F$3</f>
        <v>51.589166666666664</v>
      </c>
    </row>
    <row r="2749" spans="1:14" x14ac:dyDescent="0.15">
      <c r="A2749" s="1">
        <v>2740</v>
      </c>
      <c r="B2749" s="3">
        <f t="shared" si="263"/>
        <v>690.64547492070483</v>
      </c>
      <c r="C2749" s="8"/>
      <c r="D2749" s="3">
        <f t="shared" si="264"/>
        <v>684.30562491782041</v>
      </c>
      <c r="F2749" s="3">
        <f t="shared" si="265"/>
        <v>-590.64547492070483</v>
      </c>
      <c r="G2749" s="3">
        <f t="shared" si="266"/>
        <v>6.3398500028844182</v>
      </c>
      <c r="H2749" s="3">
        <f t="shared" si="267"/>
        <v>684.30562491782041</v>
      </c>
      <c r="M2749" s="1">
        <f t="shared" si="262"/>
        <v>1998</v>
      </c>
      <c r="N2749" s="38">
        <f>+M2749*'Failure Data'!F$3</f>
        <v>51.615000000000002</v>
      </c>
    </row>
    <row r="2750" spans="1:14" x14ac:dyDescent="0.15">
      <c r="A2750" s="1">
        <v>2741</v>
      </c>
      <c r="B2750" s="3">
        <f t="shared" si="263"/>
        <v>690.89637840607679</v>
      </c>
      <c r="C2750" s="8"/>
      <c r="D2750" s="3">
        <f t="shared" si="264"/>
        <v>684.55652840319249</v>
      </c>
      <c r="F2750" s="3">
        <f t="shared" si="265"/>
        <v>-590.89637840607679</v>
      </c>
      <c r="G2750" s="3">
        <f t="shared" si="266"/>
        <v>6.3398500028843046</v>
      </c>
      <c r="H2750" s="3">
        <f t="shared" si="267"/>
        <v>684.55652840319249</v>
      </c>
      <c r="M2750" s="1">
        <f t="shared" si="262"/>
        <v>1999</v>
      </c>
      <c r="N2750" s="38">
        <f>+M2750*'Failure Data'!F$3</f>
        <v>51.640833333333333</v>
      </c>
    </row>
    <row r="2751" spans="1:14" x14ac:dyDescent="0.15">
      <c r="A2751" s="1">
        <v>2742</v>
      </c>
      <c r="B2751" s="3">
        <f t="shared" si="263"/>
        <v>691.14728189144887</v>
      </c>
      <c r="C2751" s="8"/>
      <c r="D2751" s="3">
        <f t="shared" si="264"/>
        <v>684.80743188856445</v>
      </c>
      <c r="F2751" s="3">
        <f t="shared" si="265"/>
        <v>-591.14728189144887</v>
      </c>
      <c r="G2751" s="3">
        <f t="shared" si="266"/>
        <v>6.3398500028844182</v>
      </c>
      <c r="H2751" s="3">
        <f t="shared" si="267"/>
        <v>684.80743188856445</v>
      </c>
      <c r="M2751" s="1">
        <f t="shared" si="262"/>
        <v>2000</v>
      </c>
      <c r="N2751" s="38">
        <f>+M2751*'Failure Data'!F$3</f>
        <v>51.666666666666664</v>
      </c>
    </row>
    <row r="2752" spans="1:14" x14ac:dyDescent="0.15">
      <c r="A2752" s="1">
        <v>2743</v>
      </c>
      <c r="B2752" s="3">
        <f t="shared" si="263"/>
        <v>691.39818537682083</v>
      </c>
      <c r="C2752" s="8"/>
      <c r="D2752" s="3">
        <f t="shared" si="264"/>
        <v>685.05833537393642</v>
      </c>
      <c r="F2752" s="3">
        <f t="shared" si="265"/>
        <v>-591.39818537682083</v>
      </c>
      <c r="G2752" s="3">
        <f t="shared" si="266"/>
        <v>6.3398500028844182</v>
      </c>
      <c r="H2752" s="3">
        <f t="shared" si="267"/>
        <v>685.05833537393642</v>
      </c>
      <c r="M2752" s="1">
        <f t="shared" si="262"/>
        <v>2001</v>
      </c>
      <c r="N2752" s="38">
        <f>+M2752*'Failure Data'!F$3</f>
        <v>51.692500000000003</v>
      </c>
    </row>
    <row r="2753" spans="1:14" x14ac:dyDescent="0.15">
      <c r="A2753" s="1">
        <v>2744</v>
      </c>
      <c r="B2753" s="3">
        <f t="shared" si="263"/>
        <v>691.6490888621928</v>
      </c>
      <c r="C2753" s="8"/>
      <c r="D2753" s="3">
        <f t="shared" si="264"/>
        <v>685.30923885930838</v>
      </c>
      <c r="F2753" s="3">
        <f t="shared" si="265"/>
        <v>-591.6490888621928</v>
      </c>
      <c r="G2753" s="3">
        <f t="shared" si="266"/>
        <v>6.3398500028844182</v>
      </c>
      <c r="H2753" s="3">
        <f t="shared" si="267"/>
        <v>685.30923885930838</v>
      </c>
      <c r="M2753" s="1">
        <f t="shared" ref="M2753:M2816" si="268">M2752+1</f>
        <v>2002</v>
      </c>
      <c r="N2753" s="38">
        <f>+M2753*'Failure Data'!F$3</f>
        <v>51.718333333333334</v>
      </c>
    </row>
    <row r="2754" spans="1:14" x14ac:dyDescent="0.15">
      <c r="A2754" s="1">
        <v>2745</v>
      </c>
      <c r="B2754" s="3">
        <f t="shared" si="263"/>
        <v>691.89999234756476</v>
      </c>
      <c r="C2754" s="8"/>
      <c r="D2754" s="3">
        <f t="shared" si="264"/>
        <v>685.56014234468046</v>
      </c>
      <c r="F2754" s="3">
        <f t="shared" si="265"/>
        <v>-591.89999234756476</v>
      </c>
      <c r="G2754" s="3">
        <f t="shared" si="266"/>
        <v>6.3398500028843046</v>
      </c>
      <c r="H2754" s="3">
        <f t="shared" si="267"/>
        <v>685.56014234468046</v>
      </c>
      <c r="M2754" s="1">
        <f t="shared" si="268"/>
        <v>2003</v>
      </c>
      <c r="N2754" s="38">
        <f>+M2754*'Failure Data'!F$3</f>
        <v>51.744166666666665</v>
      </c>
    </row>
    <row r="2755" spans="1:14" x14ac:dyDescent="0.15">
      <c r="A2755" s="1">
        <v>2746</v>
      </c>
      <c r="B2755" s="3">
        <f t="shared" si="263"/>
        <v>692.15089583293684</v>
      </c>
      <c r="C2755" s="8"/>
      <c r="D2755" s="3">
        <f t="shared" si="264"/>
        <v>685.81104583005242</v>
      </c>
      <c r="F2755" s="3">
        <f t="shared" si="265"/>
        <v>-592.15089583293684</v>
      </c>
      <c r="G2755" s="3">
        <f t="shared" si="266"/>
        <v>6.3398500028844182</v>
      </c>
      <c r="H2755" s="3">
        <f t="shared" si="267"/>
        <v>685.81104583005242</v>
      </c>
      <c r="M2755" s="1">
        <f t="shared" si="268"/>
        <v>2004</v>
      </c>
      <c r="N2755" s="38">
        <f>+M2755*'Failure Data'!F$3</f>
        <v>51.77</v>
      </c>
    </row>
    <row r="2756" spans="1:14" x14ac:dyDescent="0.15">
      <c r="A2756" s="1">
        <v>2747</v>
      </c>
      <c r="B2756" s="3">
        <f t="shared" si="263"/>
        <v>692.4017993183088</v>
      </c>
      <c r="C2756" s="8"/>
      <c r="D2756" s="3">
        <f t="shared" si="264"/>
        <v>686.06194931542439</v>
      </c>
      <c r="F2756" s="3">
        <f t="shared" si="265"/>
        <v>-592.4017993183088</v>
      </c>
      <c r="G2756" s="3">
        <f t="shared" si="266"/>
        <v>6.3398500028844182</v>
      </c>
      <c r="H2756" s="3">
        <f t="shared" si="267"/>
        <v>686.06194931542439</v>
      </c>
      <c r="M2756" s="1">
        <f t="shared" si="268"/>
        <v>2005</v>
      </c>
      <c r="N2756" s="38">
        <f>+M2756*'Failure Data'!F$3</f>
        <v>51.795833333333334</v>
      </c>
    </row>
    <row r="2757" spans="1:14" x14ac:dyDescent="0.15">
      <c r="A2757" s="1">
        <v>2748</v>
      </c>
      <c r="B2757" s="3">
        <f t="shared" si="263"/>
        <v>692.65270280368077</v>
      </c>
      <c r="C2757" s="8"/>
      <c r="D2757" s="3">
        <f t="shared" si="264"/>
        <v>686.31285280079646</v>
      </c>
      <c r="F2757" s="3">
        <f t="shared" si="265"/>
        <v>-592.65270280368077</v>
      </c>
      <c r="G2757" s="3">
        <f t="shared" si="266"/>
        <v>6.3398500028843046</v>
      </c>
      <c r="H2757" s="3">
        <f t="shared" si="267"/>
        <v>686.31285280079646</v>
      </c>
      <c r="M2757" s="1">
        <f t="shared" si="268"/>
        <v>2006</v>
      </c>
      <c r="N2757" s="38">
        <f>+M2757*'Failure Data'!F$3</f>
        <v>51.821666666666665</v>
      </c>
    </row>
    <row r="2758" spans="1:14" x14ac:dyDescent="0.15">
      <c r="A2758" s="1">
        <v>2749</v>
      </c>
      <c r="B2758" s="3">
        <f t="shared" si="263"/>
        <v>692.90360628905273</v>
      </c>
      <c r="C2758" s="8"/>
      <c r="D2758" s="3">
        <f t="shared" si="264"/>
        <v>686.56375628616843</v>
      </c>
      <c r="F2758" s="3">
        <f t="shared" si="265"/>
        <v>-592.90360628905273</v>
      </c>
      <c r="G2758" s="3">
        <f t="shared" si="266"/>
        <v>6.3398500028843046</v>
      </c>
      <c r="H2758" s="3">
        <f t="shared" si="267"/>
        <v>686.56375628616843</v>
      </c>
      <c r="M2758" s="1">
        <f t="shared" si="268"/>
        <v>2007</v>
      </c>
      <c r="N2758" s="38">
        <f>+M2758*'Failure Data'!F$3</f>
        <v>51.847499999999997</v>
      </c>
    </row>
    <row r="2759" spans="1:14" x14ac:dyDescent="0.15">
      <c r="A2759" s="1">
        <v>2750</v>
      </c>
      <c r="B2759" s="3">
        <f t="shared" si="263"/>
        <v>693.15450977442481</v>
      </c>
      <c r="C2759" s="8"/>
      <c r="D2759" s="3">
        <f t="shared" si="264"/>
        <v>686.81465977154039</v>
      </c>
      <c r="F2759" s="3">
        <f t="shared" si="265"/>
        <v>-593.15450977442481</v>
      </c>
      <c r="G2759" s="3">
        <f t="shared" si="266"/>
        <v>6.3398500028844182</v>
      </c>
      <c r="H2759" s="3">
        <f t="shared" si="267"/>
        <v>686.81465977154039</v>
      </c>
      <c r="M2759" s="1">
        <f t="shared" si="268"/>
        <v>2008</v>
      </c>
      <c r="N2759" s="38">
        <f>+M2759*'Failure Data'!F$3</f>
        <v>51.873333333333335</v>
      </c>
    </row>
    <row r="2760" spans="1:14" x14ac:dyDescent="0.15">
      <c r="A2760" s="1">
        <v>2751</v>
      </c>
      <c r="B2760" s="3">
        <f t="shared" si="263"/>
        <v>693.40541325979677</v>
      </c>
      <c r="C2760" s="8"/>
      <c r="D2760" s="3">
        <f t="shared" si="264"/>
        <v>687.06556325691236</v>
      </c>
      <c r="F2760" s="3">
        <f t="shared" si="265"/>
        <v>-593.40541325979677</v>
      </c>
      <c r="G2760" s="3">
        <f t="shared" si="266"/>
        <v>6.3398500028844182</v>
      </c>
      <c r="H2760" s="3">
        <f t="shared" si="267"/>
        <v>687.06556325691236</v>
      </c>
      <c r="M2760" s="1">
        <f t="shared" si="268"/>
        <v>2009</v>
      </c>
      <c r="N2760" s="38">
        <f>+M2760*'Failure Data'!F$3</f>
        <v>51.899166666666666</v>
      </c>
    </row>
    <row r="2761" spans="1:14" x14ac:dyDescent="0.15">
      <c r="A2761" s="1">
        <v>2752</v>
      </c>
      <c r="B2761" s="3">
        <f t="shared" si="263"/>
        <v>693.65631674516874</v>
      </c>
      <c r="C2761" s="8"/>
      <c r="D2761" s="3">
        <f t="shared" si="264"/>
        <v>687.31646674228443</v>
      </c>
      <c r="F2761" s="3">
        <f t="shared" si="265"/>
        <v>-593.65631674516874</v>
      </c>
      <c r="G2761" s="3">
        <f t="shared" si="266"/>
        <v>6.3398500028843046</v>
      </c>
      <c r="H2761" s="3">
        <f t="shared" si="267"/>
        <v>687.31646674228443</v>
      </c>
      <c r="M2761" s="1">
        <f t="shared" si="268"/>
        <v>2010</v>
      </c>
      <c r="N2761" s="38">
        <f>+M2761*'Failure Data'!F$3</f>
        <v>51.924999999999997</v>
      </c>
    </row>
    <row r="2762" spans="1:14" x14ac:dyDescent="0.15">
      <c r="A2762" s="1">
        <v>2753</v>
      </c>
      <c r="B2762" s="3">
        <f t="shared" si="263"/>
        <v>693.9072202305407</v>
      </c>
      <c r="C2762" s="8"/>
      <c r="D2762" s="3">
        <f t="shared" si="264"/>
        <v>687.5673702276564</v>
      </c>
      <c r="F2762" s="3">
        <f t="shared" si="265"/>
        <v>-593.9072202305407</v>
      </c>
      <c r="G2762" s="3">
        <f t="shared" si="266"/>
        <v>6.3398500028843046</v>
      </c>
      <c r="H2762" s="3">
        <f t="shared" si="267"/>
        <v>687.5673702276564</v>
      </c>
      <c r="M2762" s="1">
        <f t="shared" si="268"/>
        <v>2011</v>
      </c>
      <c r="N2762" s="38">
        <f>+M2762*'Failure Data'!F$3</f>
        <v>51.950833333333335</v>
      </c>
    </row>
    <row r="2763" spans="1:14" x14ac:dyDescent="0.15">
      <c r="A2763" s="1">
        <v>2754</v>
      </c>
      <c r="B2763" s="3">
        <f t="shared" si="263"/>
        <v>694.15812371591278</v>
      </c>
      <c r="C2763" s="8"/>
      <c r="D2763" s="3">
        <f t="shared" si="264"/>
        <v>687.81827371302836</v>
      </c>
      <c r="F2763" s="3">
        <f t="shared" si="265"/>
        <v>-594.15812371591278</v>
      </c>
      <c r="G2763" s="3">
        <f t="shared" si="266"/>
        <v>6.3398500028844182</v>
      </c>
      <c r="H2763" s="3">
        <f t="shared" si="267"/>
        <v>687.81827371302836</v>
      </c>
      <c r="M2763" s="1">
        <f t="shared" si="268"/>
        <v>2012</v>
      </c>
      <c r="N2763" s="38">
        <f>+M2763*'Failure Data'!F$3</f>
        <v>51.976666666666667</v>
      </c>
    </row>
    <row r="2764" spans="1:14" x14ac:dyDescent="0.15">
      <c r="A2764" s="1">
        <v>2755</v>
      </c>
      <c r="B2764" s="3">
        <f t="shared" si="263"/>
        <v>694.40902720128474</v>
      </c>
      <c r="C2764" s="8"/>
      <c r="D2764" s="3">
        <f t="shared" si="264"/>
        <v>688.06917719840033</v>
      </c>
      <c r="F2764" s="3">
        <f t="shared" si="265"/>
        <v>-594.40902720128474</v>
      </c>
      <c r="G2764" s="3">
        <f t="shared" si="266"/>
        <v>6.3398500028844182</v>
      </c>
      <c r="H2764" s="3">
        <f t="shared" si="267"/>
        <v>688.06917719840033</v>
      </c>
      <c r="M2764" s="1">
        <f t="shared" si="268"/>
        <v>2013</v>
      </c>
      <c r="N2764" s="38">
        <f>+M2764*'Failure Data'!F$3</f>
        <v>52.002499999999998</v>
      </c>
    </row>
    <row r="2765" spans="1:14" x14ac:dyDescent="0.15">
      <c r="A2765" s="1">
        <v>2756</v>
      </c>
      <c r="B2765" s="3">
        <f t="shared" si="263"/>
        <v>694.65993068665671</v>
      </c>
      <c r="C2765" s="8"/>
      <c r="D2765" s="3">
        <f t="shared" si="264"/>
        <v>688.3200806837724</v>
      </c>
      <c r="F2765" s="3">
        <f t="shared" si="265"/>
        <v>-594.65993068665671</v>
      </c>
      <c r="G2765" s="3">
        <f t="shared" si="266"/>
        <v>6.3398500028843046</v>
      </c>
      <c r="H2765" s="3">
        <f t="shared" si="267"/>
        <v>688.3200806837724</v>
      </c>
      <c r="M2765" s="1">
        <f t="shared" si="268"/>
        <v>2014</v>
      </c>
      <c r="N2765" s="38">
        <f>+M2765*'Failure Data'!F$3</f>
        <v>52.028333333333336</v>
      </c>
    </row>
    <row r="2766" spans="1:14" x14ac:dyDescent="0.15">
      <c r="A2766" s="1">
        <v>2757</v>
      </c>
      <c r="B2766" s="3">
        <f t="shared" si="263"/>
        <v>694.91083417202879</v>
      </c>
      <c r="C2766" s="8"/>
      <c r="D2766" s="3">
        <f t="shared" si="264"/>
        <v>688.57098416914437</v>
      </c>
      <c r="F2766" s="3">
        <f t="shared" si="265"/>
        <v>-594.91083417202879</v>
      </c>
      <c r="G2766" s="3">
        <f t="shared" si="266"/>
        <v>6.3398500028844182</v>
      </c>
      <c r="H2766" s="3">
        <f t="shared" si="267"/>
        <v>688.57098416914437</v>
      </c>
      <c r="M2766" s="1">
        <f t="shared" si="268"/>
        <v>2015</v>
      </c>
      <c r="N2766" s="38">
        <f>+M2766*'Failure Data'!F$3</f>
        <v>52.054166666666667</v>
      </c>
    </row>
    <row r="2767" spans="1:14" x14ac:dyDescent="0.15">
      <c r="A2767" s="1">
        <v>2758</v>
      </c>
      <c r="B2767" s="3">
        <f t="shared" si="263"/>
        <v>695.16173765740075</v>
      </c>
      <c r="C2767" s="8"/>
      <c r="D2767" s="3">
        <f t="shared" si="264"/>
        <v>688.82188765451633</v>
      </c>
      <c r="F2767" s="3">
        <f t="shared" si="265"/>
        <v>-595.16173765740075</v>
      </c>
      <c r="G2767" s="3">
        <f t="shared" si="266"/>
        <v>6.3398500028844182</v>
      </c>
      <c r="H2767" s="3">
        <f t="shared" si="267"/>
        <v>688.82188765451633</v>
      </c>
      <c r="M2767" s="1">
        <f t="shared" si="268"/>
        <v>2016</v>
      </c>
      <c r="N2767" s="38">
        <f>+M2767*'Failure Data'!F$3</f>
        <v>52.08</v>
      </c>
    </row>
    <row r="2768" spans="1:14" x14ac:dyDescent="0.15">
      <c r="A2768" s="1">
        <v>2759</v>
      </c>
      <c r="B2768" s="3">
        <f t="shared" si="263"/>
        <v>695.41264114277271</v>
      </c>
      <c r="C2768" s="8"/>
      <c r="D2768" s="3">
        <f t="shared" si="264"/>
        <v>689.0727911398883</v>
      </c>
      <c r="F2768" s="3">
        <f t="shared" si="265"/>
        <v>-595.41264114277271</v>
      </c>
      <c r="G2768" s="3">
        <f t="shared" si="266"/>
        <v>6.3398500028844182</v>
      </c>
      <c r="H2768" s="3">
        <f t="shared" si="267"/>
        <v>689.0727911398883</v>
      </c>
      <c r="M2768" s="1">
        <f t="shared" si="268"/>
        <v>2017</v>
      </c>
      <c r="N2768" s="38">
        <f>+M2768*'Failure Data'!F$3</f>
        <v>52.105833333333329</v>
      </c>
    </row>
    <row r="2769" spans="1:14" x14ac:dyDescent="0.15">
      <c r="A2769" s="1">
        <v>2760</v>
      </c>
      <c r="B2769" s="3">
        <f t="shared" si="263"/>
        <v>695.66354462814468</v>
      </c>
      <c r="C2769" s="8"/>
      <c r="D2769" s="3">
        <f t="shared" si="264"/>
        <v>689.32369462526037</v>
      </c>
      <c r="F2769" s="3">
        <f t="shared" si="265"/>
        <v>-595.66354462814468</v>
      </c>
      <c r="G2769" s="3">
        <f t="shared" si="266"/>
        <v>6.3398500028843046</v>
      </c>
      <c r="H2769" s="3">
        <f t="shared" si="267"/>
        <v>689.32369462526037</v>
      </c>
      <c r="M2769" s="1">
        <f t="shared" si="268"/>
        <v>2018</v>
      </c>
      <c r="N2769" s="38">
        <f>+M2769*'Failure Data'!F$3</f>
        <v>52.131666666666668</v>
      </c>
    </row>
    <row r="2770" spans="1:14" x14ac:dyDescent="0.15">
      <c r="A2770" s="1">
        <v>2761</v>
      </c>
      <c r="B2770" s="3">
        <f t="shared" si="263"/>
        <v>695.91444811351676</v>
      </c>
      <c r="C2770" s="8"/>
      <c r="D2770" s="3">
        <f t="shared" si="264"/>
        <v>689.57459811063234</v>
      </c>
      <c r="F2770" s="3">
        <f t="shared" si="265"/>
        <v>-595.91444811351676</v>
      </c>
      <c r="G2770" s="3">
        <f t="shared" si="266"/>
        <v>6.3398500028844182</v>
      </c>
      <c r="H2770" s="3">
        <f t="shared" si="267"/>
        <v>689.57459811063234</v>
      </c>
      <c r="M2770" s="1">
        <f t="shared" si="268"/>
        <v>2019</v>
      </c>
      <c r="N2770" s="38">
        <f>+M2770*'Failure Data'!F$3</f>
        <v>52.157499999999999</v>
      </c>
    </row>
    <row r="2771" spans="1:14" x14ac:dyDescent="0.15">
      <c r="A2771" s="1">
        <v>2762</v>
      </c>
      <c r="B2771" s="3">
        <f t="shared" si="263"/>
        <v>696.16535159888872</v>
      </c>
      <c r="C2771" s="8"/>
      <c r="D2771" s="3">
        <f t="shared" si="264"/>
        <v>689.8255015960043</v>
      </c>
      <c r="F2771" s="3">
        <f t="shared" si="265"/>
        <v>-596.16535159888872</v>
      </c>
      <c r="G2771" s="3">
        <f t="shared" si="266"/>
        <v>6.3398500028844182</v>
      </c>
      <c r="H2771" s="3">
        <f t="shared" si="267"/>
        <v>689.8255015960043</v>
      </c>
      <c r="M2771" s="1">
        <f t="shared" si="268"/>
        <v>2020</v>
      </c>
      <c r="N2771" s="38">
        <f>+M2771*'Failure Data'!F$3</f>
        <v>52.18333333333333</v>
      </c>
    </row>
    <row r="2772" spans="1:14" x14ac:dyDescent="0.15">
      <c r="A2772" s="1">
        <v>2763</v>
      </c>
      <c r="B2772" s="3">
        <f t="shared" si="263"/>
        <v>696.41625508426068</v>
      </c>
      <c r="C2772" s="8"/>
      <c r="D2772" s="3">
        <f t="shared" si="264"/>
        <v>690.07640508137627</v>
      </c>
      <c r="F2772" s="3">
        <f t="shared" si="265"/>
        <v>-596.41625508426068</v>
      </c>
      <c r="G2772" s="3">
        <f t="shared" si="266"/>
        <v>6.3398500028844182</v>
      </c>
      <c r="H2772" s="3">
        <f t="shared" si="267"/>
        <v>690.07640508137627</v>
      </c>
      <c r="M2772" s="1">
        <f t="shared" si="268"/>
        <v>2021</v>
      </c>
      <c r="N2772" s="38">
        <f>+M2772*'Failure Data'!F$3</f>
        <v>52.209166666666668</v>
      </c>
    </row>
    <row r="2773" spans="1:14" x14ac:dyDescent="0.15">
      <c r="A2773" s="1">
        <v>2764</v>
      </c>
      <c r="B2773" s="3">
        <f t="shared" si="263"/>
        <v>696.66715856963265</v>
      </c>
      <c r="C2773" s="8"/>
      <c r="D2773" s="3">
        <f t="shared" si="264"/>
        <v>690.32730856674834</v>
      </c>
      <c r="F2773" s="3">
        <f t="shared" si="265"/>
        <v>-596.66715856963265</v>
      </c>
      <c r="G2773" s="3">
        <f t="shared" si="266"/>
        <v>6.3398500028843046</v>
      </c>
      <c r="H2773" s="3">
        <f t="shared" si="267"/>
        <v>690.32730856674834</v>
      </c>
      <c r="M2773" s="1">
        <f t="shared" si="268"/>
        <v>2022</v>
      </c>
      <c r="N2773" s="38">
        <f>+M2773*'Failure Data'!F$3</f>
        <v>52.234999999999999</v>
      </c>
    </row>
    <row r="2774" spans="1:14" x14ac:dyDescent="0.15">
      <c r="A2774" s="1">
        <v>2765</v>
      </c>
      <c r="B2774" s="3">
        <f t="shared" si="263"/>
        <v>696.91806205500473</v>
      </c>
      <c r="C2774" s="8"/>
      <c r="D2774" s="3">
        <f t="shared" si="264"/>
        <v>690.57821205212031</v>
      </c>
      <c r="F2774" s="3">
        <f t="shared" si="265"/>
        <v>-596.91806205500473</v>
      </c>
      <c r="G2774" s="3">
        <f t="shared" si="266"/>
        <v>6.3398500028844182</v>
      </c>
      <c r="H2774" s="3">
        <f t="shared" si="267"/>
        <v>690.57821205212031</v>
      </c>
      <c r="M2774" s="1">
        <f t="shared" si="268"/>
        <v>2023</v>
      </c>
      <c r="N2774" s="38">
        <f>+M2774*'Failure Data'!F$3</f>
        <v>52.260833333333331</v>
      </c>
    </row>
    <row r="2775" spans="1:14" x14ac:dyDescent="0.15">
      <c r="A2775" s="1">
        <v>2766</v>
      </c>
      <c r="B2775" s="3">
        <f t="shared" si="263"/>
        <v>697.16896554037669</v>
      </c>
      <c r="C2775" s="8"/>
      <c r="D2775" s="3">
        <f t="shared" si="264"/>
        <v>690.82911553749227</v>
      </c>
      <c r="F2775" s="3">
        <f t="shared" si="265"/>
        <v>-597.16896554037669</v>
      </c>
      <c r="G2775" s="3">
        <f t="shared" si="266"/>
        <v>6.3398500028844182</v>
      </c>
      <c r="H2775" s="3">
        <f t="shared" si="267"/>
        <v>690.82911553749227</v>
      </c>
      <c r="M2775" s="1">
        <f t="shared" si="268"/>
        <v>2024</v>
      </c>
      <c r="N2775" s="38">
        <f>+M2775*'Failure Data'!F$3</f>
        <v>52.286666666666669</v>
      </c>
    </row>
    <row r="2776" spans="1:14" x14ac:dyDescent="0.15">
      <c r="A2776" s="1">
        <v>2767</v>
      </c>
      <c r="B2776" s="3">
        <f t="shared" si="263"/>
        <v>697.41986902574865</v>
      </c>
      <c r="C2776" s="8"/>
      <c r="D2776" s="3">
        <f t="shared" si="264"/>
        <v>691.08001902286424</v>
      </c>
      <c r="F2776" s="3">
        <f t="shared" si="265"/>
        <v>-597.41986902574865</v>
      </c>
      <c r="G2776" s="3">
        <f t="shared" si="266"/>
        <v>6.3398500028844182</v>
      </c>
      <c r="H2776" s="3">
        <f t="shared" si="267"/>
        <v>691.08001902286424</v>
      </c>
      <c r="M2776" s="1">
        <f t="shared" si="268"/>
        <v>2025</v>
      </c>
      <c r="N2776" s="38">
        <f>+M2776*'Failure Data'!F$3</f>
        <v>52.3125</v>
      </c>
    </row>
    <row r="2777" spans="1:14" x14ac:dyDescent="0.15">
      <c r="A2777" s="1">
        <v>2768</v>
      </c>
      <c r="B2777" s="3">
        <f t="shared" si="263"/>
        <v>697.67077251112062</v>
      </c>
      <c r="C2777" s="8"/>
      <c r="D2777" s="3">
        <f t="shared" si="264"/>
        <v>691.33092250823631</v>
      </c>
      <c r="F2777" s="3">
        <f t="shared" si="265"/>
        <v>-597.67077251112062</v>
      </c>
      <c r="G2777" s="3">
        <f t="shared" si="266"/>
        <v>6.3398500028843046</v>
      </c>
      <c r="H2777" s="3">
        <f t="shared" si="267"/>
        <v>691.33092250823631</v>
      </c>
      <c r="M2777" s="1">
        <f t="shared" si="268"/>
        <v>2026</v>
      </c>
      <c r="N2777" s="38">
        <f>+M2777*'Failure Data'!F$3</f>
        <v>52.338333333333331</v>
      </c>
    </row>
    <row r="2778" spans="1:14" x14ac:dyDescent="0.15">
      <c r="A2778" s="1">
        <v>2769</v>
      </c>
      <c r="B2778" s="3">
        <f t="shared" si="263"/>
        <v>697.9216759964927</v>
      </c>
      <c r="C2778" s="8"/>
      <c r="D2778" s="3">
        <f t="shared" si="264"/>
        <v>691.58182599360828</v>
      </c>
      <c r="F2778" s="3">
        <f t="shared" si="265"/>
        <v>-597.9216759964927</v>
      </c>
      <c r="G2778" s="3">
        <f t="shared" si="266"/>
        <v>6.3398500028844182</v>
      </c>
      <c r="H2778" s="3">
        <f t="shared" si="267"/>
        <v>691.58182599360828</v>
      </c>
      <c r="M2778" s="1">
        <f t="shared" si="268"/>
        <v>2027</v>
      </c>
      <c r="N2778" s="38">
        <f>+M2778*'Failure Data'!F$3</f>
        <v>52.364166666666669</v>
      </c>
    </row>
    <row r="2779" spans="1:14" x14ac:dyDescent="0.15">
      <c r="A2779" s="1">
        <v>2770</v>
      </c>
      <c r="B2779" s="3">
        <f t="shared" si="263"/>
        <v>698.17257948186466</v>
      </c>
      <c r="C2779" s="8"/>
      <c r="D2779" s="3">
        <f t="shared" si="264"/>
        <v>691.83272947898024</v>
      </c>
      <c r="F2779" s="3">
        <f t="shared" si="265"/>
        <v>-598.17257948186466</v>
      </c>
      <c r="G2779" s="3">
        <f t="shared" si="266"/>
        <v>6.3398500028844182</v>
      </c>
      <c r="H2779" s="3">
        <f t="shared" si="267"/>
        <v>691.83272947898024</v>
      </c>
      <c r="M2779" s="1">
        <f t="shared" si="268"/>
        <v>2028</v>
      </c>
      <c r="N2779" s="38">
        <f>+M2779*'Failure Data'!F$3</f>
        <v>52.39</v>
      </c>
    </row>
    <row r="2780" spans="1:14" x14ac:dyDescent="0.15">
      <c r="A2780" s="1">
        <v>2771</v>
      </c>
      <c r="B2780" s="3">
        <f t="shared" si="263"/>
        <v>698.42348296723662</v>
      </c>
      <c r="C2780" s="8"/>
      <c r="D2780" s="3">
        <f t="shared" si="264"/>
        <v>692.08363296435232</v>
      </c>
      <c r="F2780" s="3">
        <f t="shared" si="265"/>
        <v>-598.42348296723662</v>
      </c>
      <c r="G2780" s="3">
        <f t="shared" si="266"/>
        <v>6.3398500028843046</v>
      </c>
      <c r="H2780" s="3">
        <f t="shared" si="267"/>
        <v>692.08363296435232</v>
      </c>
      <c r="M2780" s="1">
        <f t="shared" si="268"/>
        <v>2029</v>
      </c>
      <c r="N2780" s="38">
        <f>+M2780*'Failure Data'!F$3</f>
        <v>52.415833333333332</v>
      </c>
    </row>
    <row r="2781" spans="1:14" x14ac:dyDescent="0.15">
      <c r="A2781" s="1">
        <v>2772</v>
      </c>
      <c r="B2781" s="3">
        <f t="shared" si="263"/>
        <v>698.67438645260859</v>
      </c>
      <c r="C2781" s="8"/>
      <c r="D2781" s="3">
        <f t="shared" si="264"/>
        <v>692.33453644972428</v>
      </c>
      <c r="F2781" s="3">
        <f t="shared" si="265"/>
        <v>-598.67438645260859</v>
      </c>
      <c r="G2781" s="3">
        <f t="shared" si="266"/>
        <v>6.3398500028843046</v>
      </c>
      <c r="H2781" s="3">
        <f t="shared" si="267"/>
        <v>692.33453644972428</v>
      </c>
      <c r="M2781" s="1">
        <f t="shared" si="268"/>
        <v>2030</v>
      </c>
      <c r="N2781" s="38">
        <f>+M2781*'Failure Data'!F$3</f>
        <v>52.441666666666663</v>
      </c>
    </row>
    <row r="2782" spans="1:14" x14ac:dyDescent="0.15">
      <c r="A2782" s="1">
        <v>2773</v>
      </c>
      <c r="B2782" s="3">
        <f t="shared" si="263"/>
        <v>698.92528993798066</v>
      </c>
      <c r="C2782" s="8"/>
      <c r="D2782" s="3">
        <f t="shared" si="264"/>
        <v>692.58543993509625</v>
      </c>
      <c r="F2782" s="3">
        <f t="shared" si="265"/>
        <v>-598.92528993798066</v>
      </c>
      <c r="G2782" s="3">
        <f t="shared" si="266"/>
        <v>6.3398500028844182</v>
      </c>
      <c r="H2782" s="3">
        <f t="shared" si="267"/>
        <v>692.58543993509625</v>
      </c>
      <c r="M2782" s="1">
        <f t="shared" si="268"/>
        <v>2031</v>
      </c>
      <c r="N2782" s="38">
        <f>+M2782*'Failure Data'!F$3</f>
        <v>52.467500000000001</v>
      </c>
    </row>
    <row r="2783" spans="1:14" x14ac:dyDescent="0.15">
      <c r="A2783" s="1">
        <v>2774</v>
      </c>
      <c r="B2783" s="3">
        <f t="shared" ref="B2783:B2846" si="269">+(B$4*A2783)+B$5</f>
        <v>699.17619342335263</v>
      </c>
      <c r="C2783" s="8"/>
      <c r="D2783" s="3">
        <f t="shared" ref="D2783:D2846" si="270">+(D$4*A2783)+D$5</f>
        <v>692.83634342046821</v>
      </c>
      <c r="F2783" s="3">
        <f t="shared" ref="F2783:F2846" si="271">+xmax-B2783</f>
        <v>-599.17619342335263</v>
      </c>
      <c r="G2783" s="3">
        <f t="shared" ref="G2783:G2846" si="272">+B2783-D2783</f>
        <v>6.3398500028844182</v>
      </c>
      <c r="H2783" s="3">
        <f t="shared" ref="H2783:H2846" si="273">D2783</f>
        <v>692.83634342046821</v>
      </c>
      <c r="M2783" s="1">
        <f t="shared" si="268"/>
        <v>2032</v>
      </c>
      <c r="N2783" s="38">
        <f>+M2783*'Failure Data'!F$3</f>
        <v>52.493333333333332</v>
      </c>
    </row>
    <row r="2784" spans="1:14" x14ac:dyDescent="0.15">
      <c r="A2784" s="1">
        <v>2775</v>
      </c>
      <c r="B2784" s="3">
        <f t="shared" si="269"/>
        <v>699.42709690872459</v>
      </c>
      <c r="C2784" s="8"/>
      <c r="D2784" s="3">
        <f t="shared" si="270"/>
        <v>693.08724690584029</v>
      </c>
      <c r="F2784" s="3">
        <f t="shared" si="271"/>
        <v>-599.42709690872459</v>
      </c>
      <c r="G2784" s="3">
        <f t="shared" si="272"/>
        <v>6.3398500028843046</v>
      </c>
      <c r="H2784" s="3">
        <f t="shared" si="273"/>
        <v>693.08724690584029</v>
      </c>
      <c r="M2784" s="1">
        <f t="shared" si="268"/>
        <v>2033</v>
      </c>
      <c r="N2784" s="38">
        <f>+M2784*'Failure Data'!F$3</f>
        <v>52.519166666666663</v>
      </c>
    </row>
    <row r="2785" spans="1:14" x14ac:dyDescent="0.15">
      <c r="A2785" s="1">
        <v>2776</v>
      </c>
      <c r="B2785" s="3">
        <f t="shared" si="269"/>
        <v>699.67800039409656</v>
      </c>
      <c r="C2785" s="8"/>
      <c r="D2785" s="3">
        <f t="shared" si="270"/>
        <v>693.33815039121225</v>
      </c>
      <c r="F2785" s="3">
        <f t="shared" si="271"/>
        <v>-599.67800039409656</v>
      </c>
      <c r="G2785" s="3">
        <f t="shared" si="272"/>
        <v>6.3398500028843046</v>
      </c>
      <c r="H2785" s="3">
        <f t="shared" si="273"/>
        <v>693.33815039121225</v>
      </c>
      <c r="M2785" s="1">
        <f t="shared" si="268"/>
        <v>2034</v>
      </c>
      <c r="N2785" s="38">
        <f>+M2785*'Failure Data'!F$3</f>
        <v>52.545000000000002</v>
      </c>
    </row>
    <row r="2786" spans="1:14" x14ac:dyDescent="0.15">
      <c r="A2786" s="1">
        <v>2777</v>
      </c>
      <c r="B2786" s="3">
        <f t="shared" si="269"/>
        <v>699.92890387946863</v>
      </c>
      <c r="C2786" s="8"/>
      <c r="D2786" s="3">
        <f t="shared" si="270"/>
        <v>693.58905387658422</v>
      </c>
      <c r="F2786" s="3">
        <f t="shared" si="271"/>
        <v>-599.92890387946863</v>
      </c>
      <c r="G2786" s="3">
        <f t="shared" si="272"/>
        <v>6.3398500028844182</v>
      </c>
      <c r="H2786" s="3">
        <f t="shared" si="273"/>
        <v>693.58905387658422</v>
      </c>
      <c r="M2786" s="1">
        <f t="shared" si="268"/>
        <v>2035</v>
      </c>
      <c r="N2786" s="38">
        <f>+M2786*'Failure Data'!F$3</f>
        <v>52.570833333333333</v>
      </c>
    </row>
    <row r="2787" spans="1:14" x14ac:dyDescent="0.15">
      <c r="A2787" s="1">
        <v>2778</v>
      </c>
      <c r="B2787" s="3">
        <f t="shared" si="269"/>
        <v>700.1798073648406</v>
      </c>
      <c r="C2787" s="8"/>
      <c r="D2787" s="3">
        <f t="shared" si="270"/>
        <v>693.83995736195618</v>
      </c>
      <c r="F2787" s="3">
        <f t="shared" si="271"/>
        <v>-600.1798073648406</v>
      </c>
      <c r="G2787" s="3">
        <f t="shared" si="272"/>
        <v>6.3398500028844182</v>
      </c>
      <c r="H2787" s="3">
        <f t="shared" si="273"/>
        <v>693.83995736195618</v>
      </c>
      <c r="M2787" s="1">
        <f t="shared" si="268"/>
        <v>2036</v>
      </c>
      <c r="N2787" s="38">
        <f>+M2787*'Failure Data'!F$3</f>
        <v>52.596666666666664</v>
      </c>
    </row>
    <row r="2788" spans="1:14" x14ac:dyDescent="0.15">
      <c r="A2788" s="1">
        <v>2779</v>
      </c>
      <c r="B2788" s="3">
        <f t="shared" si="269"/>
        <v>700.43071085021256</v>
      </c>
      <c r="C2788" s="8"/>
      <c r="D2788" s="3">
        <f t="shared" si="270"/>
        <v>694.09086084732826</v>
      </c>
      <c r="F2788" s="3">
        <f t="shared" si="271"/>
        <v>-600.43071085021256</v>
      </c>
      <c r="G2788" s="3">
        <f t="shared" si="272"/>
        <v>6.3398500028843046</v>
      </c>
      <c r="H2788" s="3">
        <f t="shared" si="273"/>
        <v>694.09086084732826</v>
      </c>
      <c r="M2788" s="1">
        <f t="shared" si="268"/>
        <v>2037</v>
      </c>
      <c r="N2788" s="38">
        <f>+M2788*'Failure Data'!F$3</f>
        <v>52.622500000000002</v>
      </c>
    </row>
    <row r="2789" spans="1:14" x14ac:dyDescent="0.15">
      <c r="A2789" s="1">
        <v>2780</v>
      </c>
      <c r="B2789" s="3">
        <f t="shared" si="269"/>
        <v>700.68161433558464</v>
      </c>
      <c r="C2789" s="8"/>
      <c r="D2789" s="3">
        <f t="shared" si="270"/>
        <v>694.34176433270022</v>
      </c>
      <c r="F2789" s="3">
        <f t="shared" si="271"/>
        <v>-600.68161433558464</v>
      </c>
      <c r="G2789" s="3">
        <f t="shared" si="272"/>
        <v>6.3398500028844182</v>
      </c>
      <c r="H2789" s="3">
        <f t="shared" si="273"/>
        <v>694.34176433270022</v>
      </c>
      <c r="M2789" s="1">
        <f t="shared" si="268"/>
        <v>2038</v>
      </c>
      <c r="N2789" s="38">
        <f>+M2789*'Failure Data'!F$3</f>
        <v>52.648333333333333</v>
      </c>
    </row>
    <row r="2790" spans="1:14" x14ac:dyDescent="0.15">
      <c r="A2790" s="1">
        <v>2781</v>
      </c>
      <c r="B2790" s="3">
        <f t="shared" si="269"/>
        <v>700.9325178209566</v>
      </c>
      <c r="C2790" s="8"/>
      <c r="D2790" s="3">
        <f t="shared" si="270"/>
        <v>694.59266781807219</v>
      </c>
      <c r="F2790" s="3">
        <f t="shared" si="271"/>
        <v>-600.9325178209566</v>
      </c>
      <c r="G2790" s="3">
        <f t="shared" si="272"/>
        <v>6.3398500028844182</v>
      </c>
      <c r="H2790" s="3">
        <f t="shared" si="273"/>
        <v>694.59266781807219</v>
      </c>
      <c r="M2790" s="1">
        <f t="shared" si="268"/>
        <v>2039</v>
      </c>
      <c r="N2790" s="38">
        <f>+M2790*'Failure Data'!F$3</f>
        <v>52.674166666666665</v>
      </c>
    </row>
    <row r="2791" spans="1:14" x14ac:dyDescent="0.15">
      <c r="A2791" s="1">
        <v>2782</v>
      </c>
      <c r="B2791" s="3">
        <f t="shared" si="269"/>
        <v>701.18342130632857</v>
      </c>
      <c r="C2791" s="8"/>
      <c r="D2791" s="3">
        <f t="shared" si="270"/>
        <v>694.84357130344415</v>
      </c>
      <c r="F2791" s="3">
        <f t="shared" si="271"/>
        <v>-601.18342130632857</v>
      </c>
      <c r="G2791" s="3">
        <f t="shared" si="272"/>
        <v>6.3398500028844182</v>
      </c>
      <c r="H2791" s="3">
        <f t="shared" si="273"/>
        <v>694.84357130344415</v>
      </c>
      <c r="M2791" s="1">
        <f t="shared" si="268"/>
        <v>2040</v>
      </c>
      <c r="N2791" s="38">
        <f>+M2791*'Failure Data'!F$3</f>
        <v>52.7</v>
      </c>
    </row>
    <row r="2792" spans="1:14" x14ac:dyDescent="0.15">
      <c r="A2792" s="1">
        <v>2783</v>
      </c>
      <c r="B2792" s="3">
        <f t="shared" si="269"/>
        <v>701.43432479170053</v>
      </c>
      <c r="C2792" s="8"/>
      <c r="D2792" s="3">
        <f t="shared" si="270"/>
        <v>695.09447478881623</v>
      </c>
      <c r="F2792" s="3">
        <f t="shared" si="271"/>
        <v>-601.43432479170053</v>
      </c>
      <c r="G2792" s="3">
        <f t="shared" si="272"/>
        <v>6.3398500028843046</v>
      </c>
      <c r="H2792" s="3">
        <f t="shared" si="273"/>
        <v>695.09447478881623</v>
      </c>
      <c r="M2792" s="1">
        <f t="shared" si="268"/>
        <v>2041</v>
      </c>
      <c r="N2792" s="38">
        <f>+M2792*'Failure Data'!F$3</f>
        <v>52.725833333333334</v>
      </c>
    </row>
    <row r="2793" spans="1:14" x14ac:dyDescent="0.15">
      <c r="A2793" s="1">
        <v>2784</v>
      </c>
      <c r="B2793" s="3">
        <f t="shared" si="269"/>
        <v>701.68522827707261</v>
      </c>
      <c r="C2793" s="8"/>
      <c r="D2793" s="3">
        <f t="shared" si="270"/>
        <v>695.34537827418819</v>
      </c>
      <c r="F2793" s="3">
        <f t="shared" si="271"/>
        <v>-601.68522827707261</v>
      </c>
      <c r="G2793" s="3">
        <f t="shared" si="272"/>
        <v>6.3398500028844182</v>
      </c>
      <c r="H2793" s="3">
        <f t="shared" si="273"/>
        <v>695.34537827418819</v>
      </c>
      <c r="M2793" s="1">
        <f t="shared" si="268"/>
        <v>2042</v>
      </c>
      <c r="N2793" s="38">
        <f>+M2793*'Failure Data'!F$3</f>
        <v>52.751666666666665</v>
      </c>
    </row>
    <row r="2794" spans="1:14" x14ac:dyDescent="0.15">
      <c r="A2794" s="1">
        <v>2785</v>
      </c>
      <c r="B2794" s="3">
        <f t="shared" si="269"/>
        <v>701.93613176244457</v>
      </c>
      <c r="C2794" s="8"/>
      <c r="D2794" s="3">
        <f t="shared" si="270"/>
        <v>695.59628175956016</v>
      </c>
      <c r="F2794" s="3">
        <f t="shared" si="271"/>
        <v>-601.93613176244457</v>
      </c>
      <c r="G2794" s="3">
        <f t="shared" si="272"/>
        <v>6.3398500028844182</v>
      </c>
      <c r="H2794" s="3">
        <f t="shared" si="273"/>
        <v>695.59628175956016</v>
      </c>
      <c r="M2794" s="1">
        <f t="shared" si="268"/>
        <v>2043</v>
      </c>
      <c r="N2794" s="38">
        <f>+M2794*'Failure Data'!F$3</f>
        <v>52.777499999999996</v>
      </c>
    </row>
    <row r="2795" spans="1:14" x14ac:dyDescent="0.15">
      <c r="A2795" s="1">
        <v>2786</v>
      </c>
      <c r="B2795" s="3">
        <f t="shared" si="269"/>
        <v>702.18703524781654</v>
      </c>
      <c r="C2795" s="8"/>
      <c r="D2795" s="3">
        <f t="shared" si="270"/>
        <v>695.84718524493212</v>
      </c>
      <c r="F2795" s="3">
        <f t="shared" si="271"/>
        <v>-602.18703524781654</v>
      </c>
      <c r="G2795" s="3">
        <f t="shared" si="272"/>
        <v>6.3398500028844182</v>
      </c>
      <c r="H2795" s="3">
        <f t="shared" si="273"/>
        <v>695.84718524493212</v>
      </c>
      <c r="M2795" s="1">
        <f t="shared" si="268"/>
        <v>2044</v>
      </c>
      <c r="N2795" s="38">
        <f>+M2795*'Failure Data'!F$3</f>
        <v>52.803333333333335</v>
      </c>
    </row>
    <row r="2796" spans="1:14" x14ac:dyDescent="0.15">
      <c r="A2796" s="1">
        <v>2787</v>
      </c>
      <c r="B2796" s="3">
        <f t="shared" si="269"/>
        <v>702.4379387331885</v>
      </c>
      <c r="C2796" s="8"/>
      <c r="D2796" s="3">
        <f t="shared" si="270"/>
        <v>696.0980887303042</v>
      </c>
      <c r="F2796" s="3">
        <f t="shared" si="271"/>
        <v>-602.4379387331885</v>
      </c>
      <c r="G2796" s="3">
        <f t="shared" si="272"/>
        <v>6.3398500028843046</v>
      </c>
      <c r="H2796" s="3">
        <f t="shared" si="273"/>
        <v>696.0980887303042</v>
      </c>
      <c r="M2796" s="1">
        <f t="shared" si="268"/>
        <v>2045</v>
      </c>
      <c r="N2796" s="38">
        <f>+M2796*'Failure Data'!F$3</f>
        <v>52.829166666666666</v>
      </c>
    </row>
    <row r="2797" spans="1:14" x14ac:dyDescent="0.15">
      <c r="A2797" s="1">
        <v>2788</v>
      </c>
      <c r="B2797" s="3">
        <f t="shared" si="269"/>
        <v>702.68884221856058</v>
      </c>
      <c r="C2797" s="8"/>
      <c r="D2797" s="3">
        <f t="shared" si="270"/>
        <v>696.34899221567616</v>
      </c>
      <c r="F2797" s="3">
        <f t="shared" si="271"/>
        <v>-602.68884221856058</v>
      </c>
      <c r="G2797" s="3">
        <f t="shared" si="272"/>
        <v>6.3398500028844182</v>
      </c>
      <c r="H2797" s="3">
        <f t="shared" si="273"/>
        <v>696.34899221567616</v>
      </c>
      <c r="M2797" s="1">
        <f t="shared" si="268"/>
        <v>2046</v>
      </c>
      <c r="N2797" s="38">
        <f>+M2797*'Failure Data'!F$3</f>
        <v>52.854999999999997</v>
      </c>
    </row>
    <row r="2798" spans="1:14" x14ac:dyDescent="0.15">
      <c r="A2798" s="1">
        <v>2789</v>
      </c>
      <c r="B2798" s="3">
        <f t="shared" si="269"/>
        <v>702.93974570393254</v>
      </c>
      <c r="C2798" s="8"/>
      <c r="D2798" s="3">
        <f t="shared" si="270"/>
        <v>696.59989570104813</v>
      </c>
      <c r="F2798" s="3">
        <f t="shared" si="271"/>
        <v>-602.93974570393254</v>
      </c>
      <c r="G2798" s="3">
        <f t="shared" si="272"/>
        <v>6.3398500028844182</v>
      </c>
      <c r="H2798" s="3">
        <f t="shared" si="273"/>
        <v>696.59989570104813</v>
      </c>
      <c r="M2798" s="1">
        <f t="shared" si="268"/>
        <v>2047</v>
      </c>
      <c r="N2798" s="38">
        <f>+M2798*'Failure Data'!F$3</f>
        <v>52.880833333333335</v>
      </c>
    </row>
    <row r="2799" spans="1:14" x14ac:dyDescent="0.15">
      <c r="A2799" s="1">
        <v>2790</v>
      </c>
      <c r="B2799" s="3">
        <f t="shared" si="269"/>
        <v>703.19064918930451</v>
      </c>
      <c r="C2799" s="8"/>
      <c r="D2799" s="3">
        <f t="shared" si="270"/>
        <v>696.85079918642009</v>
      </c>
      <c r="F2799" s="3">
        <f t="shared" si="271"/>
        <v>-603.19064918930451</v>
      </c>
      <c r="G2799" s="3">
        <f t="shared" si="272"/>
        <v>6.3398500028844182</v>
      </c>
      <c r="H2799" s="3">
        <f t="shared" si="273"/>
        <v>696.85079918642009</v>
      </c>
      <c r="M2799" s="1">
        <f t="shared" si="268"/>
        <v>2048</v>
      </c>
      <c r="N2799" s="38">
        <f>+M2799*'Failure Data'!F$3</f>
        <v>52.906666666666666</v>
      </c>
    </row>
    <row r="2800" spans="1:14" x14ac:dyDescent="0.15">
      <c r="A2800" s="1">
        <v>2791</v>
      </c>
      <c r="B2800" s="3">
        <f t="shared" si="269"/>
        <v>703.44155267467647</v>
      </c>
      <c r="C2800" s="8"/>
      <c r="D2800" s="3">
        <f t="shared" si="270"/>
        <v>697.10170267179217</v>
      </c>
      <c r="F2800" s="3">
        <f t="shared" si="271"/>
        <v>-603.44155267467647</v>
      </c>
      <c r="G2800" s="3">
        <f t="shared" si="272"/>
        <v>6.3398500028843046</v>
      </c>
      <c r="H2800" s="3">
        <f t="shared" si="273"/>
        <v>697.10170267179217</v>
      </c>
      <c r="M2800" s="1">
        <f t="shared" si="268"/>
        <v>2049</v>
      </c>
      <c r="N2800" s="38">
        <f>+M2800*'Failure Data'!F$3</f>
        <v>52.932499999999997</v>
      </c>
    </row>
    <row r="2801" spans="1:14" x14ac:dyDescent="0.15">
      <c r="A2801" s="1">
        <v>2792</v>
      </c>
      <c r="B2801" s="3">
        <f t="shared" si="269"/>
        <v>703.69245616004855</v>
      </c>
      <c r="C2801" s="8"/>
      <c r="D2801" s="3">
        <f t="shared" si="270"/>
        <v>697.35260615716413</v>
      </c>
      <c r="F2801" s="3">
        <f t="shared" si="271"/>
        <v>-603.69245616004855</v>
      </c>
      <c r="G2801" s="3">
        <f t="shared" si="272"/>
        <v>6.3398500028844182</v>
      </c>
      <c r="H2801" s="3">
        <f t="shared" si="273"/>
        <v>697.35260615716413</v>
      </c>
      <c r="M2801" s="1">
        <f t="shared" si="268"/>
        <v>2050</v>
      </c>
      <c r="N2801" s="38">
        <f>+M2801*'Failure Data'!F$3</f>
        <v>52.958333333333336</v>
      </c>
    </row>
    <row r="2802" spans="1:14" x14ac:dyDescent="0.15">
      <c r="A2802" s="1">
        <v>2793</v>
      </c>
      <c r="B2802" s="3">
        <f t="shared" si="269"/>
        <v>703.94335964542051</v>
      </c>
      <c r="C2802" s="8"/>
      <c r="D2802" s="3">
        <f t="shared" si="270"/>
        <v>697.6035096425361</v>
      </c>
      <c r="F2802" s="3">
        <f t="shared" si="271"/>
        <v>-603.94335964542051</v>
      </c>
      <c r="G2802" s="3">
        <f t="shared" si="272"/>
        <v>6.3398500028844182</v>
      </c>
      <c r="H2802" s="3">
        <f t="shared" si="273"/>
        <v>697.6035096425361</v>
      </c>
      <c r="M2802" s="1">
        <f t="shared" si="268"/>
        <v>2051</v>
      </c>
      <c r="N2802" s="38">
        <f>+M2802*'Failure Data'!F$3</f>
        <v>52.984166666666667</v>
      </c>
    </row>
    <row r="2803" spans="1:14" x14ac:dyDescent="0.15">
      <c r="A2803" s="1">
        <v>2794</v>
      </c>
      <c r="B2803" s="3">
        <f t="shared" si="269"/>
        <v>704.19426313079248</v>
      </c>
      <c r="C2803" s="8"/>
      <c r="D2803" s="3">
        <f t="shared" si="270"/>
        <v>697.85441312790817</v>
      </c>
      <c r="F2803" s="3">
        <f t="shared" si="271"/>
        <v>-604.19426313079248</v>
      </c>
      <c r="G2803" s="3">
        <f t="shared" si="272"/>
        <v>6.3398500028843046</v>
      </c>
      <c r="H2803" s="3">
        <f t="shared" si="273"/>
        <v>697.85441312790817</v>
      </c>
      <c r="M2803" s="1">
        <f t="shared" si="268"/>
        <v>2052</v>
      </c>
      <c r="N2803" s="38">
        <f>+M2803*'Failure Data'!F$3</f>
        <v>53.01</v>
      </c>
    </row>
    <row r="2804" spans="1:14" x14ac:dyDescent="0.15">
      <c r="A2804" s="1">
        <v>2795</v>
      </c>
      <c r="B2804" s="3">
        <f t="shared" si="269"/>
        <v>704.44516661616444</v>
      </c>
      <c r="C2804" s="8"/>
      <c r="D2804" s="3">
        <f t="shared" si="270"/>
        <v>698.10531661328014</v>
      </c>
      <c r="F2804" s="3">
        <f t="shared" si="271"/>
        <v>-604.44516661616444</v>
      </c>
      <c r="G2804" s="3">
        <f t="shared" si="272"/>
        <v>6.3398500028843046</v>
      </c>
      <c r="H2804" s="3">
        <f t="shared" si="273"/>
        <v>698.10531661328014</v>
      </c>
      <c r="M2804" s="1">
        <f t="shared" si="268"/>
        <v>2053</v>
      </c>
      <c r="N2804" s="38">
        <f>+M2804*'Failure Data'!F$3</f>
        <v>53.035833333333336</v>
      </c>
    </row>
    <row r="2805" spans="1:14" x14ac:dyDescent="0.15">
      <c r="A2805" s="1">
        <v>2796</v>
      </c>
      <c r="B2805" s="3">
        <f t="shared" si="269"/>
        <v>704.69607010153652</v>
      </c>
      <c r="C2805" s="8"/>
      <c r="D2805" s="3">
        <f t="shared" si="270"/>
        <v>698.3562200986521</v>
      </c>
      <c r="F2805" s="3">
        <f t="shared" si="271"/>
        <v>-604.69607010153652</v>
      </c>
      <c r="G2805" s="3">
        <f t="shared" si="272"/>
        <v>6.3398500028844182</v>
      </c>
      <c r="H2805" s="3">
        <f t="shared" si="273"/>
        <v>698.3562200986521</v>
      </c>
      <c r="M2805" s="1">
        <f t="shared" si="268"/>
        <v>2054</v>
      </c>
      <c r="N2805" s="38">
        <f>+M2805*'Failure Data'!F$3</f>
        <v>53.061666666666667</v>
      </c>
    </row>
    <row r="2806" spans="1:14" x14ac:dyDescent="0.15">
      <c r="A2806" s="1">
        <v>2797</v>
      </c>
      <c r="B2806" s="3">
        <f t="shared" si="269"/>
        <v>704.94697358690848</v>
      </c>
      <c r="C2806" s="8"/>
      <c r="D2806" s="3">
        <f t="shared" si="270"/>
        <v>698.60712358402407</v>
      </c>
      <c r="F2806" s="3">
        <f t="shared" si="271"/>
        <v>-604.94697358690848</v>
      </c>
      <c r="G2806" s="3">
        <f t="shared" si="272"/>
        <v>6.3398500028844182</v>
      </c>
      <c r="H2806" s="3">
        <f t="shared" si="273"/>
        <v>698.60712358402407</v>
      </c>
      <c r="M2806" s="1">
        <f t="shared" si="268"/>
        <v>2055</v>
      </c>
      <c r="N2806" s="38">
        <f>+M2806*'Failure Data'!F$3</f>
        <v>53.087499999999999</v>
      </c>
    </row>
    <row r="2807" spans="1:14" x14ac:dyDescent="0.15">
      <c r="A2807" s="1">
        <v>2798</v>
      </c>
      <c r="B2807" s="3">
        <f t="shared" si="269"/>
        <v>705.19787707228045</v>
      </c>
      <c r="C2807" s="8"/>
      <c r="D2807" s="3">
        <f t="shared" si="270"/>
        <v>698.85802706939614</v>
      </c>
      <c r="F2807" s="3">
        <f t="shared" si="271"/>
        <v>-605.19787707228045</v>
      </c>
      <c r="G2807" s="3">
        <f t="shared" si="272"/>
        <v>6.3398500028843046</v>
      </c>
      <c r="H2807" s="3">
        <f t="shared" si="273"/>
        <v>698.85802706939614</v>
      </c>
      <c r="M2807" s="1">
        <f t="shared" si="268"/>
        <v>2056</v>
      </c>
      <c r="N2807" s="38">
        <f>+M2807*'Failure Data'!F$3</f>
        <v>53.11333333333333</v>
      </c>
    </row>
    <row r="2808" spans="1:14" x14ac:dyDescent="0.15">
      <c r="A2808" s="1">
        <v>2799</v>
      </c>
      <c r="B2808" s="3">
        <f t="shared" si="269"/>
        <v>705.44878055765241</v>
      </c>
      <c r="C2808" s="8"/>
      <c r="D2808" s="3">
        <f t="shared" si="270"/>
        <v>699.10893055476811</v>
      </c>
      <c r="F2808" s="3">
        <f t="shared" si="271"/>
        <v>-605.44878055765241</v>
      </c>
      <c r="G2808" s="3">
        <f t="shared" si="272"/>
        <v>6.3398500028843046</v>
      </c>
      <c r="H2808" s="3">
        <f t="shared" si="273"/>
        <v>699.10893055476811</v>
      </c>
      <c r="M2808" s="1">
        <f t="shared" si="268"/>
        <v>2057</v>
      </c>
      <c r="N2808" s="38">
        <f>+M2808*'Failure Data'!F$3</f>
        <v>53.139166666666668</v>
      </c>
    </row>
    <row r="2809" spans="1:14" x14ac:dyDescent="0.15">
      <c r="A2809" s="1">
        <v>2800</v>
      </c>
      <c r="B2809" s="3">
        <f t="shared" si="269"/>
        <v>705.69968404302449</v>
      </c>
      <c r="C2809" s="8"/>
      <c r="D2809" s="3">
        <f t="shared" si="270"/>
        <v>699.35983404014007</v>
      </c>
      <c r="F2809" s="3">
        <f t="shared" si="271"/>
        <v>-605.69968404302449</v>
      </c>
      <c r="G2809" s="3">
        <f t="shared" si="272"/>
        <v>6.3398500028844182</v>
      </c>
      <c r="H2809" s="3">
        <f t="shared" si="273"/>
        <v>699.35983404014007</v>
      </c>
      <c r="M2809" s="1">
        <f t="shared" si="268"/>
        <v>2058</v>
      </c>
      <c r="N2809" s="38">
        <f>+M2809*'Failure Data'!F$3</f>
        <v>53.164999999999999</v>
      </c>
    </row>
    <row r="2810" spans="1:14" x14ac:dyDescent="0.15">
      <c r="A2810" s="1">
        <v>2801</v>
      </c>
      <c r="B2810" s="3">
        <f t="shared" si="269"/>
        <v>705.95058752839645</v>
      </c>
      <c r="C2810" s="8"/>
      <c r="D2810" s="3">
        <f t="shared" si="270"/>
        <v>699.61073752551204</v>
      </c>
      <c r="F2810" s="3">
        <f t="shared" si="271"/>
        <v>-605.95058752839645</v>
      </c>
      <c r="G2810" s="3">
        <f t="shared" si="272"/>
        <v>6.3398500028844182</v>
      </c>
      <c r="H2810" s="3">
        <f t="shared" si="273"/>
        <v>699.61073752551204</v>
      </c>
      <c r="M2810" s="1">
        <f t="shared" si="268"/>
        <v>2059</v>
      </c>
      <c r="N2810" s="38">
        <f>+M2810*'Failure Data'!F$3</f>
        <v>53.19083333333333</v>
      </c>
    </row>
    <row r="2811" spans="1:14" x14ac:dyDescent="0.15">
      <c r="A2811" s="1">
        <v>2802</v>
      </c>
      <c r="B2811" s="3">
        <f t="shared" si="269"/>
        <v>706.20149101376842</v>
      </c>
      <c r="C2811" s="8"/>
      <c r="D2811" s="3">
        <f t="shared" si="270"/>
        <v>699.86164101088411</v>
      </c>
      <c r="F2811" s="3">
        <f t="shared" si="271"/>
        <v>-606.20149101376842</v>
      </c>
      <c r="G2811" s="3">
        <f t="shared" si="272"/>
        <v>6.3398500028843046</v>
      </c>
      <c r="H2811" s="3">
        <f t="shared" si="273"/>
        <v>699.86164101088411</v>
      </c>
      <c r="M2811" s="1">
        <f t="shared" si="268"/>
        <v>2060</v>
      </c>
      <c r="N2811" s="38">
        <f>+M2811*'Failure Data'!F$3</f>
        <v>53.216666666666669</v>
      </c>
    </row>
    <row r="2812" spans="1:14" x14ac:dyDescent="0.15">
      <c r="A2812" s="1">
        <v>2803</v>
      </c>
      <c r="B2812" s="3">
        <f t="shared" si="269"/>
        <v>706.45239449914038</v>
      </c>
      <c r="C2812" s="8"/>
      <c r="D2812" s="3">
        <f t="shared" si="270"/>
        <v>700.11254449625608</v>
      </c>
      <c r="F2812" s="3">
        <f t="shared" si="271"/>
        <v>-606.45239449914038</v>
      </c>
      <c r="G2812" s="3">
        <f t="shared" si="272"/>
        <v>6.3398500028843046</v>
      </c>
      <c r="H2812" s="3">
        <f t="shared" si="273"/>
        <v>700.11254449625608</v>
      </c>
      <c r="M2812" s="1">
        <f t="shared" si="268"/>
        <v>2061</v>
      </c>
      <c r="N2812" s="38">
        <f>+M2812*'Failure Data'!F$3</f>
        <v>53.2425</v>
      </c>
    </row>
    <row r="2813" spans="1:14" x14ac:dyDescent="0.15">
      <c r="A2813" s="1">
        <v>2804</v>
      </c>
      <c r="B2813" s="3">
        <f t="shared" si="269"/>
        <v>706.70329798451246</v>
      </c>
      <c r="C2813" s="8"/>
      <c r="D2813" s="3">
        <f t="shared" si="270"/>
        <v>700.36344798162804</v>
      </c>
      <c r="F2813" s="3">
        <f t="shared" si="271"/>
        <v>-606.70329798451246</v>
      </c>
      <c r="G2813" s="3">
        <f t="shared" si="272"/>
        <v>6.3398500028844182</v>
      </c>
      <c r="H2813" s="3">
        <f t="shared" si="273"/>
        <v>700.36344798162804</v>
      </c>
      <c r="M2813" s="1">
        <f t="shared" si="268"/>
        <v>2062</v>
      </c>
      <c r="N2813" s="38">
        <f>+M2813*'Failure Data'!F$3</f>
        <v>53.268333333333331</v>
      </c>
    </row>
    <row r="2814" spans="1:14" x14ac:dyDescent="0.15">
      <c r="A2814" s="1">
        <v>2805</v>
      </c>
      <c r="B2814" s="3">
        <f t="shared" si="269"/>
        <v>706.95420146988442</v>
      </c>
      <c r="C2814" s="8"/>
      <c r="D2814" s="3">
        <f t="shared" si="270"/>
        <v>700.61435146700001</v>
      </c>
      <c r="F2814" s="3">
        <f t="shared" si="271"/>
        <v>-606.95420146988442</v>
      </c>
      <c r="G2814" s="3">
        <f t="shared" si="272"/>
        <v>6.3398500028844182</v>
      </c>
      <c r="H2814" s="3">
        <f t="shared" si="273"/>
        <v>700.61435146700001</v>
      </c>
      <c r="M2814" s="1">
        <f t="shared" si="268"/>
        <v>2063</v>
      </c>
      <c r="N2814" s="38">
        <f>+M2814*'Failure Data'!F$3</f>
        <v>53.294166666666669</v>
      </c>
    </row>
    <row r="2815" spans="1:14" x14ac:dyDescent="0.15">
      <c r="A2815" s="1">
        <v>2806</v>
      </c>
      <c r="B2815" s="3">
        <f t="shared" si="269"/>
        <v>707.20510495525639</v>
      </c>
      <c r="C2815" s="8"/>
      <c r="D2815" s="3">
        <f t="shared" si="270"/>
        <v>700.86525495237208</v>
      </c>
      <c r="F2815" s="3">
        <f t="shared" si="271"/>
        <v>-607.20510495525639</v>
      </c>
      <c r="G2815" s="3">
        <f t="shared" si="272"/>
        <v>6.3398500028843046</v>
      </c>
      <c r="H2815" s="3">
        <f t="shared" si="273"/>
        <v>700.86525495237208</v>
      </c>
      <c r="M2815" s="1">
        <f t="shared" si="268"/>
        <v>2064</v>
      </c>
      <c r="N2815" s="38">
        <f>+M2815*'Failure Data'!F$3</f>
        <v>53.32</v>
      </c>
    </row>
    <row r="2816" spans="1:14" x14ac:dyDescent="0.15">
      <c r="A2816" s="1">
        <v>2807</v>
      </c>
      <c r="B2816" s="3">
        <f t="shared" si="269"/>
        <v>707.45600844062847</v>
      </c>
      <c r="C2816" s="8"/>
      <c r="D2816" s="3">
        <f t="shared" si="270"/>
        <v>701.11615843774405</v>
      </c>
      <c r="F2816" s="3">
        <f t="shared" si="271"/>
        <v>-607.45600844062847</v>
      </c>
      <c r="G2816" s="3">
        <f t="shared" si="272"/>
        <v>6.3398500028844182</v>
      </c>
      <c r="H2816" s="3">
        <f t="shared" si="273"/>
        <v>701.11615843774405</v>
      </c>
      <c r="M2816" s="1">
        <f t="shared" si="268"/>
        <v>2065</v>
      </c>
      <c r="N2816" s="38">
        <f>+M2816*'Failure Data'!F$3</f>
        <v>53.345833333333331</v>
      </c>
    </row>
    <row r="2817" spans="1:14" x14ac:dyDescent="0.15">
      <c r="A2817" s="1">
        <v>2808</v>
      </c>
      <c r="B2817" s="3">
        <f t="shared" si="269"/>
        <v>707.70691192600043</v>
      </c>
      <c r="C2817" s="8"/>
      <c r="D2817" s="3">
        <f t="shared" si="270"/>
        <v>701.36706192311601</v>
      </c>
      <c r="F2817" s="3">
        <f t="shared" si="271"/>
        <v>-607.70691192600043</v>
      </c>
      <c r="G2817" s="3">
        <f t="shared" si="272"/>
        <v>6.3398500028844182</v>
      </c>
      <c r="H2817" s="3">
        <f t="shared" si="273"/>
        <v>701.36706192311601</v>
      </c>
      <c r="M2817" s="1">
        <f t="shared" ref="M2817:M2880" si="274">M2816+1</f>
        <v>2066</v>
      </c>
      <c r="N2817" s="38">
        <f>+M2817*'Failure Data'!F$3</f>
        <v>53.37166666666667</v>
      </c>
    </row>
    <row r="2818" spans="1:14" x14ac:dyDescent="0.15">
      <c r="A2818" s="1">
        <v>2809</v>
      </c>
      <c r="B2818" s="3">
        <f t="shared" si="269"/>
        <v>707.95781541137239</v>
      </c>
      <c r="C2818" s="8"/>
      <c r="D2818" s="3">
        <f t="shared" si="270"/>
        <v>701.61796540848798</v>
      </c>
      <c r="F2818" s="3">
        <f t="shared" si="271"/>
        <v>-607.95781541137239</v>
      </c>
      <c r="G2818" s="3">
        <f t="shared" si="272"/>
        <v>6.3398500028844182</v>
      </c>
      <c r="H2818" s="3">
        <f t="shared" si="273"/>
        <v>701.61796540848798</v>
      </c>
      <c r="M2818" s="1">
        <f t="shared" si="274"/>
        <v>2067</v>
      </c>
      <c r="N2818" s="38">
        <f>+M2818*'Failure Data'!F$3</f>
        <v>53.397500000000001</v>
      </c>
    </row>
    <row r="2819" spans="1:14" x14ac:dyDescent="0.15">
      <c r="A2819" s="1">
        <v>2810</v>
      </c>
      <c r="B2819" s="3">
        <f t="shared" si="269"/>
        <v>708.20871889674436</v>
      </c>
      <c r="C2819" s="8"/>
      <c r="D2819" s="3">
        <f t="shared" si="270"/>
        <v>701.86886889386005</v>
      </c>
      <c r="F2819" s="3">
        <f t="shared" si="271"/>
        <v>-608.20871889674436</v>
      </c>
      <c r="G2819" s="3">
        <f t="shared" si="272"/>
        <v>6.3398500028843046</v>
      </c>
      <c r="H2819" s="3">
        <f t="shared" si="273"/>
        <v>701.86886889386005</v>
      </c>
      <c r="M2819" s="1">
        <f t="shared" si="274"/>
        <v>2068</v>
      </c>
      <c r="N2819" s="38">
        <f>+M2819*'Failure Data'!F$3</f>
        <v>53.423333333333332</v>
      </c>
    </row>
    <row r="2820" spans="1:14" x14ac:dyDescent="0.15">
      <c r="A2820" s="1">
        <v>2811</v>
      </c>
      <c r="B2820" s="3">
        <f t="shared" si="269"/>
        <v>708.45962238211644</v>
      </c>
      <c r="C2820" s="8"/>
      <c r="D2820" s="3">
        <f t="shared" si="270"/>
        <v>702.11977237923202</v>
      </c>
      <c r="F2820" s="3">
        <f t="shared" si="271"/>
        <v>-608.45962238211644</v>
      </c>
      <c r="G2820" s="3">
        <f t="shared" si="272"/>
        <v>6.3398500028844182</v>
      </c>
      <c r="H2820" s="3">
        <f t="shared" si="273"/>
        <v>702.11977237923202</v>
      </c>
      <c r="M2820" s="1">
        <f t="shared" si="274"/>
        <v>2069</v>
      </c>
      <c r="N2820" s="38">
        <f>+M2820*'Failure Data'!F$3</f>
        <v>53.449166666666663</v>
      </c>
    </row>
    <row r="2821" spans="1:14" x14ac:dyDescent="0.15">
      <c r="A2821" s="1">
        <v>2812</v>
      </c>
      <c r="B2821" s="3">
        <f t="shared" si="269"/>
        <v>708.7105258674884</v>
      </c>
      <c r="C2821" s="8"/>
      <c r="D2821" s="3">
        <f t="shared" si="270"/>
        <v>702.37067586460398</v>
      </c>
      <c r="F2821" s="3">
        <f t="shared" si="271"/>
        <v>-608.7105258674884</v>
      </c>
      <c r="G2821" s="3">
        <f t="shared" si="272"/>
        <v>6.3398500028844182</v>
      </c>
      <c r="H2821" s="3">
        <f t="shared" si="273"/>
        <v>702.37067586460398</v>
      </c>
      <c r="M2821" s="1">
        <f t="shared" si="274"/>
        <v>2070</v>
      </c>
      <c r="N2821" s="38">
        <f>+M2821*'Failure Data'!F$3</f>
        <v>53.475000000000001</v>
      </c>
    </row>
    <row r="2822" spans="1:14" x14ac:dyDescent="0.15">
      <c r="A2822" s="1">
        <v>2813</v>
      </c>
      <c r="B2822" s="3">
        <f t="shared" si="269"/>
        <v>708.96142935286036</v>
      </c>
      <c r="C2822" s="8"/>
      <c r="D2822" s="3">
        <f t="shared" si="270"/>
        <v>702.62157934997595</v>
      </c>
      <c r="F2822" s="3">
        <f t="shared" si="271"/>
        <v>-608.96142935286036</v>
      </c>
      <c r="G2822" s="3">
        <f t="shared" si="272"/>
        <v>6.3398500028844182</v>
      </c>
      <c r="H2822" s="3">
        <f t="shared" si="273"/>
        <v>702.62157934997595</v>
      </c>
      <c r="M2822" s="1">
        <f t="shared" si="274"/>
        <v>2071</v>
      </c>
      <c r="N2822" s="38">
        <f>+M2822*'Failure Data'!F$3</f>
        <v>53.500833333333333</v>
      </c>
    </row>
    <row r="2823" spans="1:14" x14ac:dyDescent="0.15">
      <c r="A2823" s="1">
        <v>2814</v>
      </c>
      <c r="B2823" s="3">
        <f t="shared" si="269"/>
        <v>709.21233283823233</v>
      </c>
      <c r="C2823" s="8"/>
      <c r="D2823" s="3">
        <f t="shared" si="270"/>
        <v>702.87248283534802</v>
      </c>
      <c r="F2823" s="3">
        <f t="shared" si="271"/>
        <v>-609.21233283823233</v>
      </c>
      <c r="G2823" s="3">
        <f t="shared" si="272"/>
        <v>6.3398500028843046</v>
      </c>
      <c r="H2823" s="3">
        <f t="shared" si="273"/>
        <v>702.87248283534802</v>
      </c>
      <c r="M2823" s="1">
        <f t="shared" si="274"/>
        <v>2072</v>
      </c>
      <c r="N2823" s="38">
        <f>+M2823*'Failure Data'!F$3</f>
        <v>53.526666666666664</v>
      </c>
    </row>
    <row r="2824" spans="1:14" x14ac:dyDescent="0.15">
      <c r="A2824" s="1">
        <v>2815</v>
      </c>
      <c r="B2824" s="3">
        <f t="shared" si="269"/>
        <v>709.46323632360441</v>
      </c>
      <c r="C2824" s="8"/>
      <c r="D2824" s="3">
        <f t="shared" si="270"/>
        <v>703.12338632071999</v>
      </c>
      <c r="F2824" s="3">
        <f t="shared" si="271"/>
        <v>-609.46323632360441</v>
      </c>
      <c r="G2824" s="3">
        <f t="shared" si="272"/>
        <v>6.3398500028844182</v>
      </c>
      <c r="H2824" s="3">
        <f t="shared" si="273"/>
        <v>703.12338632071999</v>
      </c>
      <c r="M2824" s="1">
        <f t="shared" si="274"/>
        <v>2073</v>
      </c>
      <c r="N2824" s="38">
        <f>+M2824*'Failure Data'!F$3</f>
        <v>53.552500000000002</v>
      </c>
    </row>
    <row r="2825" spans="1:14" x14ac:dyDescent="0.15">
      <c r="A2825" s="1">
        <v>2816</v>
      </c>
      <c r="B2825" s="3">
        <f t="shared" si="269"/>
        <v>709.71413980897637</v>
      </c>
      <c r="C2825" s="8"/>
      <c r="D2825" s="3">
        <f t="shared" si="270"/>
        <v>703.37428980609195</v>
      </c>
      <c r="F2825" s="3">
        <f t="shared" si="271"/>
        <v>-609.71413980897637</v>
      </c>
      <c r="G2825" s="3">
        <f t="shared" si="272"/>
        <v>6.3398500028844182</v>
      </c>
      <c r="H2825" s="3">
        <f t="shared" si="273"/>
        <v>703.37428980609195</v>
      </c>
      <c r="M2825" s="1">
        <f t="shared" si="274"/>
        <v>2074</v>
      </c>
      <c r="N2825" s="38">
        <f>+M2825*'Failure Data'!F$3</f>
        <v>53.578333333333333</v>
      </c>
    </row>
    <row r="2826" spans="1:14" x14ac:dyDescent="0.15">
      <c r="A2826" s="1">
        <v>2817</v>
      </c>
      <c r="B2826" s="3">
        <f t="shared" si="269"/>
        <v>709.96504329434833</v>
      </c>
      <c r="C2826" s="8"/>
      <c r="D2826" s="3">
        <f t="shared" si="270"/>
        <v>703.62519329146403</v>
      </c>
      <c r="F2826" s="3">
        <f t="shared" si="271"/>
        <v>-609.96504329434833</v>
      </c>
      <c r="G2826" s="3">
        <f t="shared" si="272"/>
        <v>6.3398500028843046</v>
      </c>
      <c r="H2826" s="3">
        <f t="shared" si="273"/>
        <v>703.62519329146403</v>
      </c>
      <c r="M2826" s="1">
        <f t="shared" si="274"/>
        <v>2075</v>
      </c>
      <c r="N2826" s="38">
        <f>+M2826*'Failure Data'!F$3</f>
        <v>53.604166666666664</v>
      </c>
    </row>
    <row r="2827" spans="1:14" x14ac:dyDescent="0.15">
      <c r="A2827" s="1">
        <v>2818</v>
      </c>
      <c r="B2827" s="3">
        <f t="shared" si="269"/>
        <v>710.2159467797203</v>
      </c>
      <c r="C2827" s="8"/>
      <c r="D2827" s="3">
        <f t="shared" si="270"/>
        <v>703.87609677683599</v>
      </c>
      <c r="F2827" s="3">
        <f t="shared" si="271"/>
        <v>-610.2159467797203</v>
      </c>
      <c r="G2827" s="3">
        <f t="shared" si="272"/>
        <v>6.3398500028843046</v>
      </c>
      <c r="H2827" s="3">
        <f t="shared" si="273"/>
        <v>703.87609677683599</v>
      </c>
      <c r="M2827" s="1">
        <f t="shared" si="274"/>
        <v>2076</v>
      </c>
      <c r="N2827" s="38">
        <f>+M2827*'Failure Data'!F$3</f>
        <v>53.63</v>
      </c>
    </row>
    <row r="2828" spans="1:14" x14ac:dyDescent="0.15">
      <c r="A2828" s="1">
        <v>2819</v>
      </c>
      <c r="B2828" s="3">
        <f t="shared" si="269"/>
        <v>710.46685026509238</v>
      </c>
      <c r="C2828" s="8"/>
      <c r="D2828" s="3">
        <f t="shared" si="270"/>
        <v>704.12700026220796</v>
      </c>
      <c r="F2828" s="3">
        <f t="shared" si="271"/>
        <v>-610.46685026509238</v>
      </c>
      <c r="G2828" s="3">
        <f t="shared" si="272"/>
        <v>6.3398500028844182</v>
      </c>
      <c r="H2828" s="3">
        <f t="shared" si="273"/>
        <v>704.12700026220796</v>
      </c>
      <c r="M2828" s="1">
        <f t="shared" si="274"/>
        <v>2077</v>
      </c>
      <c r="N2828" s="38">
        <f>+M2828*'Failure Data'!F$3</f>
        <v>53.655833333333334</v>
      </c>
    </row>
    <row r="2829" spans="1:14" x14ac:dyDescent="0.15">
      <c r="A2829" s="1">
        <v>2820</v>
      </c>
      <c r="B2829" s="3">
        <f t="shared" si="269"/>
        <v>710.71775375046434</v>
      </c>
      <c r="C2829" s="8"/>
      <c r="D2829" s="3">
        <f t="shared" si="270"/>
        <v>704.37790374757992</v>
      </c>
      <c r="F2829" s="3">
        <f t="shared" si="271"/>
        <v>-610.71775375046434</v>
      </c>
      <c r="G2829" s="3">
        <f t="shared" si="272"/>
        <v>6.3398500028844182</v>
      </c>
      <c r="H2829" s="3">
        <f t="shared" si="273"/>
        <v>704.37790374757992</v>
      </c>
      <c r="M2829" s="1">
        <f t="shared" si="274"/>
        <v>2078</v>
      </c>
      <c r="N2829" s="38">
        <f>+M2829*'Failure Data'!F$3</f>
        <v>53.681666666666665</v>
      </c>
    </row>
    <row r="2830" spans="1:14" x14ac:dyDescent="0.15">
      <c r="A2830" s="1">
        <v>2821</v>
      </c>
      <c r="B2830" s="3">
        <f t="shared" si="269"/>
        <v>710.9686572358363</v>
      </c>
      <c r="C2830" s="8"/>
      <c r="D2830" s="3">
        <f t="shared" si="270"/>
        <v>704.628807232952</v>
      </c>
      <c r="F2830" s="3">
        <f t="shared" si="271"/>
        <v>-610.9686572358363</v>
      </c>
      <c r="G2830" s="3">
        <f t="shared" si="272"/>
        <v>6.3398500028843046</v>
      </c>
      <c r="H2830" s="3">
        <f t="shared" si="273"/>
        <v>704.628807232952</v>
      </c>
      <c r="M2830" s="1">
        <f t="shared" si="274"/>
        <v>2079</v>
      </c>
      <c r="N2830" s="38">
        <f>+M2830*'Failure Data'!F$3</f>
        <v>53.707500000000003</v>
      </c>
    </row>
    <row r="2831" spans="1:14" x14ac:dyDescent="0.15">
      <c r="A2831" s="1">
        <v>2822</v>
      </c>
      <c r="B2831" s="3">
        <f t="shared" si="269"/>
        <v>711.21956072120827</v>
      </c>
      <c r="C2831" s="8"/>
      <c r="D2831" s="3">
        <f t="shared" si="270"/>
        <v>704.87971071832396</v>
      </c>
      <c r="F2831" s="3">
        <f t="shared" si="271"/>
        <v>-611.21956072120827</v>
      </c>
      <c r="G2831" s="3">
        <f t="shared" si="272"/>
        <v>6.3398500028843046</v>
      </c>
      <c r="H2831" s="3">
        <f t="shared" si="273"/>
        <v>704.87971071832396</v>
      </c>
      <c r="M2831" s="1">
        <f t="shared" si="274"/>
        <v>2080</v>
      </c>
      <c r="N2831" s="38">
        <f>+M2831*'Failure Data'!F$3</f>
        <v>53.733333333333334</v>
      </c>
    </row>
    <row r="2832" spans="1:14" x14ac:dyDescent="0.15">
      <c r="A2832" s="1">
        <v>2823</v>
      </c>
      <c r="B2832" s="3">
        <f t="shared" si="269"/>
        <v>711.47046420658035</v>
      </c>
      <c r="C2832" s="8"/>
      <c r="D2832" s="3">
        <f t="shared" si="270"/>
        <v>705.13061420369593</v>
      </c>
      <c r="F2832" s="3">
        <f t="shared" si="271"/>
        <v>-611.47046420658035</v>
      </c>
      <c r="G2832" s="3">
        <f t="shared" si="272"/>
        <v>6.3398500028844182</v>
      </c>
      <c r="H2832" s="3">
        <f t="shared" si="273"/>
        <v>705.13061420369593</v>
      </c>
      <c r="M2832" s="1">
        <f t="shared" si="274"/>
        <v>2081</v>
      </c>
      <c r="N2832" s="38">
        <f>+M2832*'Failure Data'!F$3</f>
        <v>53.759166666666665</v>
      </c>
    </row>
    <row r="2833" spans="1:14" x14ac:dyDescent="0.15">
      <c r="A2833" s="1">
        <v>2824</v>
      </c>
      <c r="B2833" s="3">
        <f t="shared" si="269"/>
        <v>711.72136769195231</v>
      </c>
      <c r="C2833" s="8"/>
      <c r="D2833" s="3">
        <f t="shared" si="270"/>
        <v>705.38151768906789</v>
      </c>
      <c r="F2833" s="3">
        <f t="shared" si="271"/>
        <v>-611.72136769195231</v>
      </c>
      <c r="G2833" s="3">
        <f t="shared" si="272"/>
        <v>6.3398500028844182</v>
      </c>
      <c r="H2833" s="3">
        <f t="shared" si="273"/>
        <v>705.38151768906789</v>
      </c>
      <c r="M2833" s="1">
        <f t="shared" si="274"/>
        <v>2082</v>
      </c>
      <c r="N2833" s="38">
        <f>+M2833*'Failure Data'!F$3</f>
        <v>53.784999999999997</v>
      </c>
    </row>
    <row r="2834" spans="1:14" x14ac:dyDescent="0.15">
      <c r="A2834" s="1">
        <v>2825</v>
      </c>
      <c r="B2834" s="3">
        <f t="shared" si="269"/>
        <v>711.97227117732427</v>
      </c>
      <c r="C2834" s="8"/>
      <c r="D2834" s="3">
        <f t="shared" si="270"/>
        <v>705.63242117443997</v>
      </c>
      <c r="F2834" s="3">
        <f t="shared" si="271"/>
        <v>-611.97227117732427</v>
      </c>
      <c r="G2834" s="3">
        <f t="shared" si="272"/>
        <v>6.3398500028843046</v>
      </c>
      <c r="H2834" s="3">
        <f t="shared" si="273"/>
        <v>705.63242117443997</v>
      </c>
      <c r="M2834" s="1">
        <f t="shared" si="274"/>
        <v>2083</v>
      </c>
      <c r="N2834" s="38">
        <f>+M2834*'Failure Data'!F$3</f>
        <v>53.810833333333335</v>
      </c>
    </row>
    <row r="2835" spans="1:14" x14ac:dyDescent="0.15">
      <c r="A2835" s="1">
        <v>2826</v>
      </c>
      <c r="B2835" s="3">
        <f t="shared" si="269"/>
        <v>712.22317466269624</v>
      </c>
      <c r="C2835" s="8"/>
      <c r="D2835" s="3">
        <f t="shared" si="270"/>
        <v>705.88332465981193</v>
      </c>
      <c r="F2835" s="3">
        <f t="shared" si="271"/>
        <v>-612.22317466269624</v>
      </c>
      <c r="G2835" s="3">
        <f t="shared" si="272"/>
        <v>6.3398500028843046</v>
      </c>
      <c r="H2835" s="3">
        <f t="shared" si="273"/>
        <v>705.88332465981193</v>
      </c>
      <c r="M2835" s="1">
        <f t="shared" si="274"/>
        <v>2084</v>
      </c>
      <c r="N2835" s="38">
        <f>+M2835*'Failure Data'!F$3</f>
        <v>53.836666666666666</v>
      </c>
    </row>
    <row r="2836" spans="1:14" x14ac:dyDescent="0.15">
      <c r="A2836" s="1">
        <v>2827</v>
      </c>
      <c r="B2836" s="3">
        <f t="shared" si="269"/>
        <v>712.47407814806832</v>
      </c>
      <c r="C2836" s="8"/>
      <c r="D2836" s="3">
        <f t="shared" si="270"/>
        <v>706.1342281451839</v>
      </c>
      <c r="F2836" s="3">
        <f t="shared" si="271"/>
        <v>-612.47407814806832</v>
      </c>
      <c r="G2836" s="3">
        <f t="shared" si="272"/>
        <v>6.3398500028844182</v>
      </c>
      <c r="H2836" s="3">
        <f t="shared" si="273"/>
        <v>706.1342281451839</v>
      </c>
      <c r="M2836" s="1">
        <f t="shared" si="274"/>
        <v>2085</v>
      </c>
      <c r="N2836" s="38">
        <f>+M2836*'Failure Data'!F$3</f>
        <v>53.862499999999997</v>
      </c>
    </row>
    <row r="2837" spans="1:14" x14ac:dyDescent="0.15">
      <c r="A2837" s="1">
        <v>2828</v>
      </c>
      <c r="B2837" s="3">
        <f t="shared" si="269"/>
        <v>712.72498163344028</v>
      </c>
      <c r="C2837" s="8"/>
      <c r="D2837" s="3">
        <f t="shared" si="270"/>
        <v>706.38513163055586</v>
      </c>
      <c r="F2837" s="3">
        <f t="shared" si="271"/>
        <v>-612.72498163344028</v>
      </c>
      <c r="G2837" s="3">
        <f t="shared" si="272"/>
        <v>6.3398500028844182</v>
      </c>
      <c r="H2837" s="3">
        <f t="shared" si="273"/>
        <v>706.38513163055586</v>
      </c>
      <c r="M2837" s="1">
        <f t="shared" si="274"/>
        <v>2086</v>
      </c>
      <c r="N2837" s="38">
        <f>+M2837*'Failure Data'!F$3</f>
        <v>53.888333333333335</v>
      </c>
    </row>
    <row r="2838" spans="1:14" x14ac:dyDescent="0.15">
      <c r="A2838" s="1">
        <v>2829</v>
      </c>
      <c r="B2838" s="3">
        <f t="shared" si="269"/>
        <v>712.97588511881224</v>
      </c>
      <c r="C2838" s="8"/>
      <c r="D2838" s="3">
        <f t="shared" si="270"/>
        <v>706.63603511592794</v>
      </c>
      <c r="F2838" s="3">
        <f t="shared" si="271"/>
        <v>-612.97588511881224</v>
      </c>
      <c r="G2838" s="3">
        <f t="shared" si="272"/>
        <v>6.3398500028843046</v>
      </c>
      <c r="H2838" s="3">
        <f t="shared" si="273"/>
        <v>706.63603511592794</v>
      </c>
      <c r="M2838" s="1">
        <f t="shared" si="274"/>
        <v>2087</v>
      </c>
      <c r="N2838" s="38">
        <f>+M2838*'Failure Data'!F$3</f>
        <v>53.914166666666667</v>
      </c>
    </row>
    <row r="2839" spans="1:14" x14ac:dyDescent="0.15">
      <c r="A2839" s="1">
        <v>2830</v>
      </c>
      <c r="B2839" s="3">
        <f t="shared" si="269"/>
        <v>713.22678860418432</v>
      </c>
      <c r="C2839" s="8"/>
      <c r="D2839" s="3">
        <f t="shared" si="270"/>
        <v>706.8869386012999</v>
      </c>
      <c r="F2839" s="3">
        <f t="shared" si="271"/>
        <v>-613.22678860418432</v>
      </c>
      <c r="G2839" s="3">
        <f t="shared" si="272"/>
        <v>6.3398500028844182</v>
      </c>
      <c r="H2839" s="3">
        <f t="shared" si="273"/>
        <v>706.8869386012999</v>
      </c>
      <c r="M2839" s="1">
        <f t="shared" si="274"/>
        <v>2088</v>
      </c>
      <c r="N2839" s="38">
        <f>+M2839*'Failure Data'!F$3</f>
        <v>53.94</v>
      </c>
    </row>
    <row r="2840" spans="1:14" x14ac:dyDescent="0.15">
      <c r="A2840" s="1">
        <v>2831</v>
      </c>
      <c r="B2840" s="3">
        <f t="shared" si="269"/>
        <v>713.47769208955629</v>
      </c>
      <c r="C2840" s="8"/>
      <c r="D2840" s="3">
        <f t="shared" si="270"/>
        <v>707.13784208667187</v>
      </c>
      <c r="F2840" s="3">
        <f t="shared" si="271"/>
        <v>-613.47769208955629</v>
      </c>
      <c r="G2840" s="3">
        <f t="shared" si="272"/>
        <v>6.3398500028844182</v>
      </c>
      <c r="H2840" s="3">
        <f t="shared" si="273"/>
        <v>707.13784208667187</v>
      </c>
      <c r="M2840" s="1">
        <f t="shared" si="274"/>
        <v>2089</v>
      </c>
      <c r="N2840" s="38">
        <f>+M2840*'Failure Data'!F$3</f>
        <v>53.965833333333336</v>
      </c>
    </row>
    <row r="2841" spans="1:14" x14ac:dyDescent="0.15">
      <c r="A2841" s="1">
        <v>2832</v>
      </c>
      <c r="B2841" s="3">
        <f t="shared" si="269"/>
        <v>713.72859557492825</v>
      </c>
      <c r="C2841" s="8"/>
      <c r="D2841" s="3">
        <f t="shared" si="270"/>
        <v>707.38874557204383</v>
      </c>
      <c r="F2841" s="3">
        <f t="shared" si="271"/>
        <v>-613.72859557492825</v>
      </c>
      <c r="G2841" s="3">
        <f t="shared" si="272"/>
        <v>6.3398500028844182</v>
      </c>
      <c r="H2841" s="3">
        <f t="shared" si="273"/>
        <v>707.38874557204383</v>
      </c>
      <c r="M2841" s="1">
        <f t="shared" si="274"/>
        <v>2090</v>
      </c>
      <c r="N2841" s="38">
        <f>+M2841*'Failure Data'!F$3</f>
        <v>53.991666666666667</v>
      </c>
    </row>
    <row r="2842" spans="1:14" x14ac:dyDescent="0.15">
      <c r="A2842" s="1">
        <v>2833</v>
      </c>
      <c r="B2842" s="3">
        <f t="shared" si="269"/>
        <v>713.97949906030021</v>
      </c>
      <c r="C2842" s="8"/>
      <c r="D2842" s="3">
        <f t="shared" si="270"/>
        <v>707.63964905741591</v>
      </c>
      <c r="F2842" s="3">
        <f t="shared" si="271"/>
        <v>-613.97949906030021</v>
      </c>
      <c r="G2842" s="3">
        <f t="shared" si="272"/>
        <v>6.3398500028843046</v>
      </c>
      <c r="H2842" s="3">
        <f t="shared" si="273"/>
        <v>707.63964905741591</v>
      </c>
      <c r="M2842" s="1">
        <f t="shared" si="274"/>
        <v>2091</v>
      </c>
      <c r="N2842" s="38">
        <f>+M2842*'Failure Data'!F$3</f>
        <v>54.017499999999998</v>
      </c>
    </row>
    <row r="2843" spans="1:14" x14ac:dyDescent="0.15">
      <c r="A2843" s="1">
        <v>2834</v>
      </c>
      <c r="B2843" s="3">
        <f t="shared" si="269"/>
        <v>714.23040254567229</v>
      </c>
      <c r="C2843" s="8"/>
      <c r="D2843" s="3">
        <f t="shared" si="270"/>
        <v>707.89055254278787</v>
      </c>
      <c r="F2843" s="3">
        <f t="shared" si="271"/>
        <v>-614.23040254567229</v>
      </c>
      <c r="G2843" s="3">
        <f t="shared" si="272"/>
        <v>6.3398500028844182</v>
      </c>
      <c r="H2843" s="3">
        <f t="shared" si="273"/>
        <v>707.89055254278787</v>
      </c>
      <c r="M2843" s="1">
        <f t="shared" si="274"/>
        <v>2092</v>
      </c>
      <c r="N2843" s="38">
        <f>+M2843*'Failure Data'!F$3</f>
        <v>54.043333333333329</v>
      </c>
    </row>
    <row r="2844" spans="1:14" x14ac:dyDescent="0.15">
      <c r="A2844" s="1">
        <v>2835</v>
      </c>
      <c r="B2844" s="3">
        <f t="shared" si="269"/>
        <v>714.48130603104426</v>
      </c>
      <c r="C2844" s="8"/>
      <c r="D2844" s="3">
        <f t="shared" si="270"/>
        <v>708.14145602815984</v>
      </c>
      <c r="F2844" s="3">
        <f t="shared" si="271"/>
        <v>-614.48130603104426</v>
      </c>
      <c r="G2844" s="3">
        <f t="shared" si="272"/>
        <v>6.3398500028844182</v>
      </c>
      <c r="H2844" s="3">
        <f t="shared" si="273"/>
        <v>708.14145602815984</v>
      </c>
      <c r="M2844" s="1">
        <f t="shared" si="274"/>
        <v>2093</v>
      </c>
      <c r="N2844" s="38">
        <f>+M2844*'Failure Data'!F$3</f>
        <v>54.069166666666668</v>
      </c>
    </row>
    <row r="2845" spans="1:14" x14ac:dyDescent="0.15">
      <c r="A2845" s="1">
        <v>2836</v>
      </c>
      <c r="B2845" s="3">
        <f t="shared" si="269"/>
        <v>714.73220951641622</v>
      </c>
      <c r="C2845" s="8"/>
      <c r="D2845" s="3">
        <f t="shared" si="270"/>
        <v>708.3923595135318</v>
      </c>
      <c r="F2845" s="3">
        <f t="shared" si="271"/>
        <v>-614.73220951641622</v>
      </c>
      <c r="G2845" s="3">
        <f t="shared" si="272"/>
        <v>6.3398500028844182</v>
      </c>
      <c r="H2845" s="3">
        <f t="shared" si="273"/>
        <v>708.3923595135318</v>
      </c>
      <c r="M2845" s="1">
        <f t="shared" si="274"/>
        <v>2094</v>
      </c>
      <c r="N2845" s="38">
        <f>+M2845*'Failure Data'!F$3</f>
        <v>54.094999999999999</v>
      </c>
    </row>
    <row r="2846" spans="1:14" x14ac:dyDescent="0.15">
      <c r="A2846" s="1">
        <v>2837</v>
      </c>
      <c r="B2846" s="3">
        <f t="shared" si="269"/>
        <v>714.98311300178818</v>
      </c>
      <c r="C2846" s="8"/>
      <c r="D2846" s="3">
        <f t="shared" si="270"/>
        <v>708.64326299890388</v>
      </c>
      <c r="F2846" s="3">
        <f t="shared" si="271"/>
        <v>-614.98311300178818</v>
      </c>
      <c r="G2846" s="3">
        <f t="shared" si="272"/>
        <v>6.3398500028843046</v>
      </c>
      <c r="H2846" s="3">
        <f t="shared" si="273"/>
        <v>708.64326299890388</v>
      </c>
      <c r="M2846" s="1">
        <f t="shared" si="274"/>
        <v>2095</v>
      </c>
      <c r="N2846" s="38">
        <f>+M2846*'Failure Data'!F$3</f>
        <v>54.12083333333333</v>
      </c>
    </row>
    <row r="2847" spans="1:14" x14ac:dyDescent="0.15">
      <c r="A2847" s="1">
        <v>2838</v>
      </c>
      <c r="B2847" s="3">
        <f t="shared" ref="B2847:B2878" si="275">+(B$4*A2847)+B$5</f>
        <v>715.23401648716026</v>
      </c>
      <c r="C2847" s="8"/>
      <c r="D2847" s="3">
        <f t="shared" ref="D2847:D2878" si="276">+(D$4*A2847)+D$5</f>
        <v>708.89416648427584</v>
      </c>
      <c r="F2847" s="3">
        <f t="shared" ref="F2847:F2878" si="277">+xmax-B2847</f>
        <v>-615.23401648716026</v>
      </c>
      <c r="G2847" s="3">
        <f t="shared" ref="G2847:G2878" si="278">+B2847-D2847</f>
        <v>6.3398500028844182</v>
      </c>
      <c r="H2847" s="3">
        <f t="shared" ref="H2847:H2878" si="279">D2847</f>
        <v>708.89416648427584</v>
      </c>
      <c r="M2847" s="1">
        <f t="shared" si="274"/>
        <v>2096</v>
      </c>
      <c r="N2847" s="38">
        <f>+M2847*'Failure Data'!F$3</f>
        <v>54.146666666666668</v>
      </c>
    </row>
    <row r="2848" spans="1:14" x14ac:dyDescent="0.15">
      <c r="A2848" s="1">
        <v>2839</v>
      </c>
      <c r="B2848" s="3">
        <f t="shared" si="275"/>
        <v>715.48491997253223</v>
      </c>
      <c r="C2848" s="8"/>
      <c r="D2848" s="3">
        <f t="shared" si="276"/>
        <v>709.14506996964781</v>
      </c>
      <c r="F2848" s="3">
        <f t="shared" si="277"/>
        <v>-615.48491997253223</v>
      </c>
      <c r="G2848" s="3">
        <f t="shared" si="278"/>
        <v>6.3398500028844182</v>
      </c>
      <c r="H2848" s="3">
        <f t="shared" si="279"/>
        <v>709.14506996964781</v>
      </c>
      <c r="M2848" s="1">
        <f t="shared" si="274"/>
        <v>2097</v>
      </c>
      <c r="N2848" s="38">
        <f>+M2848*'Failure Data'!F$3</f>
        <v>54.172499999999999</v>
      </c>
    </row>
    <row r="2849" spans="1:14" x14ac:dyDescent="0.15">
      <c r="A2849" s="1">
        <v>2840</v>
      </c>
      <c r="B2849" s="3">
        <f t="shared" si="275"/>
        <v>715.73582345790419</v>
      </c>
      <c r="C2849" s="8"/>
      <c r="D2849" s="3">
        <f t="shared" si="276"/>
        <v>709.39597345501988</v>
      </c>
      <c r="F2849" s="3">
        <f t="shared" si="277"/>
        <v>-615.73582345790419</v>
      </c>
      <c r="G2849" s="3">
        <f t="shared" si="278"/>
        <v>6.3398500028843046</v>
      </c>
      <c r="H2849" s="3">
        <f t="shared" si="279"/>
        <v>709.39597345501988</v>
      </c>
      <c r="M2849" s="1">
        <f t="shared" si="274"/>
        <v>2098</v>
      </c>
      <c r="N2849" s="38">
        <f>+M2849*'Failure Data'!F$3</f>
        <v>54.198333333333331</v>
      </c>
    </row>
    <row r="2850" spans="1:14" x14ac:dyDescent="0.15">
      <c r="A2850" s="1">
        <v>2841</v>
      </c>
      <c r="B2850" s="3">
        <f t="shared" si="275"/>
        <v>715.98672694327615</v>
      </c>
      <c r="C2850" s="8"/>
      <c r="D2850" s="3">
        <f t="shared" si="276"/>
        <v>709.64687694039185</v>
      </c>
      <c r="F2850" s="3">
        <f t="shared" si="277"/>
        <v>-615.98672694327615</v>
      </c>
      <c r="G2850" s="3">
        <f t="shared" si="278"/>
        <v>6.3398500028843046</v>
      </c>
      <c r="H2850" s="3">
        <f t="shared" si="279"/>
        <v>709.64687694039185</v>
      </c>
      <c r="M2850" s="1">
        <f t="shared" si="274"/>
        <v>2099</v>
      </c>
      <c r="N2850" s="38">
        <f>+M2850*'Failure Data'!F$3</f>
        <v>54.224166666666669</v>
      </c>
    </row>
    <row r="2851" spans="1:14" x14ac:dyDescent="0.15">
      <c r="A2851" s="1">
        <v>2842</v>
      </c>
      <c r="B2851" s="3">
        <f t="shared" si="275"/>
        <v>716.23763042864823</v>
      </c>
      <c r="C2851" s="8"/>
      <c r="D2851" s="3">
        <f t="shared" si="276"/>
        <v>709.89778042576381</v>
      </c>
      <c r="F2851" s="3">
        <f t="shared" si="277"/>
        <v>-616.23763042864823</v>
      </c>
      <c r="G2851" s="3">
        <f t="shared" si="278"/>
        <v>6.3398500028844182</v>
      </c>
      <c r="H2851" s="3">
        <f t="shared" si="279"/>
        <v>709.89778042576381</v>
      </c>
      <c r="M2851" s="1">
        <f t="shared" si="274"/>
        <v>2100</v>
      </c>
      <c r="N2851" s="38">
        <f>+M2851*'Failure Data'!F$3</f>
        <v>54.25</v>
      </c>
    </row>
    <row r="2852" spans="1:14" x14ac:dyDescent="0.15">
      <c r="A2852" s="1">
        <v>2843</v>
      </c>
      <c r="B2852" s="3">
        <f t="shared" si="275"/>
        <v>716.48853391402019</v>
      </c>
      <c r="C2852" s="8"/>
      <c r="D2852" s="3">
        <f t="shared" si="276"/>
        <v>710.14868391113578</v>
      </c>
      <c r="F2852" s="3">
        <f t="shared" si="277"/>
        <v>-616.48853391402019</v>
      </c>
      <c r="G2852" s="3">
        <f t="shared" si="278"/>
        <v>6.3398500028844182</v>
      </c>
      <c r="H2852" s="3">
        <f t="shared" si="279"/>
        <v>710.14868391113578</v>
      </c>
      <c r="M2852" s="1">
        <f t="shared" si="274"/>
        <v>2101</v>
      </c>
      <c r="N2852" s="38">
        <f>+M2852*'Failure Data'!F$3</f>
        <v>54.275833333333331</v>
      </c>
    </row>
    <row r="2853" spans="1:14" x14ac:dyDescent="0.15">
      <c r="A2853" s="1">
        <v>2844</v>
      </c>
      <c r="B2853" s="3">
        <f t="shared" si="275"/>
        <v>716.73943739939216</v>
      </c>
      <c r="C2853" s="8"/>
      <c r="D2853" s="3">
        <f t="shared" si="276"/>
        <v>710.39958739650785</v>
      </c>
      <c r="F2853" s="3">
        <f t="shared" si="277"/>
        <v>-616.73943739939216</v>
      </c>
      <c r="G2853" s="3">
        <f t="shared" si="278"/>
        <v>6.3398500028843046</v>
      </c>
      <c r="H2853" s="3">
        <f t="shared" si="279"/>
        <v>710.39958739650785</v>
      </c>
      <c r="M2853" s="1">
        <f t="shared" si="274"/>
        <v>2102</v>
      </c>
      <c r="N2853" s="38">
        <f>+M2853*'Failure Data'!F$3</f>
        <v>54.301666666666669</v>
      </c>
    </row>
    <row r="2854" spans="1:14" x14ac:dyDescent="0.15">
      <c r="A2854" s="1">
        <v>2845</v>
      </c>
      <c r="B2854" s="3">
        <f t="shared" si="275"/>
        <v>716.99034088476412</v>
      </c>
      <c r="C2854" s="8"/>
      <c r="D2854" s="3">
        <f t="shared" si="276"/>
        <v>710.65049088187982</v>
      </c>
      <c r="F2854" s="3">
        <f t="shared" si="277"/>
        <v>-616.99034088476412</v>
      </c>
      <c r="G2854" s="3">
        <f t="shared" si="278"/>
        <v>6.3398500028843046</v>
      </c>
      <c r="H2854" s="3">
        <f t="shared" si="279"/>
        <v>710.65049088187982</v>
      </c>
      <c r="M2854" s="1">
        <f t="shared" si="274"/>
        <v>2103</v>
      </c>
      <c r="N2854" s="38">
        <f>+M2854*'Failure Data'!F$3</f>
        <v>54.327500000000001</v>
      </c>
    </row>
    <row r="2855" spans="1:14" x14ac:dyDescent="0.15">
      <c r="A2855" s="1">
        <v>2846</v>
      </c>
      <c r="B2855" s="3">
        <f t="shared" si="275"/>
        <v>717.2412443701362</v>
      </c>
      <c r="C2855" s="8"/>
      <c r="D2855" s="3">
        <f t="shared" si="276"/>
        <v>710.90139436725178</v>
      </c>
      <c r="F2855" s="3">
        <f t="shared" si="277"/>
        <v>-617.2412443701362</v>
      </c>
      <c r="G2855" s="3">
        <f t="shared" si="278"/>
        <v>6.3398500028844182</v>
      </c>
      <c r="H2855" s="3">
        <f t="shared" si="279"/>
        <v>710.90139436725178</v>
      </c>
      <c r="M2855" s="1">
        <f t="shared" si="274"/>
        <v>2104</v>
      </c>
      <c r="N2855" s="38">
        <f>+M2855*'Failure Data'!F$3</f>
        <v>54.353333333333332</v>
      </c>
    </row>
    <row r="2856" spans="1:14" x14ac:dyDescent="0.15">
      <c r="A2856" s="1">
        <v>2847</v>
      </c>
      <c r="B2856" s="3">
        <f t="shared" si="275"/>
        <v>717.49214785550816</v>
      </c>
      <c r="C2856" s="8"/>
      <c r="D2856" s="3">
        <f t="shared" si="276"/>
        <v>711.15229785262375</v>
      </c>
      <c r="F2856" s="3">
        <f t="shared" si="277"/>
        <v>-617.49214785550816</v>
      </c>
      <c r="G2856" s="3">
        <f t="shared" si="278"/>
        <v>6.3398500028844182</v>
      </c>
      <c r="H2856" s="3">
        <f t="shared" si="279"/>
        <v>711.15229785262375</v>
      </c>
      <c r="M2856" s="1">
        <f t="shared" si="274"/>
        <v>2105</v>
      </c>
      <c r="N2856" s="38">
        <f>+M2856*'Failure Data'!F$3</f>
        <v>54.379166666666663</v>
      </c>
    </row>
    <row r="2857" spans="1:14" x14ac:dyDescent="0.15">
      <c r="A2857" s="1">
        <v>2848</v>
      </c>
      <c r="B2857" s="3">
        <f t="shared" si="275"/>
        <v>717.74305134088013</v>
      </c>
      <c r="C2857" s="8"/>
      <c r="D2857" s="3">
        <f t="shared" si="276"/>
        <v>711.40320133799582</v>
      </c>
      <c r="F2857" s="3">
        <f t="shared" si="277"/>
        <v>-617.74305134088013</v>
      </c>
      <c r="G2857" s="3">
        <f t="shared" si="278"/>
        <v>6.3398500028843046</v>
      </c>
      <c r="H2857" s="3">
        <f t="shared" si="279"/>
        <v>711.40320133799582</v>
      </c>
      <c r="M2857" s="1">
        <f t="shared" si="274"/>
        <v>2106</v>
      </c>
      <c r="N2857" s="38">
        <f>+M2857*'Failure Data'!F$3</f>
        <v>54.405000000000001</v>
      </c>
    </row>
    <row r="2858" spans="1:14" x14ac:dyDescent="0.15">
      <c r="A2858" s="1">
        <v>2849</v>
      </c>
      <c r="B2858" s="3">
        <f t="shared" si="275"/>
        <v>717.99395482625209</v>
      </c>
      <c r="C2858" s="8"/>
      <c r="D2858" s="3">
        <f t="shared" si="276"/>
        <v>711.65410482336779</v>
      </c>
      <c r="F2858" s="3">
        <f t="shared" si="277"/>
        <v>-617.99395482625209</v>
      </c>
      <c r="G2858" s="3">
        <f t="shared" si="278"/>
        <v>6.3398500028843046</v>
      </c>
      <c r="H2858" s="3">
        <f t="shared" si="279"/>
        <v>711.65410482336779</v>
      </c>
      <c r="M2858" s="1">
        <f t="shared" si="274"/>
        <v>2107</v>
      </c>
      <c r="N2858" s="38">
        <f>+M2858*'Failure Data'!F$3</f>
        <v>54.430833333333332</v>
      </c>
    </row>
    <row r="2859" spans="1:14" x14ac:dyDescent="0.15">
      <c r="A2859" s="1">
        <v>2850</v>
      </c>
      <c r="B2859" s="3">
        <f t="shared" si="275"/>
        <v>718.24485831162417</v>
      </c>
      <c r="C2859" s="8"/>
      <c r="D2859" s="3">
        <f t="shared" si="276"/>
        <v>711.90500830873975</v>
      </c>
      <c r="F2859" s="3">
        <f t="shared" si="277"/>
        <v>-618.24485831162417</v>
      </c>
      <c r="G2859" s="3">
        <f t="shared" si="278"/>
        <v>6.3398500028844182</v>
      </c>
      <c r="H2859" s="3">
        <f t="shared" si="279"/>
        <v>711.90500830873975</v>
      </c>
      <c r="M2859" s="1">
        <f t="shared" si="274"/>
        <v>2108</v>
      </c>
      <c r="N2859" s="38">
        <f>+M2859*'Failure Data'!F$3</f>
        <v>54.456666666666663</v>
      </c>
    </row>
    <row r="2860" spans="1:14" x14ac:dyDescent="0.15">
      <c r="A2860" s="1">
        <v>2851</v>
      </c>
      <c r="B2860" s="3">
        <f t="shared" si="275"/>
        <v>718.49576179699613</v>
      </c>
      <c r="C2860" s="8"/>
      <c r="D2860" s="3">
        <f t="shared" si="276"/>
        <v>712.15591179411172</v>
      </c>
      <c r="F2860" s="3">
        <f t="shared" si="277"/>
        <v>-618.49576179699613</v>
      </c>
      <c r="G2860" s="3">
        <f t="shared" si="278"/>
        <v>6.3398500028844182</v>
      </c>
      <c r="H2860" s="3">
        <f t="shared" si="279"/>
        <v>712.15591179411172</v>
      </c>
      <c r="M2860" s="1">
        <f t="shared" si="274"/>
        <v>2109</v>
      </c>
      <c r="N2860" s="38">
        <f>+M2860*'Failure Data'!F$3</f>
        <v>54.482500000000002</v>
      </c>
    </row>
    <row r="2861" spans="1:14" x14ac:dyDescent="0.15">
      <c r="A2861" s="1">
        <v>2852</v>
      </c>
      <c r="B2861" s="3">
        <f t="shared" si="275"/>
        <v>718.7466652823681</v>
      </c>
      <c r="C2861" s="8"/>
      <c r="D2861" s="3">
        <f t="shared" si="276"/>
        <v>712.40681527948379</v>
      </c>
      <c r="F2861" s="3">
        <f t="shared" si="277"/>
        <v>-618.7466652823681</v>
      </c>
      <c r="G2861" s="3">
        <f t="shared" si="278"/>
        <v>6.3398500028843046</v>
      </c>
      <c r="H2861" s="3">
        <f t="shared" si="279"/>
        <v>712.40681527948379</v>
      </c>
      <c r="M2861" s="1">
        <f t="shared" si="274"/>
        <v>2110</v>
      </c>
      <c r="N2861" s="38">
        <f>+M2861*'Failure Data'!F$3</f>
        <v>54.508333333333333</v>
      </c>
    </row>
    <row r="2862" spans="1:14" x14ac:dyDescent="0.15">
      <c r="A2862" s="1">
        <v>2853</v>
      </c>
      <c r="B2862" s="3">
        <f t="shared" si="275"/>
        <v>718.99756876774018</v>
      </c>
      <c r="C2862" s="8"/>
      <c r="D2862" s="3">
        <f t="shared" si="276"/>
        <v>712.65771876485576</v>
      </c>
      <c r="F2862" s="3">
        <f t="shared" si="277"/>
        <v>-618.99756876774018</v>
      </c>
      <c r="G2862" s="3">
        <f t="shared" si="278"/>
        <v>6.3398500028844182</v>
      </c>
      <c r="H2862" s="3">
        <f t="shared" si="279"/>
        <v>712.65771876485576</v>
      </c>
      <c r="M2862" s="1">
        <f t="shared" si="274"/>
        <v>2111</v>
      </c>
      <c r="N2862" s="38">
        <f>+M2862*'Failure Data'!F$3</f>
        <v>54.534166666666664</v>
      </c>
    </row>
    <row r="2863" spans="1:14" x14ac:dyDescent="0.15">
      <c r="A2863" s="1">
        <v>2854</v>
      </c>
      <c r="B2863" s="3">
        <f t="shared" si="275"/>
        <v>719.24847225311214</v>
      </c>
      <c r="C2863" s="8"/>
      <c r="D2863" s="3">
        <f t="shared" si="276"/>
        <v>712.90862225022772</v>
      </c>
      <c r="F2863" s="3">
        <f t="shared" si="277"/>
        <v>-619.24847225311214</v>
      </c>
      <c r="G2863" s="3">
        <f t="shared" si="278"/>
        <v>6.3398500028844182</v>
      </c>
      <c r="H2863" s="3">
        <f t="shared" si="279"/>
        <v>712.90862225022772</v>
      </c>
      <c r="M2863" s="1">
        <f t="shared" si="274"/>
        <v>2112</v>
      </c>
      <c r="N2863" s="38">
        <f>+M2863*'Failure Data'!F$3</f>
        <v>54.56</v>
      </c>
    </row>
    <row r="2864" spans="1:14" x14ac:dyDescent="0.15">
      <c r="A2864" s="1">
        <v>2855</v>
      </c>
      <c r="B2864" s="3">
        <f t="shared" si="275"/>
        <v>719.4993757384841</v>
      </c>
      <c r="C2864" s="8"/>
      <c r="D2864" s="3">
        <f t="shared" si="276"/>
        <v>713.15952573559969</v>
      </c>
      <c r="F2864" s="3">
        <f t="shared" si="277"/>
        <v>-619.4993757384841</v>
      </c>
      <c r="G2864" s="3">
        <f t="shared" si="278"/>
        <v>6.3398500028844182</v>
      </c>
      <c r="H2864" s="3">
        <f t="shared" si="279"/>
        <v>713.15952573559969</v>
      </c>
      <c r="M2864" s="1">
        <f t="shared" si="274"/>
        <v>2113</v>
      </c>
      <c r="N2864" s="38">
        <f>+M2864*'Failure Data'!F$3</f>
        <v>54.585833333333333</v>
      </c>
    </row>
    <row r="2865" spans="1:14" x14ac:dyDescent="0.15">
      <c r="A2865" s="1">
        <v>2856</v>
      </c>
      <c r="B2865" s="3">
        <f t="shared" si="275"/>
        <v>719.75027922385607</v>
      </c>
      <c r="C2865" s="8"/>
      <c r="D2865" s="3">
        <f t="shared" si="276"/>
        <v>713.41042922097176</v>
      </c>
      <c r="F2865" s="3">
        <f t="shared" si="277"/>
        <v>-619.75027922385607</v>
      </c>
      <c r="G2865" s="3">
        <f t="shared" si="278"/>
        <v>6.3398500028843046</v>
      </c>
      <c r="H2865" s="3">
        <f t="shared" si="279"/>
        <v>713.41042922097176</v>
      </c>
      <c r="M2865" s="1">
        <f t="shared" si="274"/>
        <v>2114</v>
      </c>
      <c r="N2865" s="38">
        <f>+M2865*'Failure Data'!F$3</f>
        <v>54.611666666666665</v>
      </c>
    </row>
    <row r="2866" spans="1:14" x14ac:dyDescent="0.15">
      <c r="A2866" s="1">
        <v>2857</v>
      </c>
      <c r="B2866" s="3">
        <f t="shared" si="275"/>
        <v>720.00118270922815</v>
      </c>
      <c r="C2866" s="8"/>
      <c r="D2866" s="3">
        <f t="shared" si="276"/>
        <v>713.66133270634373</v>
      </c>
      <c r="F2866" s="3">
        <f t="shared" si="277"/>
        <v>-620.00118270922815</v>
      </c>
      <c r="G2866" s="3">
        <f t="shared" si="278"/>
        <v>6.3398500028844182</v>
      </c>
      <c r="H2866" s="3">
        <f t="shared" si="279"/>
        <v>713.66133270634373</v>
      </c>
      <c r="M2866" s="1">
        <f t="shared" si="274"/>
        <v>2115</v>
      </c>
      <c r="N2866" s="38">
        <f>+M2866*'Failure Data'!F$3</f>
        <v>54.637500000000003</v>
      </c>
    </row>
    <row r="2867" spans="1:14" x14ac:dyDescent="0.15">
      <c r="A2867" s="1">
        <v>2858</v>
      </c>
      <c r="B2867" s="3">
        <f t="shared" si="275"/>
        <v>720.25208619460011</v>
      </c>
      <c r="C2867" s="8"/>
      <c r="D2867" s="3">
        <f t="shared" si="276"/>
        <v>713.91223619171569</v>
      </c>
      <c r="F2867" s="3">
        <f t="shared" si="277"/>
        <v>-620.25208619460011</v>
      </c>
      <c r="G2867" s="3">
        <f t="shared" si="278"/>
        <v>6.3398500028844182</v>
      </c>
      <c r="H2867" s="3">
        <f t="shared" si="279"/>
        <v>713.91223619171569</v>
      </c>
      <c r="M2867" s="1">
        <f t="shared" si="274"/>
        <v>2116</v>
      </c>
      <c r="N2867" s="38">
        <f>+M2867*'Failure Data'!F$3</f>
        <v>54.663333333333334</v>
      </c>
    </row>
    <row r="2868" spans="1:14" x14ac:dyDescent="0.15">
      <c r="A2868" s="1">
        <v>2859</v>
      </c>
      <c r="B2868" s="3">
        <f t="shared" si="275"/>
        <v>720.50298967997207</v>
      </c>
      <c r="C2868" s="8"/>
      <c r="D2868" s="3">
        <f t="shared" si="276"/>
        <v>714.16313967708766</v>
      </c>
      <c r="F2868" s="3">
        <f t="shared" si="277"/>
        <v>-620.50298967997207</v>
      </c>
      <c r="G2868" s="3">
        <f t="shared" si="278"/>
        <v>6.3398500028844182</v>
      </c>
      <c r="H2868" s="3">
        <f t="shared" si="279"/>
        <v>714.16313967708766</v>
      </c>
      <c r="M2868" s="1">
        <f t="shared" si="274"/>
        <v>2117</v>
      </c>
      <c r="N2868" s="38">
        <f>+M2868*'Failure Data'!F$3</f>
        <v>54.689166666666665</v>
      </c>
    </row>
    <row r="2869" spans="1:14" x14ac:dyDescent="0.15">
      <c r="A2869" s="1">
        <v>2860</v>
      </c>
      <c r="B2869" s="3">
        <f t="shared" si="275"/>
        <v>720.75389316534404</v>
      </c>
      <c r="C2869" s="8"/>
      <c r="D2869" s="3">
        <f t="shared" si="276"/>
        <v>714.41404316245973</v>
      </c>
      <c r="F2869" s="3">
        <f t="shared" si="277"/>
        <v>-620.75389316534404</v>
      </c>
      <c r="G2869" s="3">
        <f t="shared" si="278"/>
        <v>6.3398500028843046</v>
      </c>
      <c r="H2869" s="3">
        <f t="shared" si="279"/>
        <v>714.41404316245973</v>
      </c>
      <c r="M2869" s="1">
        <f t="shared" si="274"/>
        <v>2118</v>
      </c>
      <c r="N2869" s="38">
        <f>+M2869*'Failure Data'!F$3</f>
        <v>54.714999999999996</v>
      </c>
    </row>
    <row r="2870" spans="1:14" x14ac:dyDescent="0.15">
      <c r="A2870" s="1">
        <v>2861</v>
      </c>
      <c r="B2870" s="3">
        <f t="shared" si="275"/>
        <v>721.00479665071612</v>
      </c>
      <c r="C2870" s="8"/>
      <c r="D2870" s="3">
        <f t="shared" si="276"/>
        <v>714.6649466478317</v>
      </c>
      <c r="F2870" s="3">
        <f t="shared" si="277"/>
        <v>-621.00479665071612</v>
      </c>
      <c r="G2870" s="3">
        <f t="shared" si="278"/>
        <v>6.3398500028844182</v>
      </c>
      <c r="H2870" s="3">
        <f t="shared" si="279"/>
        <v>714.6649466478317</v>
      </c>
      <c r="M2870" s="1">
        <f t="shared" si="274"/>
        <v>2119</v>
      </c>
      <c r="N2870" s="38">
        <f>+M2870*'Failure Data'!F$3</f>
        <v>54.740833333333335</v>
      </c>
    </row>
    <row r="2871" spans="1:14" x14ac:dyDescent="0.15">
      <c r="A2871" s="1">
        <v>2862</v>
      </c>
      <c r="B2871" s="3">
        <f t="shared" si="275"/>
        <v>721.25570013608808</v>
      </c>
      <c r="C2871" s="8"/>
      <c r="D2871" s="3">
        <f t="shared" si="276"/>
        <v>714.91585013320366</v>
      </c>
      <c r="F2871" s="3">
        <f t="shared" si="277"/>
        <v>-621.25570013608808</v>
      </c>
      <c r="G2871" s="3">
        <f t="shared" si="278"/>
        <v>6.3398500028844182</v>
      </c>
      <c r="H2871" s="3">
        <f t="shared" si="279"/>
        <v>714.91585013320366</v>
      </c>
      <c r="M2871" s="1">
        <f t="shared" si="274"/>
        <v>2120</v>
      </c>
      <c r="N2871" s="38">
        <f>+M2871*'Failure Data'!F$3</f>
        <v>54.766666666666666</v>
      </c>
    </row>
    <row r="2872" spans="1:14" x14ac:dyDescent="0.15">
      <c r="A2872" s="1">
        <v>2863</v>
      </c>
      <c r="B2872" s="3">
        <f t="shared" si="275"/>
        <v>721.50660362146004</v>
      </c>
      <c r="C2872" s="8"/>
      <c r="D2872" s="3">
        <f t="shared" si="276"/>
        <v>715.16675361857574</v>
      </c>
      <c r="F2872" s="3">
        <f t="shared" si="277"/>
        <v>-621.50660362146004</v>
      </c>
      <c r="G2872" s="3">
        <f t="shared" si="278"/>
        <v>6.3398500028843046</v>
      </c>
      <c r="H2872" s="3">
        <f t="shared" si="279"/>
        <v>715.16675361857574</v>
      </c>
      <c r="M2872" s="1">
        <f t="shared" si="274"/>
        <v>2121</v>
      </c>
      <c r="N2872" s="38">
        <f>+M2872*'Failure Data'!F$3</f>
        <v>54.792499999999997</v>
      </c>
    </row>
    <row r="2873" spans="1:14" x14ac:dyDescent="0.15">
      <c r="A2873" s="1">
        <v>2864</v>
      </c>
      <c r="B2873" s="3">
        <f t="shared" si="275"/>
        <v>721.75750710683201</v>
      </c>
      <c r="C2873" s="8"/>
      <c r="D2873" s="3">
        <f t="shared" si="276"/>
        <v>715.4176571039477</v>
      </c>
      <c r="F2873" s="3">
        <f t="shared" si="277"/>
        <v>-621.75750710683201</v>
      </c>
      <c r="G2873" s="3">
        <f t="shared" si="278"/>
        <v>6.3398500028843046</v>
      </c>
      <c r="H2873" s="3">
        <f t="shared" si="279"/>
        <v>715.4176571039477</v>
      </c>
      <c r="M2873" s="1">
        <f t="shared" si="274"/>
        <v>2122</v>
      </c>
      <c r="N2873" s="38">
        <f>+M2873*'Failure Data'!F$3</f>
        <v>54.818333333333335</v>
      </c>
    </row>
    <row r="2874" spans="1:14" x14ac:dyDescent="0.15">
      <c r="A2874" s="1">
        <v>2865</v>
      </c>
      <c r="B2874" s="3">
        <f t="shared" si="275"/>
        <v>722.00841059220409</v>
      </c>
      <c r="C2874" s="8"/>
      <c r="D2874" s="3">
        <f t="shared" si="276"/>
        <v>715.66856058931967</v>
      </c>
      <c r="F2874" s="3">
        <f t="shared" si="277"/>
        <v>-622.00841059220409</v>
      </c>
      <c r="G2874" s="3">
        <f t="shared" si="278"/>
        <v>6.3398500028844182</v>
      </c>
      <c r="H2874" s="3">
        <f t="shared" si="279"/>
        <v>715.66856058931967</v>
      </c>
      <c r="M2874" s="1">
        <f t="shared" si="274"/>
        <v>2123</v>
      </c>
      <c r="N2874" s="38">
        <f>+M2874*'Failure Data'!F$3</f>
        <v>54.844166666666666</v>
      </c>
    </row>
    <row r="2875" spans="1:14" x14ac:dyDescent="0.15">
      <c r="A2875" s="1">
        <v>2866</v>
      </c>
      <c r="B2875" s="3">
        <f t="shared" si="275"/>
        <v>722.25931407757605</v>
      </c>
      <c r="C2875" s="8"/>
      <c r="D2875" s="3">
        <f t="shared" si="276"/>
        <v>715.91946407469163</v>
      </c>
      <c r="F2875" s="3">
        <f t="shared" si="277"/>
        <v>-622.25931407757605</v>
      </c>
      <c r="G2875" s="3">
        <f t="shared" si="278"/>
        <v>6.3398500028844182</v>
      </c>
      <c r="H2875" s="3">
        <f t="shared" si="279"/>
        <v>715.91946407469163</v>
      </c>
      <c r="M2875" s="1">
        <f t="shared" si="274"/>
        <v>2124</v>
      </c>
      <c r="N2875" s="38">
        <f>+M2875*'Failure Data'!F$3</f>
        <v>54.87</v>
      </c>
    </row>
    <row r="2876" spans="1:14" x14ac:dyDescent="0.15">
      <c r="A2876" s="1">
        <v>2867</v>
      </c>
      <c r="B2876" s="3">
        <f t="shared" si="275"/>
        <v>722.51021756294801</v>
      </c>
      <c r="C2876" s="8"/>
      <c r="D2876" s="3">
        <f t="shared" si="276"/>
        <v>716.17036756006371</v>
      </c>
      <c r="F2876" s="3">
        <f t="shared" si="277"/>
        <v>-622.51021756294801</v>
      </c>
      <c r="G2876" s="3">
        <f t="shared" si="278"/>
        <v>6.3398500028843046</v>
      </c>
      <c r="H2876" s="3">
        <f t="shared" si="279"/>
        <v>716.17036756006371</v>
      </c>
      <c r="M2876" s="1">
        <f t="shared" si="274"/>
        <v>2125</v>
      </c>
      <c r="N2876" s="38">
        <f>+M2876*'Failure Data'!F$3</f>
        <v>54.895833333333336</v>
      </c>
    </row>
    <row r="2877" spans="1:14" x14ac:dyDescent="0.15">
      <c r="A2877" s="1">
        <v>2868</v>
      </c>
      <c r="B2877" s="3">
        <f t="shared" si="275"/>
        <v>722.76112104831998</v>
      </c>
      <c r="C2877" s="8"/>
      <c r="D2877" s="3">
        <f t="shared" si="276"/>
        <v>716.42127104543567</v>
      </c>
      <c r="F2877" s="3">
        <f t="shared" si="277"/>
        <v>-622.76112104831998</v>
      </c>
      <c r="G2877" s="3">
        <f t="shared" si="278"/>
        <v>6.3398500028843046</v>
      </c>
      <c r="H2877" s="3">
        <f t="shared" si="279"/>
        <v>716.42127104543567</v>
      </c>
      <c r="M2877" s="1">
        <f t="shared" si="274"/>
        <v>2126</v>
      </c>
      <c r="N2877" s="38">
        <f>+M2877*'Failure Data'!F$3</f>
        <v>54.921666666666667</v>
      </c>
    </row>
    <row r="2878" spans="1:14" x14ac:dyDescent="0.15">
      <c r="A2878" s="1">
        <v>2869</v>
      </c>
      <c r="B2878" s="3">
        <f t="shared" si="275"/>
        <v>723.01202453369206</v>
      </c>
      <c r="C2878" s="8"/>
      <c r="D2878" s="3">
        <f t="shared" si="276"/>
        <v>716.67217453080764</v>
      </c>
      <c r="F2878" s="3">
        <f t="shared" si="277"/>
        <v>-623.01202453369206</v>
      </c>
      <c r="G2878" s="3">
        <f t="shared" si="278"/>
        <v>6.3398500028844182</v>
      </c>
      <c r="H2878" s="3">
        <f t="shared" si="279"/>
        <v>716.67217453080764</v>
      </c>
      <c r="M2878" s="1">
        <f t="shared" si="274"/>
        <v>2127</v>
      </c>
      <c r="N2878" s="38">
        <f>+M2878*'Failure Data'!F$3</f>
        <v>54.947499999999998</v>
      </c>
    </row>
    <row r="2879" spans="1:14" x14ac:dyDescent="0.15">
      <c r="M2879" s="1">
        <f t="shared" si="274"/>
        <v>2128</v>
      </c>
      <c r="N2879" s="38">
        <f>+M2879*'Failure Data'!F$3</f>
        <v>54.973333333333336</v>
      </c>
    </row>
    <row r="2880" spans="1:14" x14ac:dyDescent="0.15">
      <c r="M2880" s="1">
        <f t="shared" si="274"/>
        <v>2129</v>
      </c>
      <c r="N2880" s="38">
        <f>+M2880*'Failure Data'!F$3</f>
        <v>54.999166666666667</v>
      </c>
    </row>
    <row r="2881" spans="13:14" x14ac:dyDescent="0.15">
      <c r="M2881" s="1">
        <f t="shared" ref="M2881:M2894" si="280">M2880+1</f>
        <v>2130</v>
      </c>
      <c r="N2881" s="38">
        <f>+M2881*'Failure Data'!F$3</f>
        <v>55.024999999999999</v>
      </c>
    </row>
    <row r="2882" spans="13:14" x14ac:dyDescent="0.15">
      <c r="M2882" s="1">
        <f t="shared" si="280"/>
        <v>2131</v>
      </c>
      <c r="N2882" s="38">
        <f>+M2882*'Failure Data'!F$3</f>
        <v>55.05083333333333</v>
      </c>
    </row>
    <row r="2883" spans="13:14" x14ac:dyDescent="0.15">
      <c r="M2883" s="1">
        <f t="shared" si="280"/>
        <v>2132</v>
      </c>
      <c r="N2883" s="38">
        <f>+M2883*'Failure Data'!F$3</f>
        <v>55.076666666666668</v>
      </c>
    </row>
    <row r="2884" spans="13:14" x14ac:dyDescent="0.15">
      <c r="M2884" s="1">
        <f t="shared" si="280"/>
        <v>2133</v>
      </c>
      <c r="N2884" s="38">
        <f>+M2884*'Failure Data'!F$3</f>
        <v>55.102499999999999</v>
      </c>
    </row>
    <row r="2885" spans="13:14" x14ac:dyDescent="0.15">
      <c r="M2885" s="1">
        <f t="shared" si="280"/>
        <v>2134</v>
      </c>
      <c r="N2885" s="38">
        <f>+M2885*'Failure Data'!F$3</f>
        <v>55.12833333333333</v>
      </c>
    </row>
    <row r="2886" spans="13:14" x14ac:dyDescent="0.15">
      <c r="M2886" s="1">
        <f t="shared" si="280"/>
        <v>2135</v>
      </c>
      <c r="N2886" s="38">
        <f>+M2886*'Failure Data'!F$3</f>
        <v>55.154166666666669</v>
      </c>
    </row>
    <row r="2887" spans="13:14" x14ac:dyDescent="0.15">
      <c r="M2887" s="1">
        <f t="shared" si="280"/>
        <v>2136</v>
      </c>
      <c r="N2887" s="38">
        <f>+M2887*'Failure Data'!F$3</f>
        <v>55.18</v>
      </c>
    </row>
    <row r="2888" spans="13:14" x14ac:dyDescent="0.15">
      <c r="M2888" s="1">
        <f t="shared" si="280"/>
        <v>2137</v>
      </c>
      <c r="N2888" s="38">
        <f>+M2888*'Failure Data'!F$3</f>
        <v>55.205833333333331</v>
      </c>
    </row>
    <row r="2889" spans="13:14" x14ac:dyDescent="0.15">
      <c r="M2889" s="1">
        <f t="shared" si="280"/>
        <v>2138</v>
      </c>
      <c r="N2889" s="38">
        <f>+M2889*'Failure Data'!F$3</f>
        <v>55.231666666666669</v>
      </c>
    </row>
    <row r="2890" spans="13:14" x14ac:dyDescent="0.15">
      <c r="M2890" s="1">
        <f t="shared" si="280"/>
        <v>2139</v>
      </c>
      <c r="N2890" s="38">
        <f>+M2890*'Failure Data'!F$3</f>
        <v>55.2575</v>
      </c>
    </row>
    <row r="2891" spans="13:14" x14ac:dyDescent="0.15">
      <c r="M2891" s="1">
        <f t="shared" si="280"/>
        <v>2140</v>
      </c>
      <c r="N2891" s="38">
        <f>+M2891*'Failure Data'!F$3</f>
        <v>55.283333333333331</v>
      </c>
    </row>
    <row r="2892" spans="13:14" x14ac:dyDescent="0.15">
      <c r="M2892" s="1">
        <f t="shared" si="280"/>
        <v>2141</v>
      </c>
      <c r="N2892" s="38">
        <f>+M2892*'Failure Data'!F$3</f>
        <v>55.30916666666667</v>
      </c>
    </row>
    <row r="2893" spans="13:14" x14ac:dyDescent="0.15">
      <c r="M2893" s="1">
        <f t="shared" si="280"/>
        <v>2142</v>
      </c>
      <c r="N2893" s="38">
        <f>+M2893*'Failure Data'!F$3</f>
        <v>55.335000000000001</v>
      </c>
    </row>
    <row r="2894" spans="13:14" x14ac:dyDescent="0.15">
      <c r="M2894" s="1">
        <f t="shared" si="280"/>
        <v>2143</v>
      </c>
      <c r="N2894" s="38">
        <f>+M2894*'Failure Data'!F$3</f>
        <v>55.360833333333332</v>
      </c>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baseColWidth="10" defaultColWidth="8.83203125" defaultRowHeight="13" x14ac:dyDescent="0.15"/>
  <cols>
    <col min="2" max="2" width="10.83203125" customWidth="1"/>
    <col min="3" max="3" width="13.1640625" customWidth="1"/>
    <col min="4" max="4" width="91.83203125" customWidth="1"/>
  </cols>
  <sheetData>
    <row r="1" spans="1:4" x14ac:dyDescent="0.15">
      <c r="A1" s="6" t="s">
        <v>121</v>
      </c>
      <c r="B1" s="6" t="s">
        <v>43</v>
      </c>
      <c r="C1" s="6" t="s">
        <v>122</v>
      </c>
      <c r="D1" t="s">
        <v>123</v>
      </c>
    </row>
    <row r="2" spans="1:4" ht="14" x14ac:dyDescent="0.15">
      <c r="A2" s="39" t="s">
        <v>63</v>
      </c>
      <c r="B2" s="42">
        <v>40088</v>
      </c>
      <c r="C2" s="41" t="s">
        <v>124</v>
      </c>
      <c r="D2" s="20" t="s">
        <v>64</v>
      </c>
    </row>
    <row r="3" spans="1:4" ht="12.75" customHeight="1" x14ac:dyDescent="0.15">
      <c r="A3" s="40">
        <v>1.1000000000000001</v>
      </c>
      <c r="B3" s="42">
        <v>40104</v>
      </c>
      <c r="C3" s="40" t="s">
        <v>124</v>
      </c>
      <c r="D3" s="20"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baseColWidth="10" defaultColWidth="8.83203125" defaultRowHeight="13" x14ac:dyDescent="0.15"/>
  <cols>
    <col min="1" max="1" width="4.83203125" customWidth="1"/>
    <col min="2" max="2" width="82.83203125" customWidth="1"/>
    <col min="3" max="3" width="71.83203125" customWidth="1"/>
  </cols>
  <sheetData>
    <row r="1" spans="1:2" x14ac:dyDescent="0.15">
      <c r="A1" s="6" t="s">
        <v>62</v>
      </c>
      <c r="B1" s="13"/>
    </row>
    <row r="2" spans="1:2" ht="14" x14ac:dyDescent="0.15">
      <c r="B2" s="13" t="s">
        <v>86</v>
      </c>
    </row>
    <row r="3" spans="1:2" x14ac:dyDescent="0.15">
      <c r="B3" s="13"/>
    </row>
    <row r="4" spans="1:2" ht="52.5" customHeight="1" x14ac:dyDescent="0.15">
      <c r="B4" s="13" t="s">
        <v>26</v>
      </c>
    </row>
    <row r="5" spans="1:2" x14ac:dyDescent="0.15">
      <c r="B5" s="13"/>
    </row>
    <row r="6" spans="1:2" ht="28" x14ac:dyDescent="0.15">
      <c r="B6" s="13" t="s">
        <v>27</v>
      </c>
    </row>
    <row r="7" spans="1:2" x14ac:dyDescent="0.15">
      <c r="B7" s="13"/>
    </row>
    <row r="8" spans="1:2" ht="42" x14ac:dyDescent="0.15">
      <c r="B8" s="13" t="s">
        <v>28</v>
      </c>
    </row>
    <row r="9" spans="1:2" x14ac:dyDescent="0.15">
      <c r="B9" s="13"/>
    </row>
    <row r="10" spans="1:2" ht="14" x14ac:dyDescent="0.15">
      <c r="B10" s="13" t="s">
        <v>29</v>
      </c>
    </row>
    <row r="11" spans="1:2" ht="14" x14ac:dyDescent="0.15">
      <c r="B11" s="14" t="s">
        <v>30</v>
      </c>
    </row>
    <row r="12" spans="1:2" x14ac:dyDescent="0.15">
      <c r="B12" s="14"/>
    </row>
    <row r="13" spans="1:2" x14ac:dyDescent="0.15">
      <c r="A13" s="6" t="s">
        <v>75</v>
      </c>
      <c r="B13" s="14"/>
    </row>
    <row r="14" spans="1:2" ht="28" x14ac:dyDescent="0.15">
      <c r="B14" s="13" t="s">
        <v>76</v>
      </c>
    </row>
    <row r="15" spans="1:2" ht="14" x14ac:dyDescent="0.15">
      <c r="B15" s="14" t="s">
        <v>100</v>
      </c>
    </row>
    <row r="16" spans="1:2" x14ac:dyDescent="0.15">
      <c r="B16" s="14"/>
    </row>
    <row r="20" spans="1:2" x14ac:dyDescent="0.15">
      <c r="A20" s="40"/>
      <c r="B20" s="13"/>
    </row>
    <row r="21" spans="1:2" x14ac:dyDescent="0.15">
      <c r="A21" s="40"/>
    </row>
    <row r="22" spans="1:2" x14ac:dyDescent="0.15">
      <c r="A22" s="40"/>
    </row>
    <row r="23" spans="1:2" x14ac:dyDescent="0.15">
      <c r="A23" s="40"/>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Minh Le</cp:lastModifiedBy>
  <cp:lastPrinted>2009-10-02T18:39:15Z</cp:lastPrinted>
  <dcterms:created xsi:type="dcterms:W3CDTF">2009-05-24T16:16:51Z</dcterms:created>
  <dcterms:modified xsi:type="dcterms:W3CDTF">2026-04-16T14:52:33Z</dcterms:modified>
</cp:coreProperties>
</file>